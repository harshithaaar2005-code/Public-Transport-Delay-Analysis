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slicers/slicer4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C9\EXCELCNV\e7d080da-0cf5-48b0-8b58-a9b7ab3dcdca\"/>
    </mc:Choice>
  </mc:AlternateContent>
  <xr:revisionPtr revIDLastSave="0" documentId="8_{A6496601-C62C-4B2D-9DA1-615E12B81A5A}" xr6:coauthVersionLast="47" xr6:coauthVersionMax="47" xr10:uidLastSave="{00000000-0000-0000-0000-000000000000}"/>
  <bookViews>
    <workbookView xWindow="-60" yWindow="-60" windowWidth="15480" windowHeight="11640" firstSheet="14" activeTab="7" xr2:uid="{29A1CF3A-7FFC-4733-86C6-60B091B281DF}"/>
  </bookViews>
  <sheets>
    <sheet name="RawData" sheetId="1" r:id="rId1"/>
    <sheet name="TransportType_Arrival" sheetId="2" r:id="rId2"/>
    <sheet name="Weather_Arrival" sheetId="3" r:id="rId3"/>
    <sheet name="PeakHour_Arrival" sheetId="4" r:id="rId4"/>
    <sheet name="Congestion_Arrival" sheetId="5" r:id="rId5"/>
    <sheet name="Weekday_Arrival" sheetId="6" r:id="rId6"/>
    <sheet name="Season_Arrival" sheetId="7" r:id="rId7"/>
    <sheet name="TransportType_Departure" sheetId="8" r:id="rId8"/>
    <sheet name="EventType_Arrival" sheetId="10" r:id="rId9"/>
    <sheet name="Top5Routes" sheetId="11" r:id="rId10"/>
    <sheet name="PeakHour_Departure" sheetId="12" r:id="rId11"/>
    <sheet name="Holiday_Arrival" sheetId="13" r:id="rId12"/>
    <sheet name="Weather_Departure" sheetId="14" r:id="rId13"/>
    <sheet name="RoutePerformance" sheetId="16" r:id="rId14"/>
    <sheet name="Dashboard" sheetId="15" r:id="rId15"/>
  </sheets>
  <definedNames>
    <definedName name="_xlnm._FilterDatabase" localSheetId="0" hidden="1">RawData!$F$2013:$F$2013</definedName>
    <definedName name="Slicer_congestion_level">#N/A</definedName>
    <definedName name="Slicer_season">#N/A</definedName>
    <definedName name="Slicer_transport_type">#N/A</definedName>
    <definedName name="Slicer_weather_condition">#N/A</definedName>
  </definedNames>
  <calcPr calcId="191028"/>
  <pivotCaches>
    <pivotCache cacheId="398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</calcChain>
</file>

<file path=xl/sharedStrings.xml><?xml version="1.0" encoding="utf-8"?>
<sst xmlns="http://schemas.openxmlformats.org/spreadsheetml/2006/main" count="16127" uniqueCount="2128">
  <si>
    <t>trip_id</t>
  </si>
  <si>
    <t>date</t>
  </si>
  <si>
    <t>time</t>
  </si>
  <si>
    <t>transport_type</t>
  </si>
  <si>
    <t>route_id</t>
  </si>
  <si>
    <t>origin_station</t>
  </si>
  <si>
    <t>destination_station</t>
  </si>
  <si>
    <t>scheduled_departure</t>
  </si>
  <si>
    <t>scheduled_arrival</t>
  </si>
  <si>
    <t>actual_departure_delay_min</t>
  </si>
  <si>
    <t>actual_arrival_delay_min</t>
  </si>
  <si>
    <t>weather_condition</t>
  </si>
  <si>
    <t>temperature_C</t>
  </si>
  <si>
    <t>humidity_percent</t>
  </si>
  <si>
    <t>wind_speed_kmh</t>
  </si>
  <si>
    <t>precipitation_mm</t>
  </si>
  <si>
    <t>event_type</t>
  </si>
  <si>
    <t>event_attendance_est</t>
  </si>
  <si>
    <t>traffic_congestion_index</t>
  </si>
  <si>
    <t>holiday</t>
  </si>
  <si>
    <t>peak_hour</t>
  </si>
  <si>
    <t>weekday</t>
  </si>
  <si>
    <t>season</t>
  </si>
  <si>
    <t>delayed</t>
  </si>
  <si>
    <t>congestion_level</t>
  </si>
  <si>
    <t>T00000</t>
  </si>
  <si>
    <t>Tram</t>
  </si>
  <si>
    <t>Route_15</t>
  </si>
  <si>
    <t>Station_31</t>
  </si>
  <si>
    <t>Station_6</t>
  </si>
  <si>
    <t>Storm</t>
  </si>
  <si>
    <t>None</t>
  </si>
  <si>
    <t>Winter</t>
  </si>
  <si>
    <t>T00001</t>
  </si>
  <si>
    <t>Metro</t>
  </si>
  <si>
    <t>Route_12</t>
  </si>
  <si>
    <t>Station_49</t>
  </si>
  <si>
    <t>Station_32</t>
  </si>
  <si>
    <t>Rain</t>
  </si>
  <si>
    <t>Autumn</t>
  </si>
  <si>
    <t>T00002</t>
  </si>
  <si>
    <t>Bus</t>
  </si>
  <si>
    <t>Route_16</t>
  </si>
  <si>
    <t>Station_29</t>
  </si>
  <si>
    <t>Station_42</t>
  </si>
  <si>
    <t>Clear</t>
  </si>
  <si>
    <t>Sports</t>
  </si>
  <si>
    <t>T00003</t>
  </si>
  <si>
    <t>Route_19</t>
  </si>
  <si>
    <t>Station_26</t>
  </si>
  <si>
    <t>Station_18</t>
  </si>
  <si>
    <t>T00004</t>
  </si>
  <si>
    <t>Route_8</t>
  </si>
  <si>
    <t>Station_15</t>
  </si>
  <si>
    <t>Snow</t>
  </si>
  <si>
    <t>Spring</t>
  </si>
  <si>
    <t>T00005</t>
  </si>
  <si>
    <t>Route_17</t>
  </si>
  <si>
    <t>Station_40</t>
  </si>
  <si>
    <t>Protest</t>
  </si>
  <si>
    <t>T00006</t>
  </si>
  <si>
    <t>Route_5</t>
  </si>
  <si>
    <t>Station_22</t>
  </si>
  <si>
    <t>Parade</t>
  </si>
  <si>
    <t>T00007</t>
  </si>
  <si>
    <t>Station_38</t>
  </si>
  <si>
    <t>Station_9</t>
  </si>
  <si>
    <t>T00008</t>
  </si>
  <si>
    <t>Route_6</t>
  </si>
  <si>
    <t>Station_17</t>
  </si>
  <si>
    <t>Station_37</t>
  </si>
  <si>
    <t>Concert</t>
  </si>
  <si>
    <t>Summer</t>
  </si>
  <si>
    <t>T00009</t>
  </si>
  <si>
    <t>Train</t>
  </si>
  <si>
    <t>Station_23</t>
  </si>
  <si>
    <t>Station_10</t>
  </si>
  <si>
    <t>Fog</t>
  </si>
  <si>
    <t>T00010</t>
  </si>
  <si>
    <t>Route_18</t>
  </si>
  <si>
    <t>Station_24</t>
  </si>
  <si>
    <t>Station_20</t>
  </si>
  <si>
    <t>T00011</t>
  </si>
  <si>
    <t>Station_50</t>
  </si>
  <si>
    <t>Cloudy</t>
  </si>
  <si>
    <t>T00012</t>
  </si>
  <si>
    <t>Station_8</t>
  </si>
  <si>
    <t>Station_48</t>
  </si>
  <si>
    <t>T00013</t>
  </si>
  <si>
    <t>Route_9</t>
  </si>
  <si>
    <t>Station_41</t>
  </si>
  <si>
    <t>Station_3</t>
  </si>
  <si>
    <t>T00014</t>
  </si>
  <si>
    <t>Route_13</t>
  </si>
  <si>
    <t>T00015</t>
  </si>
  <si>
    <t>Station_5</t>
  </si>
  <si>
    <t>Station_11</t>
  </si>
  <si>
    <t>T00016</t>
  </si>
  <si>
    <t>Route_10</t>
  </si>
  <si>
    <t>Station_44</t>
  </si>
  <si>
    <t>Station_43</t>
  </si>
  <si>
    <t>Festival</t>
  </si>
  <si>
    <t>T00017</t>
  </si>
  <si>
    <t>T00018</t>
  </si>
  <si>
    <t>Route_7</t>
  </si>
  <si>
    <t>Station_28</t>
  </si>
  <si>
    <t>T00019</t>
  </si>
  <si>
    <t>Station_4</t>
  </si>
  <si>
    <t>T00020</t>
  </si>
  <si>
    <t>Station_1</t>
  </si>
  <si>
    <t>T00021</t>
  </si>
  <si>
    <t>Route_14</t>
  </si>
  <si>
    <t>T00022</t>
  </si>
  <si>
    <t>Station_19</t>
  </si>
  <si>
    <t>T00023</t>
  </si>
  <si>
    <t>T00024</t>
  </si>
  <si>
    <t>Station_27</t>
  </si>
  <si>
    <t>T00025</t>
  </si>
  <si>
    <t>Station_34</t>
  </si>
  <si>
    <t>T00026</t>
  </si>
  <si>
    <t>T00027</t>
  </si>
  <si>
    <t>T00028</t>
  </si>
  <si>
    <t>Station_36</t>
  </si>
  <si>
    <t>Station_35</t>
  </si>
  <si>
    <t>T00029</t>
  </si>
  <si>
    <t>T00030</t>
  </si>
  <si>
    <t>Route_20</t>
  </si>
  <si>
    <t>T00031</t>
  </si>
  <si>
    <t>Station_13</t>
  </si>
  <si>
    <t>T00032</t>
  </si>
  <si>
    <t>Route_3</t>
  </si>
  <si>
    <t>T00033</t>
  </si>
  <si>
    <t>T00034</t>
  </si>
  <si>
    <t>T00035</t>
  </si>
  <si>
    <t>T00036</t>
  </si>
  <si>
    <t>Station_12</t>
  </si>
  <si>
    <t>T00037</t>
  </si>
  <si>
    <t>T00038</t>
  </si>
  <si>
    <t>T00039</t>
  </si>
  <si>
    <t>T00040</t>
  </si>
  <si>
    <t>T00041</t>
  </si>
  <si>
    <t>Route_2</t>
  </si>
  <si>
    <t>Station_14</t>
  </si>
  <si>
    <t>T00042</t>
  </si>
  <si>
    <t>Station_33</t>
  </si>
  <si>
    <t>T00043</t>
  </si>
  <si>
    <t>T00044</t>
  </si>
  <si>
    <t>Route_11</t>
  </si>
  <si>
    <t>Station_25</t>
  </si>
  <si>
    <t>T00045</t>
  </si>
  <si>
    <t>T00046</t>
  </si>
  <si>
    <t>Station_47</t>
  </si>
  <si>
    <t>T00047</t>
  </si>
  <si>
    <t>T00048</t>
  </si>
  <si>
    <t>Station_21</t>
  </si>
  <si>
    <t>T00049</t>
  </si>
  <si>
    <t>T00050</t>
  </si>
  <si>
    <t>Route_4</t>
  </si>
  <si>
    <t>T00051</t>
  </si>
  <si>
    <t>T00052</t>
  </si>
  <si>
    <t>T00053</t>
  </si>
  <si>
    <t>Route_1</t>
  </si>
  <si>
    <t>T00054</t>
  </si>
  <si>
    <t>Station_30</t>
  </si>
  <si>
    <t>T00055</t>
  </si>
  <si>
    <t>T00056</t>
  </si>
  <si>
    <t>T00057</t>
  </si>
  <si>
    <t>T00058</t>
  </si>
  <si>
    <t>Station_45</t>
  </si>
  <si>
    <t>T00059</t>
  </si>
  <si>
    <t>T00060</t>
  </si>
  <si>
    <t>T00061</t>
  </si>
  <si>
    <t>T00062</t>
  </si>
  <si>
    <t>T00063</t>
  </si>
  <si>
    <t>T00064</t>
  </si>
  <si>
    <t>T00065</t>
  </si>
  <si>
    <t>Station_46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</si>
  <si>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</si>
  <si>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</si>
  <si>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</si>
  <si>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</si>
  <si>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</si>
  <si>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</si>
  <si>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</si>
  <si>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</si>
  <si>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Station_39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</si>
  <si>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</si>
  <si>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</si>
  <si>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</si>
  <si>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</si>
  <si>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</si>
  <si>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</si>
  <si>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</si>
  <si>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</si>
  <si>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Station_7</t>
  </si>
  <si>
    <t>T00082</t>
  </si>
  <si>
    <t>T00083</t>
  </si>
  <si>
    <t>Station_2</t>
  </si>
  <si>
    <t>T00084</t>
  </si>
  <si>
    <t>T00085</t>
  </si>
  <si>
    <t>T00086</t>
  </si>
  <si>
    <t>T00087</t>
  </si>
  <si>
    <t>T00088</t>
  </si>
  <si>
    <t>Station_16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</si>
  <si>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</si>
  <si>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</si>
  <si>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</si>
  <si>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</si>
  <si>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</si>
  <si>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</si>
  <si>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</si>
  <si>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</si>
  <si>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</si>
  <si>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</si>
  <si>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</si>
  <si>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</si>
  <si>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</si>
  <si>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</si>
  <si>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</si>
  <si>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</si>
  <si>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</si>
  <si>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</si>
  <si>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</si>
  <si>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</si>
  <si>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</si>
  <si>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</si>
  <si>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</si>
  <si>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</si>
  <si>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</si>
  <si>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</si>
  <si>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</si>
  <si>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</si>
  <si>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</si>
  <si>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</si>
  <si>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</si>
  <si>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</si>
  <si>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</si>
  <si>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</si>
  <si>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</si>
  <si>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</si>
  <si>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</si>
  <si>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</si>
  <si>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</si>
  <si>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</si>
  <si>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</si>
  <si>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</si>
  <si>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</si>
  <si>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</si>
  <si>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</si>
  <si>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</si>
  <si>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</si>
  <si>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</si>
  <si>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</si>
  <si>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</si>
  <si>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</si>
  <si>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</si>
  <si>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</si>
  <si>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</si>
  <si>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</si>
  <si>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</si>
  <si>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</si>
  <si>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</si>
  <si>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</si>
  <si>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</si>
  <si>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</si>
  <si>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</si>
  <si>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</si>
  <si>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</si>
  <si>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</si>
  <si>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</si>
  <si>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</si>
  <si>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</si>
  <si>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</si>
  <si>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</si>
  <si>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</si>
  <si>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</si>
  <si>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</si>
  <si>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</si>
  <si>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</si>
  <si>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</si>
  <si>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</si>
  <si>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</si>
  <si>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</si>
  <si>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</si>
  <si>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</si>
  <si>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</si>
  <si>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</si>
  <si>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</si>
  <si>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</si>
  <si>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</si>
  <si>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</si>
  <si>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</si>
  <si>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</si>
  <si>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</si>
  <si>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</si>
  <si>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</si>
  <si>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</si>
  <si>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</si>
  <si>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</si>
  <si>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</si>
  <si>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</si>
  <si>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</si>
  <si>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</si>
  <si>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</si>
  <si>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</si>
  <si>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</si>
  <si>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</si>
  <si>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</si>
  <si>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</si>
  <si>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</si>
  <si>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</si>
  <si>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</si>
  <si>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</si>
  <si>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</si>
  <si>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</si>
  <si>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</si>
  <si>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</si>
  <si>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</si>
  <si>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</si>
  <si>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</si>
  <si>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</si>
  <si>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</si>
  <si>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</si>
  <si>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</si>
  <si>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</si>
  <si>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</si>
  <si>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</si>
  <si>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</si>
  <si>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</si>
  <si>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</si>
  <si>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</si>
  <si>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</si>
  <si>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</si>
  <si>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</si>
  <si>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</si>
  <si>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</si>
  <si>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</si>
  <si>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</si>
  <si>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</si>
  <si>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</si>
  <si>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</si>
  <si>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</si>
  <si>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</si>
  <si>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</si>
  <si>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</si>
  <si>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</si>
  <si>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</si>
  <si>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</si>
  <si>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</si>
  <si>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</si>
  <si>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</si>
  <si>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</si>
  <si>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</si>
  <si>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</si>
  <si>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</si>
  <si>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</si>
  <si>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</si>
  <si>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</si>
  <si>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</si>
  <si>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</si>
  <si>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</si>
  <si>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</si>
  <si>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</si>
  <si>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</si>
  <si>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</si>
  <si>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</si>
  <si>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</si>
  <si>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</si>
  <si>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</si>
  <si>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</si>
  <si>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</si>
  <si>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</si>
  <si>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</si>
  <si>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</si>
  <si>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</si>
  <si>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</si>
  <si>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</si>
  <si>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</si>
  <si>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</si>
  <si>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</si>
  <si>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</si>
  <si>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</si>
  <si>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</si>
  <si>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</si>
  <si>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</si>
  <si>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</si>
  <si>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</si>
  <si>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</si>
  <si>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</si>
  <si>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</si>
  <si>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</si>
  <si>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</si>
  <si>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</si>
  <si>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</si>
  <si>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</si>
  <si>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</si>
  <si>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</si>
  <si>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</si>
  <si>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</si>
  <si>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</si>
  <si>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</si>
  <si>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</si>
  <si>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</si>
  <si>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</si>
  <si>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</si>
  <si>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</si>
  <si>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</si>
  <si>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</si>
  <si>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</si>
  <si>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</si>
  <si>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</si>
  <si>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</si>
  <si>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</si>
  <si>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</si>
  <si>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</si>
  <si>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</si>
  <si>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</si>
  <si>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</si>
  <si>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</si>
  <si>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</si>
  <si>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</si>
  <si>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</si>
  <si>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</si>
  <si>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</si>
  <si>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</si>
  <si>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</si>
  <si>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</si>
  <si>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</si>
  <si>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</si>
  <si>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</si>
  <si>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</si>
  <si>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</si>
  <si>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</si>
  <si>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</si>
  <si>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</si>
  <si>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</si>
  <si>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</si>
  <si>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</si>
  <si>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</si>
  <si>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</si>
  <si>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</si>
  <si>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</si>
  <si>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</si>
  <si>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</si>
  <si>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</si>
  <si>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</si>
  <si>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</si>
  <si>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</si>
  <si>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</si>
  <si>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</si>
  <si>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</si>
  <si>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</si>
  <si>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</si>
  <si>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</si>
  <si>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</si>
  <si>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</si>
  <si>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</si>
  <si>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</si>
  <si>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</si>
  <si>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</si>
  <si>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</si>
  <si>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</si>
  <si>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</si>
  <si>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</si>
  <si>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</si>
  <si>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</si>
  <si>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</si>
  <si>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</si>
  <si>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</si>
  <si>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</si>
  <si>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</si>
  <si>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</si>
  <si>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</si>
  <si>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</si>
  <si>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</si>
  <si>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</si>
  <si>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</si>
  <si>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</si>
  <si>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</si>
  <si>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</si>
  <si>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</si>
  <si>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</si>
  <si>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</si>
  <si>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</si>
  <si>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</si>
  <si>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</si>
  <si>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</si>
  <si>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</si>
  <si>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</si>
  <si>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</si>
  <si>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</si>
  <si>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</si>
  <si>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</si>
  <si>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</si>
  <si>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</si>
  <si>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</si>
  <si>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</si>
  <si>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</si>
  <si>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</si>
  <si>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</si>
  <si>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</si>
  <si>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</si>
  <si>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</si>
  <si>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</si>
  <si>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</si>
  <si>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</si>
  <si>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</si>
  <si>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</si>
  <si>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</si>
  <si>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</si>
  <si>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</si>
  <si>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</si>
  <si>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</si>
  <si>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</si>
  <si>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</si>
  <si>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</si>
  <si>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</si>
  <si>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</si>
  <si>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</si>
  <si>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</si>
  <si>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</si>
  <si>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</si>
  <si>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</si>
  <si>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</si>
  <si>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</si>
  <si>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</si>
  <si>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</si>
  <si>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</si>
  <si>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</si>
  <si>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</si>
  <si>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</si>
  <si>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</si>
  <si>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</si>
  <si>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</si>
  <si>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</si>
  <si>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</si>
  <si>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</si>
  <si>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</si>
  <si>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</si>
  <si>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</si>
  <si>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</si>
  <si>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</si>
  <si>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</si>
  <si>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</si>
  <si>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</si>
  <si>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</si>
  <si>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</si>
  <si>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</si>
  <si>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</si>
  <si>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</si>
  <si>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</si>
  <si>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</si>
  <si>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</si>
  <si>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</si>
  <si>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</si>
  <si>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</si>
  <si>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</si>
  <si>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</si>
  <si>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</si>
  <si>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</si>
  <si>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</si>
  <si>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</si>
  <si>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</si>
  <si>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</si>
  <si>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</si>
  <si>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</si>
  <si>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</si>
  <si>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</si>
  <si>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</si>
  <si>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</si>
  <si>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</si>
  <si>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</si>
  <si>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</si>
  <si>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</si>
  <si>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</si>
  <si>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</si>
  <si>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</si>
  <si>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</si>
  <si>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</si>
  <si>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</si>
  <si>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</si>
  <si>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</si>
  <si>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</si>
  <si>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</si>
  <si>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</si>
  <si>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</si>
  <si>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</si>
  <si>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</si>
  <si>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</si>
  <si>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</si>
  <si>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</si>
  <si>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</si>
  <si>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</si>
  <si>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</si>
  <si>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</si>
  <si>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</si>
  <si>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</si>
  <si>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</si>
  <si>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</si>
  <si>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</si>
  <si>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</si>
  <si>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</si>
  <si>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</si>
  <si>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</si>
  <si>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</si>
  <si>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</si>
  <si>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</si>
  <si>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</si>
  <si>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</si>
  <si>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</si>
  <si>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</si>
  <si>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</si>
  <si>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</si>
  <si>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</si>
  <si>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</si>
  <si>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</si>
  <si>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</si>
  <si>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</si>
  <si>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</si>
  <si>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</si>
  <si>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</si>
  <si>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</si>
  <si>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</si>
  <si>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</si>
  <si>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</si>
  <si>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</si>
  <si>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</si>
  <si>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</si>
  <si>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</si>
  <si>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</si>
  <si>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</si>
  <si>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</si>
  <si>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</si>
  <si>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</si>
  <si>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</si>
  <si>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</si>
  <si>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</si>
  <si>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</si>
  <si>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</si>
  <si>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</si>
  <si>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</si>
  <si>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</si>
  <si>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</si>
  <si>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</si>
  <si>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</si>
  <si>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</si>
  <si>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</si>
  <si>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</si>
  <si>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</si>
  <si>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</si>
  <si>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</si>
  <si>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</si>
  <si>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</si>
  <si>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</si>
  <si>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</si>
  <si>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</si>
  <si>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</si>
  <si>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</si>
  <si>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</si>
  <si>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</si>
  <si>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</si>
  <si>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</si>
  <si>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</si>
  <si>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</si>
  <si>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</si>
  <si>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</si>
  <si>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</si>
  <si>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</si>
  <si>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</si>
  <si>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</si>
  <si>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</si>
  <si>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</si>
  <si>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</si>
  <si>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</si>
  <si>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</si>
  <si>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</si>
  <si>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</si>
  <si>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</si>
  <si>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</si>
  <si>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</si>
  <si>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</si>
  <si>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</si>
  <si>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</si>
  <si>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</si>
  <si>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</si>
  <si>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</si>
  <si>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</si>
  <si>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</si>
  <si>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</si>
  <si>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</si>
  <si>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</si>
  <si>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</si>
  <si>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</si>
  <si>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</si>
  <si>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</si>
  <si>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</si>
  <si>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</si>
  <si>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</si>
  <si>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</si>
  <si>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</si>
  <si>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</si>
  <si>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</si>
  <si>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</si>
  <si>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</si>
  <si>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</si>
  <si>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</si>
  <si>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</si>
  <si>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</si>
  <si>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</si>
  <si>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</si>
  <si>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</si>
  <si>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</si>
  <si>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</si>
  <si>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</si>
  <si>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</si>
  <si>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</si>
  <si>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</si>
  <si>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</si>
  <si>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</si>
  <si>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</si>
  <si>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</si>
  <si>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</si>
  <si>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</si>
  <si>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</si>
  <si>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</si>
  <si>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</si>
  <si>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</si>
  <si>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</si>
  <si>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</si>
  <si>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</si>
  <si>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</si>
  <si>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</si>
  <si>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</si>
  <si>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</si>
  <si>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</si>
  <si>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</si>
  <si>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</si>
  <si>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</si>
  <si>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</si>
  <si>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</si>
  <si>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</si>
  <si>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</si>
  <si>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</si>
  <si>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</si>
  <si>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</si>
  <si>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</si>
  <si>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</si>
  <si>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</si>
  <si>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</si>
  <si>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</si>
  <si>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</si>
  <si>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</si>
  <si>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</si>
  <si>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</si>
  <si>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</si>
  <si>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</si>
  <si>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</si>
  <si>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</si>
  <si>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</si>
  <si>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</si>
  <si>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</si>
  <si>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</si>
  <si>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</si>
  <si>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</si>
  <si>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</si>
  <si>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</si>
  <si>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</si>
  <si>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</si>
  <si>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</si>
  <si>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</si>
  <si>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</si>
  <si>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</si>
  <si>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</si>
  <si>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</si>
  <si>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</si>
  <si>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</si>
  <si>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</si>
  <si>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</si>
  <si>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</si>
  <si>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</si>
  <si>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</si>
  <si>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</si>
  <si>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</si>
  <si>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</si>
  <si>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</si>
  <si>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</si>
  <si>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</si>
  <si>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</si>
  <si>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</si>
  <si>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</si>
  <si>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</si>
  <si>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</si>
  <si>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</si>
  <si>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</si>
  <si>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</si>
  <si>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</si>
  <si>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</si>
  <si>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</si>
  <si>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</si>
  <si>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</si>
  <si>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</si>
  <si>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</si>
  <si>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</si>
  <si>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</si>
  <si>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</si>
  <si>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</si>
  <si>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</si>
  <si>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</si>
  <si>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</si>
  <si>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</si>
  <si>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</si>
  <si>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</si>
  <si>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</si>
  <si>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</si>
  <si>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</si>
  <si>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</si>
  <si>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</si>
  <si>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</si>
  <si>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</si>
  <si>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</si>
  <si>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</si>
  <si>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</si>
  <si>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</si>
  <si>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</si>
  <si>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</si>
  <si>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</si>
  <si>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</si>
  <si>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</si>
  <si>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</si>
  <si>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</si>
  <si>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</si>
  <si>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</si>
  <si>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</si>
  <si>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</si>
  <si>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</si>
  <si>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</si>
  <si>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</si>
  <si>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</si>
  <si>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</si>
  <si>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</si>
  <si>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</si>
  <si>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</si>
  <si>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</si>
  <si>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</si>
  <si>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</si>
  <si>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</si>
  <si>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</si>
  <si>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</si>
  <si>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</si>
  <si>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</si>
  <si>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</si>
  <si>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</si>
  <si>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</si>
  <si>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</si>
  <si>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</si>
  <si>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</si>
  <si>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</si>
  <si>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</si>
  <si>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</si>
  <si>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</si>
  <si>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</si>
  <si>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</si>
  <si>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</si>
  <si>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</si>
  <si>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</si>
  <si>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</si>
  <si>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</si>
  <si>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</si>
  <si>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</si>
  <si>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</si>
  <si>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</si>
  <si>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</si>
  <si>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</si>
  <si>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</si>
  <si>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</si>
  <si>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</si>
  <si>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</si>
  <si>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</si>
  <si>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</si>
  <si>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</si>
  <si>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</si>
  <si>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</si>
  <si>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</si>
  <si>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</si>
  <si>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</si>
  <si>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</si>
  <si>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</si>
  <si>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</si>
  <si>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</si>
  <si>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</si>
  <si>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</si>
  <si>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</si>
  <si>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</si>
  <si>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</si>
  <si>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</si>
  <si>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</si>
  <si>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</si>
  <si>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</si>
  <si>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</si>
  <si>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</si>
  <si>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</si>
  <si>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</si>
  <si>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</si>
  <si>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</si>
  <si>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</si>
  <si>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</si>
  <si>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</si>
  <si>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</si>
  <si>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</si>
  <si>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</si>
  <si>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</si>
  <si>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</si>
  <si>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</si>
  <si>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</si>
  <si>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</si>
  <si>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</si>
  <si>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</si>
  <si>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</si>
  <si>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</si>
  <si>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</si>
  <si>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</si>
  <si>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</si>
  <si>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</si>
  <si>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</si>
  <si>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</si>
  <si>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</si>
  <si>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</si>
  <si>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</si>
  <si>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</si>
  <si>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</si>
  <si>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</si>
  <si>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</si>
  <si>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</si>
  <si>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</si>
  <si>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</si>
  <si>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</si>
  <si>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</si>
  <si>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</si>
  <si>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</si>
  <si>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</si>
  <si>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</si>
  <si>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</si>
  <si>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</si>
  <si>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</si>
  <si>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</si>
  <si>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</si>
  <si>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</si>
  <si>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</si>
  <si>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</si>
  <si>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</si>
  <si>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</si>
  <si>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</si>
  <si>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</si>
  <si>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</si>
  <si>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</si>
  <si>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</si>
  <si>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</si>
  <si>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</si>
  <si>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</si>
  <si>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</si>
  <si>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</si>
  <si>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</si>
  <si>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</si>
  <si>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</si>
  <si>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</si>
  <si>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</si>
  <si>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</si>
  <si>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</si>
  <si>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</si>
  <si>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</si>
  <si>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</si>
  <si>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</si>
  <si>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</si>
  <si>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</si>
  <si>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</si>
  <si>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</si>
  <si>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</si>
  <si>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</si>
  <si>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</si>
  <si>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</si>
  <si>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</si>
  <si>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</si>
  <si>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</si>
  <si>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</si>
  <si>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</si>
  <si>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</si>
  <si>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</si>
  <si>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</si>
  <si>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</si>
  <si>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</si>
  <si>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</si>
  <si>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</si>
  <si>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</si>
  <si>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</si>
  <si>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</si>
  <si>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</si>
  <si>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</si>
  <si>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</si>
  <si>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</si>
  <si>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</si>
  <si>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</si>
  <si>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</si>
  <si>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</si>
  <si>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</si>
  <si>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</si>
  <si>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</si>
  <si>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</si>
  <si>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</si>
  <si>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</si>
  <si>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</si>
  <si>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</si>
  <si>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</si>
  <si>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</si>
  <si>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</si>
  <si>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</si>
  <si>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</si>
  <si>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</si>
  <si>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</si>
  <si>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</si>
  <si>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</si>
  <si>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</si>
  <si>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</si>
  <si>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</si>
  <si>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</si>
  <si>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</si>
  <si>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</si>
  <si>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</si>
  <si>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</si>
  <si>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</si>
  <si>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</si>
  <si>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</si>
  <si>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</si>
  <si>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</si>
  <si>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</si>
  <si>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</si>
  <si>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</si>
  <si>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</si>
  <si>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</si>
  <si>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</si>
  <si>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</si>
  <si>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</si>
  <si>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</si>
  <si>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</si>
  <si>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</si>
  <si>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</si>
  <si>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</si>
  <si>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</si>
  <si>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</si>
  <si>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</si>
  <si>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</si>
  <si>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</si>
  <si>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</si>
  <si>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</si>
  <si>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</si>
  <si>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</si>
  <si>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</si>
  <si>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</si>
  <si>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</si>
  <si>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</si>
  <si>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</si>
  <si>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</si>
  <si>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</si>
  <si>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</si>
  <si>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</si>
  <si>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</si>
  <si>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</si>
  <si>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</si>
  <si>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</si>
  <si>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</si>
  <si>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</si>
  <si>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</si>
  <si>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</si>
  <si>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</si>
  <si>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</si>
  <si>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</si>
  <si>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</si>
  <si>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</si>
  <si>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</si>
  <si>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</si>
  <si>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</si>
  <si>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</si>
  <si>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</si>
  <si>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</si>
  <si>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</si>
  <si>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</si>
  <si>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</si>
  <si>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</si>
  <si>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</si>
  <si>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</si>
  <si>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</si>
  <si>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</si>
  <si>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</si>
  <si>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</si>
  <si>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</si>
  <si>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</si>
  <si>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</si>
  <si>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</si>
  <si>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</si>
  <si>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</si>
  <si>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</si>
  <si>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</si>
  <si>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</si>
  <si>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</si>
  <si>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</si>
  <si>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</si>
  <si>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</si>
  <si>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</si>
  <si>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</si>
  <si>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</si>
  <si>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</si>
  <si>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</si>
  <si>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</si>
  <si>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</si>
  <si>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</si>
  <si>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</si>
  <si>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</si>
  <si>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</si>
  <si>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</si>
  <si>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</si>
  <si>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</si>
  <si>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</si>
  <si>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</si>
  <si>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</si>
  <si>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</si>
  <si>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</si>
  <si>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</si>
  <si>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</si>
  <si>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</si>
  <si>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</si>
  <si>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</si>
  <si>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</si>
  <si>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</si>
  <si>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</si>
  <si>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</si>
  <si>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</si>
  <si>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</si>
  <si>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</si>
  <si>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</si>
  <si>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</si>
  <si>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</si>
  <si>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</si>
  <si>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</si>
  <si>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</si>
  <si>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</si>
  <si>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</si>
  <si>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</si>
  <si>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</si>
  <si>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</si>
  <si>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</si>
  <si>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</si>
  <si>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</si>
  <si>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</si>
  <si>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</si>
  <si>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</si>
  <si>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</si>
  <si>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</si>
  <si>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</si>
  <si>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</si>
  <si>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</si>
  <si>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</si>
  <si>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</si>
  <si>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</si>
  <si>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</si>
  <si>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</si>
  <si>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</si>
  <si>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</si>
  <si>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</si>
  <si>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</si>
  <si>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</si>
  <si>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</si>
  <si>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</si>
  <si>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</si>
  <si>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</si>
  <si>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</si>
  <si>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</si>
  <si>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</si>
  <si>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</si>
  <si>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</si>
  <si>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</si>
  <si>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</si>
  <si>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</si>
  <si>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</si>
  <si>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</si>
  <si>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</si>
  <si>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</si>
  <si>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</si>
  <si>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</si>
  <si>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</si>
  <si>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</si>
  <si>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</si>
  <si>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</si>
  <si>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</si>
  <si>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</si>
  <si>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</si>
  <si>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</si>
  <si>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</si>
  <si>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</si>
  <si>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</si>
  <si>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</si>
  <si>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</si>
  <si>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</si>
  <si>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</si>
  <si>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</si>
  <si>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</si>
  <si>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</si>
  <si>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</si>
  <si>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</si>
  <si>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</si>
  <si>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</si>
  <si>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</si>
  <si>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</si>
  <si>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</si>
  <si>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</si>
  <si>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</si>
  <si>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</si>
  <si>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</si>
  <si>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</si>
  <si>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</si>
  <si>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</si>
  <si>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</si>
  <si>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</si>
  <si>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</si>
  <si>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</si>
  <si>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</si>
  <si>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</si>
  <si>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</si>
  <si>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</si>
  <si>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</si>
  <si>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</si>
  <si>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</si>
  <si>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</si>
  <si>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</si>
  <si>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</si>
  <si>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</si>
  <si>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</si>
  <si>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</si>
  <si>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</si>
  <si>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</si>
  <si>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</si>
  <si>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</si>
  <si>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</si>
  <si>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</si>
  <si>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</si>
  <si>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</si>
  <si>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</si>
  <si>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</si>
  <si>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</si>
  <si>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</si>
  <si>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</si>
  <si>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</si>
  <si>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</si>
  <si>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</si>
  <si>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</si>
  <si>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</si>
  <si>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</si>
  <si>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</si>
  <si>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</si>
  <si>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</si>
  <si>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</si>
  <si>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</si>
  <si>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</si>
  <si>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</si>
  <si>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</si>
  <si>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</si>
  <si>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</si>
  <si>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</si>
  <si>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</si>
  <si>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</si>
  <si>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</si>
  <si>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</si>
  <si>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</si>
  <si>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</si>
  <si>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</si>
  <si>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</si>
  <si>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</si>
  <si>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</si>
  <si>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</si>
  <si>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</si>
  <si>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</si>
  <si>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</si>
  <si>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</si>
  <si>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</si>
  <si>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</si>
  <si>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</si>
  <si>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</si>
  <si>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</si>
  <si>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</si>
  <si>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</si>
  <si>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</si>
  <si>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</si>
  <si>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</si>
  <si>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</si>
  <si>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</si>
  <si>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</si>
  <si>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</si>
  <si>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</si>
  <si>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</si>
  <si>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</si>
  <si>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</si>
  <si>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</si>
  <si>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</si>
  <si>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</si>
  <si>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</si>
  <si>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</si>
  <si>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</si>
  <si>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</si>
  <si>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</si>
  <si>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</si>
  <si>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</si>
  <si>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</si>
  <si>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</si>
  <si>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</si>
  <si>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</si>
  <si>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</si>
  <si>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</si>
  <si>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</si>
  <si>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</si>
  <si>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</si>
  <si>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</si>
  <si>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</si>
  <si>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</si>
  <si>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</si>
  <si>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</si>
  <si>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</si>
  <si>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</si>
  <si>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</si>
  <si>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</si>
  <si>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</si>
  <si>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</si>
  <si>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</si>
  <si>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</si>
  <si>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</si>
  <si>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</si>
  <si>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</si>
  <si>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</si>
  <si>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</si>
  <si>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</si>
  <si>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</si>
  <si>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</si>
  <si>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</si>
  <si>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</si>
  <si>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</si>
  <si>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</si>
  <si>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</si>
  <si>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</si>
  <si>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</si>
  <si>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</si>
  <si>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</si>
  <si>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</si>
  <si>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</si>
  <si>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</si>
  <si>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</si>
  <si>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</si>
  <si>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</si>
  <si>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</si>
  <si>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</si>
  <si>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</si>
  <si>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</si>
  <si>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</si>
  <si>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</si>
  <si>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</si>
  <si>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</si>
  <si>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</si>
  <si>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</si>
  <si>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</si>
  <si>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</si>
  <si>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</si>
  <si>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</si>
  <si>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</si>
  <si>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</si>
  <si>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</si>
  <si>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</si>
  <si>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</si>
  <si>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</si>
  <si>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</si>
  <si>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</si>
  <si>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</si>
  <si>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</si>
  <si>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</si>
  <si>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</si>
  <si>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</si>
  <si>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</si>
  <si>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</si>
  <si>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</si>
  <si>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</si>
  <si>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</si>
  <si>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</si>
  <si>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</si>
  <si>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</si>
  <si>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</si>
  <si>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</si>
  <si>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</si>
  <si>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</si>
  <si>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</si>
  <si>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</si>
  <si>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</si>
  <si>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</si>
  <si>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</si>
  <si>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</si>
  <si>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</si>
  <si>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</si>
  <si>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</si>
  <si>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</si>
  <si>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</si>
  <si>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</si>
  <si>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</si>
  <si>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</si>
  <si>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</si>
  <si>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</si>
  <si>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</si>
  <si>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</si>
  <si>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</si>
  <si>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</si>
  <si>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</si>
  <si>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</si>
  <si>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</si>
  <si>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</si>
  <si>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</si>
  <si>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</si>
  <si>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</si>
  <si>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</si>
  <si>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</si>
  <si>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</si>
  <si>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</si>
  <si>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</si>
  <si>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</si>
  <si>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</si>
  <si>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</si>
  <si>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</si>
  <si>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</si>
  <si>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</si>
  <si>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</si>
  <si>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</si>
  <si>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</si>
  <si>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</si>
  <si>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</si>
  <si>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</si>
  <si>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</si>
  <si>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</si>
  <si>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</si>
  <si>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</si>
  <si>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</si>
  <si>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</si>
  <si>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</si>
  <si>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</si>
  <si>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</si>
  <si>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</si>
  <si>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</si>
  <si>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</si>
  <si>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</si>
  <si>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</si>
  <si>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</si>
  <si>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</si>
  <si>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</si>
  <si>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</si>
  <si>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</si>
  <si>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</si>
  <si>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</si>
  <si>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</si>
  <si>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</si>
  <si>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</si>
  <si>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</si>
  <si>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</si>
  <si>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</si>
  <si>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</si>
  <si>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</si>
  <si>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</si>
  <si>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</si>
  <si>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</si>
  <si>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</si>
  <si>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</si>
  <si>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</si>
  <si>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</si>
  <si>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</si>
  <si>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</si>
  <si>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</si>
  <si>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</si>
  <si>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</si>
  <si>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</si>
  <si>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</si>
  <si>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</si>
  <si>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</si>
  <si>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</si>
  <si>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</si>
  <si>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</si>
  <si>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</si>
  <si>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</si>
  <si>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</si>
  <si>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</si>
  <si>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</si>
  <si>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</si>
  <si>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</si>
  <si>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</si>
  <si>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</si>
  <si>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</si>
  <si>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</si>
  <si>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</si>
  <si>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</si>
  <si>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</si>
  <si>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</si>
  <si>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</si>
  <si>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</si>
  <si>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</si>
  <si>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</si>
  <si>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</si>
  <si>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</si>
  <si>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</si>
  <si>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</si>
  <si>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</si>
  <si>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</si>
  <si>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</si>
  <si>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</si>
  <si>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</si>
  <si>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</si>
  <si>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</si>
  <si>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</si>
  <si>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</si>
  <si>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</si>
  <si>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</si>
  <si>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</si>
  <si>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</si>
  <si>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</si>
  <si>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</si>
  <si>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</si>
  <si>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</si>
  <si>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</si>
  <si>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</si>
  <si>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</si>
  <si>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</si>
  <si>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</si>
  <si>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</si>
  <si>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</si>
  <si>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</si>
  <si>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</si>
  <si>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</si>
  <si>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</si>
  <si>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</si>
  <si>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</si>
  <si>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</si>
  <si>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</si>
  <si>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</si>
  <si>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</si>
  <si>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</si>
  <si>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</si>
  <si>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</si>
  <si>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</si>
  <si>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</si>
  <si>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</si>
  <si>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</si>
  <si>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</si>
  <si>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</si>
  <si>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</si>
  <si>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</si>
  <si>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</si>
  <si>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</si>
  <si>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</si>
  <si>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</si>
  <si>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</si>
  <si>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</si>
  <si>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</si>
  <si>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</si>
  <si>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</si>
  <si>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</si>
  <si>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</si>
  <si>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</si>
  <si>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</si>
  <si>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</si>
  <si>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</si>
  <si>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</si>
  <si>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</si>
  <si>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</si>
  <si>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</si>
  <si>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</si>
  <si>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</si>
  <si>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</si>
  <si>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</si>
  <si>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</si>
  <si>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</si>
  <si>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</si>
  <si>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</si>
  <si>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</si>
  <si>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</si>
  <si>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</si>
  <si>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</si>
  <si>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</si>
  <si>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</si>
  <si>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</si>
  <si>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</si>
  <si>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</si>
  <si>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</si>
  <si>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</si>
  <si>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</si>
  <si>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</si>
  <si>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</si>
  <si>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</si>
  <si>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</si>
  <si>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</si>
  <si>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</si>
  <si>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</si>
  <si>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</si>
  <si>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</si>
  <si>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</si>
  <si>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</si>
  <si>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</si>
  <si>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</si>
  <si>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</si>
  <si>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</si>
  <si>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</si>
  <si>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</si>
  <si>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</si>
  <si>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</si>
  <si>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</si>
  <si>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</si>
  <si>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</si>
  <si>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</si>
  <si>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</si>
  <si>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</si>
  <si>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</si>
  <si>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</si>
  <si>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</si>
  <si>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</si>
  <si>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</si>
  <si>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</si>
  <si>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</si>
  <si>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</si>
  <si>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</si>
  <si>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</si>
  <si>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</si>
  <si>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</si>
  <si>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</si>
  <si>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</si>
  <si>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</si>
  <si>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</si>
  <si>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</si>
  <si>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</si>
  <si>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</si>
  <si>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</si>
  <si>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</si>
  <si>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</si>
  <si>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</si>
  <si>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</si>
  <si>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</si>
  <si>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</si>
  <si>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</si>
  <si>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</si>
  <si>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</si>
  <si>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</si>
  <si>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</si>
  <si>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</si>
  <si>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</si>
  <si>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</si>
  <si>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</si>
  <si>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</si>
  <si>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</si>
  <si>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</si>
  <si>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</si>
  <si>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</si>
  <si>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</si>
  <si>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</si>
  <si>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</si>
  <si>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</si>
  <si>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</si>
  <si>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</si>
  <si>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</si>
  <si>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</si>
  <si>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</si>
  <si>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</si>
  <si>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</si>
  <si>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</si>
  <si>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</si>
  <si>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</si>
  <si>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</si>
  <si>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</si>
  <si>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</si>
  <si>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</si>
  <si>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</si>
  <si>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</si>
  <si>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</si>
  <si>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</si>
  <si>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</si>
  <si>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</si>
  <si>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</si>
  <si>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</si>
  <si>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</si>
  <si>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</si>
  <si>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</si>
  <si>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</si>
  <si>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</si>
  <si>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</si>
  <si>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</si>
  <si>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</si>
  <si>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</si>
  <si>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</si>
  <si>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</si>
  <si>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</si>
  <si>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</si>
  <si>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</si>
  <si>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</si>
  <si>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</si>
  <si>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</si>
  <si>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</si>
  <si>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</si>
  <si>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</si>
  <si>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</si>
  <si>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</si>
  <si>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</si>
  <si>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</si>
  <si>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</si>
  <si>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</si>
  <si>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</si>
  <si>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</si>
  <si>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</si>
  <si>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</si>
  <si>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</si>
  <si>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</si>
  <si>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</si>
  <si>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</si>
  <si>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</si>
  <si>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</si>
  <si>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</si>
  <si>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</si>
  <si>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</si>
  <si>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</si>
  <si>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</si>
  <si>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</si>
  <si>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</si>
  <si>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</si>
  <si>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</si>
  <si>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</si>
  <si>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</si>
  <si>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</si>
  <si>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</si>
  <si>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</si>
  <si>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</si>
  <si>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</si>
  <si>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</si>
  <si>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</si>
  <si>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</si>
  <si>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</si>
  <si>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</si>
  <si>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</si>
  <si>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</si>
  <si>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</si>
  <si>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</si>
  <si>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</si>
  <si>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</si>
  <si>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</si>
  <si>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</si>
  <si>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</si>
  <si>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</si>
  <si>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</si>
  <si>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</si>
  <si>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</si>
  <si>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</si>
  <si>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</si>
  <si>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</si>
  <si>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</si>
  <si>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</si>
  <si>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</si>
  <si>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</si>
  <si>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</si>
  <si>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</si>
  <si>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</si>
  <si>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</si>
  <si>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</si>
  <si>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</si>
  <si>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</si>
  <si>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</si>
  <si>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</si>
  <si>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</si>
  <si>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</si>
  <si>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</si>
  <si>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</si>
  <si>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</si>
  <si>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</si>
  <si>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</si>
  <si>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</si>
  <si>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</si>
  <si>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</si>
  <si>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</si>
  <si>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</si>
  <si>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</si>
  <si>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</si>
  <si>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</si>
  <si>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</si>
  <si>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</si>
  <si>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</si>
  <si>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</si>
  <si>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</si>
  <si>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</si>
  <si>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</si>
  <si>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</si>
  <si>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</si>
  <si>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</si>
  <si>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</si>
  <si>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</si>
  <si>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</si>
  <si>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</si>
  <si>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</si>
  <si>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</si>
  <si>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</si>
  <si>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</si>
  <si>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</si>
  <si>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</si>
  <si>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</si>
  <si>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</si>
  <si>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</si>
  <si>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</si>
  <si>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</si>
  <si>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</si>
  <si>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</si>
  <si>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</si>
  <si>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</si>
  <si>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</si>
  <si>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</si>
  <si>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</si>
  <si>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</si>
  <si>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</si>
  <si>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</si>
  <si>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</si>
  <si>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</si>
  <si>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</si>
  <si>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</si>
  <si>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</si>
  <si>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</si>
  <si>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</si>
  <si>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</si>
  <si>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</si>
  <si>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</si>
  <si>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</si>
  <si>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</si>
  <si>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</si>
  <si>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</si>
  <si>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</si>
  <si>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</si>
  <si>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</si>
  <si>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</si>
  <si>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</si>
  <si>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</si>
  <si>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</si>
  <si>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</si>
  <si>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</si>
  <si>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</si>
  <si>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</si>
  <si>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</si>
  <si>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</si>
  <si>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</si>
  <si>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</si>
  <si>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</si>
  <si>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</si>
  <si>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</si>
  <si>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</si>
  <si>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</si>
  <si>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</si>
  <si>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</si>
  <si>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</si>
  <si>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</si>
  <si>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</si>
  <si>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</si>
  <si>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</si>
  <si>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</si>
  <si>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</si>
  <si>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</si>
  <si>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</si>
  <si>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</si>
  <si>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</si>
  <si>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</si>
  <si>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</si>
  <si>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</si>
  <si>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</si>
  <si>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</si>
  <si>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</si>
  <si>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</si>
  <si>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</si>
  <si>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</si>
  <si>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</si>
  <si>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</si>
  <si>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</si>
  <si>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</si>
  <si>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</si>
  <si>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</si>
  <si>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</si>
  <si>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</si>
  <si>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</si>
  <si>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</si>
  <si>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</si>
  <si>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</si>
  <si>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</si>
  <si>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</si>
  <si>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</si>
  <si>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</si>
  <si>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</si>
  <si>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</si>
  <si>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</si>
  <si>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</si>
  <si>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</si>
  <si>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</si>
  <si>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</si>
  <si>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</si>
  <si>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</si>
  <si>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</si>
  <si>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</si>
  <si>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</si>
  <si>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</si>
  <si>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</si>
  <si>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</si>
  <si>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</si>
  <si>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</si>
  <si>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</si>
  <si>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</si>
  <si>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</si>
  <si>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</si>
  <si>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</si>
  <si>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</si>
  <si>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</si>
  <si>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</si>
  <si>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</si>
  <si>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</si>
  <si>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</si>
  <si>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</si>
  <si>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</si>
  <si>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</si>
  <si>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</si>
  <si>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</si>
  <si>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</si>
  <si>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</si>
  <si>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</si>
  <si>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</si>
  <si>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</si>
  <si>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</si>
  <si>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</si>
  <si>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</si>
  <si>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</si>
  <si>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</si>
  <si>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</si>
  <si>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</si>
  <si>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</si>
  <si>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</si>
  <si>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</si>
  <si>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</si>
  <si>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</si>
  <si>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</si>
  <si>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</si>
  <si>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</si>
  <si>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</si>
  <si>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</si>
  <si>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</si>
  <si>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</si>
  <si>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</si>
  <si>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</si>
  <si>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</si>
  <si>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</si>
  <si>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</si>
  <si>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</si>
  <si>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</si>
  <si>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</si>
  <si>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</si>
  <si>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</si>
  <si>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</si>
  <si>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</si>
  <si>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</si>
  <si>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</si>
  <si>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</si>
  <si>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</si>
  <si>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</si>
  <si>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</si>
  <si>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</si>
  <si>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</si>
  <si>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</si>
  <si>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</si>
  <si>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</si>
  <si>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</si>
  <si>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</si>
  <si>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</si>
  <si>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</si>
  <si>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</si>
  <si>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</si>
  <si>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</si>
  <si>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</si>
  <si>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</si>
  <si>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</si>
  <si>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</si>
  <si>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</si>
  <si>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</si>
  <si>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</si>
  <si>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</si>
  <si>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</si>
  <si>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</si>
  <si>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</si>
  <si>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</si>
  <si>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</si>
  <si>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</si>
  <si>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</si>
  <si>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</si>
  <si>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</si>
  <si>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</si>
  <si>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</si>
  <si>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</si>
  <si>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</si>
  <si>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</si>
  <si>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</si>
  <si>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</si>
  <si>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</si>
  <si>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</si>
  <si>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</si>
  <si>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</si>
  <si>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</si>
  <si>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</si>
  <si>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</si>
  <si>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</si>
  <si>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</si>
  <si>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</si>
  <si>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</si>
  <si>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</si>
  <si>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</si>
  <si>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</si>
  <si>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</si>
  <si>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</si>
  <si>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</si>
  <si>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</si>
  <si>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</si>
  <si>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</si>
  <si>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</si>
  <si>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</si>
  <si>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</si>
  <si>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</si>
  <si>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</si>
  <si>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</si>
  <si>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</si>
  <si>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</si>
  <si>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</si>
  <si>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</si>
  <si>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</si>
  <si>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</si>
  <si>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</si>
  <si>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</si>
  <si>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</si>
  <si>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</si>
  <si>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</si>
  <si>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</si>
  <si>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</si>
  <si>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</si>
  <si>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</si>
  <si>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</si>
  <si>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</si>
  <si>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</si>
  <si>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</si>
  <si>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</si>
  <si>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</si>
  <si>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</si>
  <si>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</si>
  <si>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</si>
  <si>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</si>
  <si>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</si>
  <si>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</si>
  <si>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</si>
  <si>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</si>
  <si>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</si>
  <si>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</si>
  <si>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</si>
  <si>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</si>
  <si>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</si>
  <si>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</si>
  <si>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</si>
  <si>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</si>
  <si>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</si>
  <si>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</si>
  <si>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</si>
  <si>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</si>
  <si>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</si>
  <si>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</si>
  <si>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</si>
  <si>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</si>
  <si>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</si>
  <si>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</si>
  <si>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</si>
  <si>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</si>
  <si>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</si>
  <si>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</si>
  <si>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</si>
  <si>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</si>
  <si>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</si>
  <si>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</si>
  <si>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</si>
  <si>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</si>
  <si>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</si>
  <si>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</si>
  <si>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</si>
  <si>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</si>
  <si>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</si>
  <si>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</si>
  <si>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</si>
  <si>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</si>
  <si>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</si>
  <si>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</si>
  <si>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</si>
  <si>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</si>
  <si>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</si>
  <si>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</si>
  <si>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</si>
  <si>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</si>
  <si>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</si>
  <si>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</si>
  <si>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</si>
  <si>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</si>
  <si>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</si>
  <si>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</si>
  <si>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</si>
  <si>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</si>
  <si>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</si>
  <si>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</si>
  <si>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</si>
  <si>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</si>
  <si>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</si>
  <si>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</si>
  <si>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Average of actual_arrival_delay_min</t>
  </si>
  <si>
    <t>Grand Total</t>
  </si>
  <si>
    <t>x</t>
  </si>
  <si>
    <t>Low</t>
  </si>
  <si>
    <t>Medium</t>
  </si>
  <si>
    <t>High</t>
  </si>
  <si>
    <t>Average of actual_departure_delay_min</t>
  </si>
  <si>
    <t>Public Transport Delay Analysis Dashboard</t>
  </si>
  <si>
    <t xml:space="preserve">Total Trips </t>
  </si>
  <si>
    <t>AVG DEPARTURE DELAY</t>
  </si>
  <si>
    <t>AVG ARRIVAL DELAY</t>
  </si>
  <si>
    <t>MAX ARRIVAL DELAY</t>
  </si>
  <si>
    <t>DELAYED TRIPS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</si>
</sst>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scheme val="minor"/>
    </font>
    <font>
      <sz val="28"/>
      <color theme="0"/>
      <name val="Calibri"/>
      <family val="2"/>
      <scheme val="minor"/>
    </font>
    <font>
      <sz val="28"/>
      <color theme="4" tint="-0.499984740745262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rgb="FFFFFFFF"/>
      <name val="Calibri"/>
      <scheme val="minor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NumberFormat="1"/>
    <xf numFmtId="0" fontId="16" fillId="0" borderId="0" xfId="0" applyFont="1"/>
    <xf numFmtId="10" fontId="0" fillId="0" borderId="0" xfId="0" applyNumberFormat="1"/>
    <xf numFmtId="0" fontId="0" fillId="33" borderId="0" xfId="0" applyFill="1"/>
    <xf numFmtId="0" fontId="17" fillId="0" borderId="0" xfId="0" applyFont="1"/>
    <xf numFmtId="0" fontId="18" fillId="34" borderId="0" xfId="0" applyFont="1" applyFill="1"/>
    <xf numFmtId="0" fontId="0" fillId="34" borderId="0" xfId="0" applyFill="1"/>
    <xf numFmtId="0" fontId="17" fillId="34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center" vertical="center"/>
    </xf>
    <xf numFmtId="0" fontId="23" fillId="34" borderId="12" xfId="0" applyFont="1" applyFill="1" applyBorder="1" applyAlignment="1">
      <alignment horizontal="center" vertical="center"/>
    </xf>
    <xf numFmtId="0" fontId="23" fillId="34" borderId="13" xfId="0" applyFont="1" applyFill="1" applyBorder="1" applyAlignment="1">
      <alignment horizontal="center" vertical="center"/>
    </xf>
    <xf numFmtId="10" fontId="20" fillId="33" borderId="10" xfId="0" applyNumberFormat="1" applyFont="1" applyFill="1" applyBorder="1" applyAlignment="1">
      <alignment horizontal="center"/>
    </xf>
    <xf numFmtId="0" fontId="24" fillId="34" borderId="11" xfId="0" applyFont="1" applyFill="1" applyBorder="1" applyAlignment="1">
      <alignment horizontal="center" vertical="center"/>
    </xf>
    <xf numFmtId="0" fontId="24" fillId="34" borderId="12" xfId="0" applyFont="1" applyFill="1" applyBorder="1" applyAlignment="1">
      <alignment horizontal="center" vertical="center"/>
    </xf>
    <xf numFmtId="0" fontId="24" fillId="34" borderId="13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26" formatCode="h:mm:ss"/>
    </dxf>
    <dxf>
      <numFmt numFmtId="26" formatCode="h:mm:ss"/>
    </dxf>
    <dxf>
      <numFmt numFmtId="26" formatCode="h:mm:ss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07/relationships/slicerCache" Target="slicerCaches/slicerCach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[TranportType_Departure.xlsx]TransportType_Arrival!PivotTable1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7D-4995-AD56-9CC42CEB94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27D-4995-AD56-9CC42CEB94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7D-4995-AD56-9CC42CEB94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27D-4995-AD56-9CC42CEB942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27D-4995-AD56-9CC42CEB942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27D-4995-AD56-9CC42CEB942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27D-4995-AD56-9CC42CEB942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27D-4995-AD56-9CC42CEB94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2-4D00-A2A1-300930481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[TranportType_Departure.xlsx]TransportType_Arrival!PivotTable1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3-4129-97B7-055669EF0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03623"/>
        <c:axId val="71682055"/>
      </c:barChart>
      <c:catAx>
        <c:axId val="6910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2055"/>
        <c:crosses val="autoZero"/>
        <c:auto val="1"/>
        <c:lblAlgn val="ctr"/>
        <c:lblOffset val="100"/>
        <c:noMultiLvlLbl val="0"/>
      </c:catAx>
      <c:valAx>
        <c:axId val="7168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3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[TranportType_Departure.xlsx]Weather_Arrival!PivotTable2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A8-44A4-9509-ECB72E0531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A8-44A4-9509-ECB72E0531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A8-44A4-9509-ECB72E0531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BA8-44A4-9509-ECB72E05315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A8-44A4-9509-ECB72E05315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BA8-44A4-9509-ECB72E05315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BA8-44A4-9509-ECB72E05315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BA8-44A4-9509-ECB72E05315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BA8-44A4-9509-ECB72E05315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BA8-44A4-9509-ECB72E05315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BA8-44A4-9509-ECB72E05315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BA8-44A4-9509-ECB72E053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E1-48F7-86EF-11FD693769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[TranportType_Departure.xlsx]PeakHour_Arrival!PivotTable3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5A-4EC2-BCD9-0EC2EA57B99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5A-4EC2-BCD9-0EC2EA57B99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35A-4EC2-BCD9-0EC2EA57B9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13.36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35A-4EC2-BCD9-0EC2EA57B9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PeakHour_Arrival!$B$4:$B$6</c:f>
              <c:numCache>
                <c:formatCode>General</c:formatCode>
                <c:ptCount val="2"/>
                <c:pt idx="0">
                  <c:v>13.302197802197803</c:v>
                </c:pt>
                <c:pt idx="1">
                  <c:v>13.360294117647058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A-4EC2-BCD9-0EC2EA57B9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41767"/>
        <c:axId val="649197063"/>
      </c:barChart>
      <c:catAx>
        <c:axId val="649141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97063"/>
        <c:crosses val="autoZero"/>
        <c:auto val="1"/>
        <c:lblAlgn val="ctr"/>
        <c:lblOffset val="100"/>
        <c:noMultiLvlLbl val="0"/>
      </c:catAx>
      <c:valAx>
        <c:axId val="649197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41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[TranportType_Departure.xlsx]Congestion_Arrival!PivotTable4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level vs Actual arrival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23-48A3-BAFE-91FAB5998B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[TranportType_Departure.xlsx]Weekday_Arrival!PivotTable1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32-4A9A-9088-EABF9FAC12C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32-4A9A-9088-EABF9FAC12C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32-4A9A-9088-EABF9FAC12C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F32-4A9A-9088-EABF9FAC12C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32-4A9A-9088-EABF9FAC12C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F32-4A9A-9088-EABF9FAC12C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32-4A9A-9088-EABF9FAC12C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F32-4A9A-9088-EABF9FAC12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F32-4A9A-9088-EABF9FAC12C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F32-4A9A-9088-EABF9FAC12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F32-4A9A-9088-EABF9FAC12C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F32-4A9A-9088-EABF9FAC12C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F32-4A9A-9088-EABF9FAC12C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F32-4A9A-9088-EABF9FAC12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2-4A9A-9088-EABF9FAC1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[TranportType_Departure.xlsx]Season_Arrival!PivotTable2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13.40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B6-4BAF-915F-1ECE145D0BC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B6-4BAF-915F-1ECE145D0BC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B6-4BAF-915F-1ECE145D0BC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1B6-4BAF-915F-1ECE145D0BC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1B6-4BAF-915F-1ECE145D0B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13.40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1B6-4BAF-915F-1ECE145D0B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12.72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1B6-4BAF-915F-1ECE145D0BC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1B6-4BAF-915F-1ECE145D0B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Season_Arrival!$A$4:$A$8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Season_Arrival!$B$4:$B$8</c:f>
              <c:numCache>
                <c:formatCode>General</c:formatCode>
                <c:ptCount val="4"/>
                <c:pt idx="0">
                  <c:v>13.887499999999999</c:v>
                </c:pt>
                <c:pt idx="1">
                  <c:v>13.404382470119522</c:v>
                </c:pt>
                <c:pt idx="2">
                  <c:v>12.723282442748092</c:v>
                </c:pt>
                <c:pt idx="3">
                  <c:v>13.307692307692308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6-4BAF-915F-1ECE145D0B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93512"/>
        <c:axId val="9838600"/>
      </c:barChart>
      <c:catAx>
        <c:axId val="9493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600"/>
        <c:crosses val="autoZero"/>
        <c:auto val="1"/>
        <c:lblAlgn val="ctr"/>
        <c:lblOffset val="100"/>
        <c:noMultiLvlLbl val="0"/>
      </c:catAx>
      <c:valAx>
        <c:axId val="9838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[TranportType_Departure.xlsx]TransportType_Departure!PivotTable3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Transport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8.90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74-4977-921A-10363032E1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E74-4977-921A-10363032E1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74-4977-921A-10363032E1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E74-4977-921A-10363032E1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8.85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E74-4977-921A-10363032E1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8.69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E74-4977-921A-10363032E1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8.90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E74-4977-921A-10363032E1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E74-4977-921A-10363032E1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TransportType_Departure!$A$4:$A$8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TransportType_Departure!$B$4:$B$8</c:f>
              <c:numCache>
                <c:formatCode>General</c:formatCode>
                <c:ptCount val="4"/>
                <c:pt idx="0">
                  <c:v>8.8514285714285723</c:v>
                </c:pt>
                <c:pt idx="1">
                  <c:v>8.6945010183299392</c:v>
                </c:pt>
                <c:pt idx="2">
                  <c:v>8.9087221095334694</c:v>
                </c:pt>
                <c:pt idx="3">
                  <c:v>8.2851323828920567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4-4977-921A-10363032E1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60328"/>
        <c:axId val="8866312"/>
      </c:barChart>
      <c:catAx>
        <c:axId val="876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312"/>
        <c:crosses val="autoZero"/>
        <c:auto val="1"/>
        <c:lblAlgn val="ctr"/>
        <c:lblOffset val="100"/>
        <c:noMultiLvlLbl val="0"/>
      </c:catAx>
      <c:valAx>
        <c:axId val="88663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[TranportType_Departure.xlsx]EventType_Arrival!PivotTable1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Event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EventType_Arrival!$B$3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7D-4D8A-91CA-2B9C068A0F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F7D-4D8A-91CA-2B9C068A0F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7D-4D8A-91CA-2B9C068A0F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F7D-4D8A-91CA-2B9C068A0FD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7D-4D8A-91CA-2B9C068A0FD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F7D-4D8A-91CA-2B9C068A0F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12.83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F7D-4D8A-91CA-2B9C068A0F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12.76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F7D-4D8A-91CA-2B9C068A0F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F7D-4D8A-91CA-2B9C068A0F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F7D-4D8A-91CA-2B9C068A0FD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F7D-4D8A-91CA-2B9C068A0FD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12.82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F7D-4D8A-91CA-2B9C068A0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EventType_Arrival!$A$4:$A$10</c:f>
              <c:strCache>
                <c:ptCount val="6"/>
                <c:pt idx="0">
                  <c:v>Concert</c:v>
                </c:pt>
                <c:pt idx="1">
                  <c:v>Festival</c:v>
                </c:pt>
                <c:pt idx="2">
                  <c:v>None</c:v>
                </c:pt>
                <c:pt idx="3">
                  <c:v>Parade</c:v>
                </c:pt>
                <c:pt idx="4">
                  <c:v>Protest</c:v>
                </c:pt>
                <c:pt idx="5">
                  <c:v>Sports</c:v>
                </c:pt>
              </c:strCache>
            </c:strRef>
          </c:cat>
          <c:val>
            <c:numRef>
              <c:f>EventType_Arrival!$B$4:$B$10</c:f>
              <c:numCache>
                <c:formatCode>General</c:formatCode>
                <c:ptCount val="6"/>
                <c:pt idx="0">
                  <c:v>12.832512315270936</c:v>
                </c:pt>
                <c:pt idx="1">
                  <c:v>12.76923076923077</c:v>
                </c:pt>
                <c:pt idx="2">
                  <c:v>13.526001705029838</c:v>
                </c:pt>
                <c:pt idx="3">
                  <c:v>13.619047619047619</c:v>
                </c:pt>
                <c:pt idx="4">
                  <c:v>13.895348837209303</c:v>
                </c:pt>
                <c:pt idx="5">
                  <c:v>12.820754716981131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D-4D8A-91CA-2B9C068A0F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75207"/>
        <c:axId val="4277255"/>
      </c:barChart>
      <c:catAx>
        <c:axId val="4275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Event Type</a:t>
                </a:r>
              </a:p>
            </c:rich>
          </c:tx>
          <c:layout>
            <c:manualLayout>
              <c:xMode val="edge"/>
              <c:yMode val="edge"/>
              <c:x val="0.45921412948381451"/>
              <c:y val="0.88701368542724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7255"/>
        <c:crosses val="autoZero"/>
        <c:auto val="1"/>
        <c:lblAlgn val="ctr"/>
        <c:lblOffset val="100"/>
        <c:noMultiLvlLbl val="0"/>
      </c:catAx>
      <c:valAx>
        <c:axId val="42772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[TranportType_Departure.xlsx]Top5Routes!PivotTable2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3-4C70-9729-41844971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[TranportType_Departure.xlsx]PeakHour_Departure!PivotTable3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Weather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9.00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8.77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8.34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1A-42A5-B304-EC60056CC8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1A-42A5-B304-EC60056CC8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1A-42A5-B304-EC60056CC8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E1A-42A5-B304-EC60056CC8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1A-42A5-B304-EC60056CC8A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E1A-42A5-B304-EC60056CC8A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9.00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E1A-42A5-B304-EC60056CC8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8.77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E1A-42A5-B304-EC60056CC8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E1A-42A5-B304-EC60056CC8A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E1A-42A5-B304-EC60056CC8A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9.23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E1A-42A5-B304-EC60056CC8A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8.34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E1A-42A5-B304-EC60056CC8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PeakHour_Departure!$A$4:$A$10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PeakHour_Departure!$B$4:$B$10</c:f>
              <c:numCache>
                <c:formatCode>General</c:formatCode>
                <c:ptCount val="6"/>
                <c:pt idx="0">
                  <c:v>9.0087463556851315</c:v>
                </c:pt>
                <c:pt idx="1">
                  <c:v>8.7784615384615385</c:v>
                </c:pt>
                <c:pt idx="2">
                  <c:v>8.2326283987915403</c:v>
                </c:pt>
                <c:pt idx="3">
                  <c:v>8.5046728971962615</c:v>
                </c:pt>
                <c:pt idx="4">
                  <c:v>9.2332361516034993</c:v>
                </c:pt>
                <c:pt idx="5">
                  <c:v>8.3412462908011875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A-42A5-B304-EC60056CC8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852935"/>
        <c:axId val="73330695"/>
      </c:barChart>
      <c:catAx>
        <c:axId val="89852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30695"/>
        <c:crosses val="autoZero"/>
        <c:auto val="1"/>
        <c:lblAlgn val="ctr"/>
        <c:lblOffset val="100"/>
        <c:noMultiLvlLbl val="0"/>
      </c:catAx>
      <c:valAx>
        <c:axId val="73330695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2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[TranportType_Departure.xlsx]Holiday_Arrival!PivotTable4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Holiday vs Non-Holiday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Holiday_Arrival!$B$3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BD-4E91-A232-C59396C1FF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EBD-4E91-A232-C59396C1FF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13.22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EBD-4E91-A232-C59396C1FF1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EBD-4E91-A232-C59396C1FF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Holiday_Arrival!$A$4:$A$6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Holiday_Arrival!$B$4:$B$6</c:f>
              <c:numCache>
                <c:formatCode>General</c:formatCode>
                <c:ptCount val="2"/>
                <c:pt idx="0">
                  <c:v>13.220208676551346</c:v>
                </c:pt>
                <c:pt idx="1">
                  <c:v>14.312849162011172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D-4E91-A232-C59396C1FF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94119"/>
        <c:axId val="77851655"/>
      </c:barChart>
      <c:catAx>
        <c:axId val="72794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Holiday vs Non-Holiday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1655"/>
        <c:crosses val="autoZero"/>
        <c:auto val="1"/>
        <c:lblAlgn val="ctr"/>
        <c:lblOffset val="100"/>
        <c:noMultiLvlLbl val="0"/>
      </c:catAx>
      <c:valAx>
        <c:axId val="7785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4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[TranportType_Departure.xlsx]Weather_Departure!PivotTable5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1B-460B-A9F0-93DA72409DC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1B-460B-A9F0-93DA72409DC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8.63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31B-460B-A9F0-93DA72409D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31B-460B-A9F0-93DA72409D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Weather_Departure!$A$4:$A$6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Weather_Departure!$B$4:$B$6</c:f>
              <c:numCache>
                <c:formatCode>General</c:formatCode>
                <c:ptCount val="2"/>
                <c:pt idx="0">
                  <c:v>8.6339285714285712</c:v>
                </c:pt>
                <c:pt idx="1">
                  <c:v>8.8327205882352935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B-460B-A9F0-93DA72409D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617991"/>
        <c:axId val="72620039"/>
      </c:barChart>
      <c:catAx>
        <c:axId val="72617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vs Non-Peak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0039"/>
        <c:crosses val="autoZero"/>
        <c:auto val="1"/>
        <c:lblAlgn val="ctr"/>
        <c:lblOffset val="100"/>
        <c:noMultiLvlLbl val="0"/>
      </c:catAx>
      <c:valAx>
        <c:axId val="7262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17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[TranportType_Departure.xlsx]TransportType_Arrival!PivotTable1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064-48A6-ABEE-CD266714AD3C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64-48A6-ABEE-CD266714AD3C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064-48A6-ABEE-CD266714AD3C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64-48A6-ABEE-CD266714AD3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8064-48A6-ABEE-CD266714AD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064-48A6-ABEE-CD266714AD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064-48A6-ABEE-CD266714AD3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064-48A6-ABEE-CD266714A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64-48A6-ABEE-CD266714A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[TranportType_Departure.xlsx]Weather_Arrival!PivotTable2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2AC-40AF-86E5-AE5F0F819A49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AC-40AF-86E5-AE5F0F819A49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AC-40AF-86E5-AE5F0F819A49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AC-40AF-86E5-AE5F0F819A49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2AC-40AF-86E5-AE5F0F819A49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AC-40AF-86E5-AE5F0F819A4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2AC-40AF-86E5-AE5F0F819A4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2AC-40AF-86E5-AE5F0F819A4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2AC-40AF-86E5-AE5F0F819A4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2AC-40AF-86E5-AE5F0F819A4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2AC-40AF-86E5-AE5F0F819A4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2AC-40AF-86E5-AE5F0F819A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C-40AF-86E5-AE5F0F819A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[TranportType_Departure.xlsx]Congestion_Arrival!PivotTable4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Congestion Level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AAF-4F8D-BB90-6F935B0422FF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AF-4F8D-BB90-6F935B0422FF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AAF-4F8D-BB90-6F935B0422F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AAF-4F8D-BB90-6F935B0422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13.51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AAF-4F8D-BB90-6F935B0422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13.06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AAF-4F8D-BB90-6F935B0422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9-4847-849B-D84941DA2C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[TranportType_Departure.xlsx]Top5Routes!PivotTable2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14.12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13.99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DC-4BE0-AA21-E6ECC4E67D6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DC-4BE0-AA21-E6ECC4E67D6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DC-4BE0-AA21-E6ECC4E67D6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1DC-4BE0-AA21-E6ECC4E67D6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1DC-4BE0-AA21-E6ECC4E67D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1DC-4BE0-AA21-E6ECC4E67D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14.12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1DC-4BE0-AA21-E6ECC4E67D6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13.99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1DC-4BE0-AA21-E6ECC4E67D6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13.86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1DC-4BE0-AA21-E6ECC4E67D6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1DC-4BE0-AA21-E6ECC4E67D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F-4608-BA8A-78C33BF04B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 5 Worst Routes </a:t>
                </a:r>
              </a:p>
            </c:rich>
          </c:tx>
          <c:layout>
            <c:manualLayout>
              <c:xMode val="edge"/>
              <c:yMode val="edge"/>
              <c:x val="0.40876268591426074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[TranportType_Departure.xlsx]Weekday_Arrival!PivotTable1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17-4CDC-8297-DA13688C6AF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17-4CDC-8297-DA13688C6AF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17-4CDC-8297-DA13688C6AF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17-4CDC-8297-DA13688C6AF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17-4CDC-8297-DA13688C6AF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17-4CDC-8297-DA13688C6AF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17-4CDC-8297-DA13688C6AF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217-4CDC-8297-DA13688C6A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217-4CDC-8297-DA13688C6A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217-4CDC-8297-DA13688C6A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217-4CDC-8297-DA13688C6A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217-4CDC-8297-DA13688C6A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217-4CDC-8297-DA13688C6A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217-4CDC-8297-DA13688C6A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217-4CDC-8297-DA13688C6A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</xdr:row>
      <xdr:rowOff>9525</xdr:rowOff>
    </xdr:from>
    <xdr:to>
      <xdr:col>10</xdr:col>
      <xdr:colOff>485775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123825</xdr:colOff>
      <xdr:row>39</xdr:row>
      <xdr:rowOff>76200</xdr:rowOff>
    </xdr:from>
    <xdr:to>
      <xdr:col>9</xdr:col>
      <xdr:colOff>428625</xdr:colOff>
      <xdr:row>53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2D269-11E6-CCEF-8BAC-528C5EB4D12F}"/>
            </a:ext>
            <a:ext uri="{147F2762-F138-4A5C-976F-8EAC2B608ADB}">
              <a16:predDERef xmlns:a16="http://schemas.microsoft.com/office/drawing/2014/main" pre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66675</xdr:colOff>
      <xdr:row>2</xdr:row>
      <xdr:rowOff>95250</xdr:rowOff>
    </xdr:from>
    <xdr:to>
      <xdr:col>14</xdr:col>
      <xdr:colOff>66675</xdr:colOff>
      <xdr:row>16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ransport_type">
              <a:extLst>
                <a:ext uri="{FF2B5EF4-FFF2-40B4-BE49-F238E27FC236}">
                  <a16:creationId xmlns:a16="http://schemas.microsoft.com/office/drawing/2014/main" id="{1B892F91-0AFB-2EE6-19A5-9D63B5502BD6}"/>
                </a:ext>
                <a:ext uri="{147F2762-F138-4A5C-976F-8EAC2B608ADB}">
                  <a16:predDERef xmlns:a16="http://schemas.microsoft.com/office/drawing/2014/main" pred="{6A42D269-11E6-CCEF-8BAC-528C5EB4D1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8275" y="476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180975</xdr:rowOff>
    </xdr:from>
    <xdr:to>
      <xdr:col>10</xdr:col>
      <xdr:colOff>238125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2EF5B-F332-3557-7D27-C9F15AAC6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295275</xdr:colOff>
      <xdr:row>3</xdr:row>
      <xdr:rowOff>38100</xdr:rowOff>
    </xdr:from>
    <xdr:to>
      <xdr:col>13</xdr:col>
      <xdr:colOff>295275</xdr:colOff>
      <xdr:row>17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weather_condition">
              <a:extLst>
                <a:ext uri="{FF2B5EF4-FFF2-40B4-BE49-F238E27FC236}">
                  <a16:creationId xmlns:a16="http://schemas.microsoft.com/office/drawing/2014/main" id="{9F3C6252-7CB0-7F7C-8C34-5853C032D3D6}"/>
                </a:ext>
                <a:ext uri="{147F2762-F138-4A5C-976F-8EAC2B608ADB}">
                  <a16:predDERef xmlns:a16="http://schemas.microsoft.com/office/drawing/2014/main" pred="{0612EF5B-F332-3557-7D27-C9F15AAC60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_cond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4925" y="609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47625</xdr:rowOff>
    </xdr:from>
    <xdr:to>
      <xdr:col>10</xdr:col>
      <xdr:colOff>457200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DEB11-5314-FBF1-9759-6F69F63DA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85725</xdr:rowOff>
    </xdr:from>
    <xdr:to>
      <xdr:col>9</xdr:col>
      <xdr:colOff>533400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B88B2-AEF2-B3F5-DD71-6E6518B0E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161925</xdr:colOff>
      <xdr:row>2</xdr:row>
      <xdr:rowOff>66675</xdr:rowOff>
    </xdr:from>
    <xdr:to>
      <xdr:col>13</xdr:col>
      <xdr:colOff>161925</xdr:colOff>
      <xdr:row>16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ngestion_level">
              <a:extLst>
                <a:ext uri="{FF2B5EF4-FFF2-40B4-BE49-F238E27FC236}">
                  <a16:creationId xmlns:a16="http://schemas.microsoft.com/office/drawing/2014/main" id="{A1B5083A-3B8D-4BC8-7B1C-E8685CE2CD22}"/>
                </a:ext>
                <a:ext uri="{147F2762-F138-4A5C-976F-8EAC2B608ADB}">
                  <a16:predDERef xmlns:a16="http://schemas.microsoft.com/office/drawing/2014/main" pred="{73AB88B2-AEF2-B3F5-DD71-6E6518B0E8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gestion_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8700" y="447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</xdr:row>
      <xdr:rowOff>171450</xdr:rowOff>
    </xdr:from>
    <xdr:to>
      <xdr:col>11</xdr:col>
      <xdr:colOff>38100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13855-5C4E-A9FC-BA3E-FAC0CE99E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76200</xdr:rowOff>
    </xdr:from>
    <xdr:to>
      <xdr:col>10</xdr:col>
      <xdr:colOff>447675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C21EE-58AD-098A-433C-ADDD06A54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123825</xdr:rowOff>
    </xdr:from>
    <xdr:to>
      <xdr:col>14</xdr:col>
      <xdr:colOff>0</xdr:colOff>
      <xdr:row>16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ason">
              <a:extLst>
                <a:ext uri="{FF2B5EF4-FFF2-40B4-BE49-F238E27FC236}">
                  <a16:creationId xmlns:a16="http://schemas.microsoft.com/office/drawing/2014/main" id="{2724AFC6-F527-B69C-1B89-539D90E81DDE}"/>
                </a:ext>
                <a:ext uri="{147F2762-F138-4A5C-976F-8EAC2B608ADB}">
                  <a16:predDERef xmlns:a16="http://schemas.microsoft.com/office/drawing/2014/main" pred="{76BC21EE-58AD-098A-433C-ADDD06A54F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2025" y="504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5</xdr:row>
      <xdr:rowOff>38100</xdr:rowOff>
    </xdr:from>
    <xdr:to>
      <xdr:col>11</xdr:col>
      <xdr:colOff>238125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92BB86-829E-8984-0FA5-8A4D99FB0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66675</xdr:rowOff>
    </xdr:from>
    <xdr:to>
      <xdr:col>10</xdr:col>
      <xdr:colOff>466725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E2B91-AC91-0DFF-D437-4106517B1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2</xdr:row>
      <xdr:rowOff>104775</xdr:rowOff>
    </xdr:from>
    <xdr:to>
      <xdr:col>10</xdr:col>
      <xdr:colOff>257175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D19F2-4BC0-4FD2-53A8-11C7FDEDE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</xdr:row>
      <xdr:rowOff>171450</xdr:rowOff>
    </xdr:from>
    <xdr:to>
      <xdr:col>10</xdr:col>
      <xdr:colOff>371475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CDDB7-E62F-80E0-A149-832D12B65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152400</xdr:rowOff>
    </xdr:from>
    <xdr:to>
      <xdr:col>10</xdr:col>
      <xdr:colOff>238125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00F1F-F22B-B223-A7DD-CC1D731DE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4</xdr:row>
      <xdr:rowOff>57150</xdr:rowOff>
    </xdr:from>
    <xdr:to>
      <xdr:col>11</xdr:col>
      <xdr:colOff>295275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02A6E-4D81-A57D-7462-6F7037DDC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57150</xdr:rowOff>
    </xdr:from>
    <xdr:to>
      <xdr:col>4</xdr:col>
      <xdr:colOff>590550</xdr:colOff>
      <xdr:row>18</xdr:row>
      <xdr:rowOff>161925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714375</xdr:colOff>
      <xdr:row>5</xdr:row>
      <xdr:rowOff>47625</xdr:rowOff>
    </xdr:from>
    <xdr:to>
      <xdr:col>9</xdr:col>
      <xdr:colOff>590550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7E1A8C-A016-476F-838B-ECF40B3EA525}"/>
            </a:ext>
            <a:ext uri="{147F2762-F138-4A5C-976F-8EAC2B608ADB}">
              <a16:predDERef xmlns:a16="http://schemas.microsoft.com/office/drawing/2014/main" pre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476250</xdr:colOff>
      <xdr:row>19</xdr:row>
      <xdr:rowOff>85725</xdr:rowOff>
    </xdr:from>
    <xdr:to>
      <xdr:col>14</xdr:col>
      <xdr:colOff>66675</xdr:colOff>
      <xdr:row>31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ABCD6-4A5B-42C9-B7DD-401AEC23E906}"/>
            </a:ext>
            <a:ext uri="{147F2762-F138-4A5C-976F-8EAC2B608ADB}">
              <a16:predDERef xmlns:a16="http://schemas.microsoft.com/office/drawing/2014/main" pred="{8D7E1A8C-A016-476F-838B-ECF40B3EA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571500</xdr:colOff>
      <xdr:row>5</xdr:row>
      <xdr:rowOff>57150</xdr:rowOff>
    </xdr:from>
    <xdr:to>
      <xdr:col>14</xdr:col>
      <xdr:colOff>1371600</xdr:colOff>
      <xdr:row>19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9A8FD68-6357-4074-8A34-07EA57D5CEE0}"/>
            </a:ext>
            <a:ext uri="{147F2762-F138-4A5C-976F-8EAC2B608ADB}">
              <a16:predDERef xmlns:a16="http://schemas.microsoft.com/office/drawing/2014/main" pred="{207ABCD6-4A5B-42C9-B7DD-401AEC23E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200025</xdr:colOff>
      <xdr:row>19</xdr:row>
      <xdr:rowOff>38100</xdr:rowOff>
    </xdr:from>
    <xdr:to>
      <xdr:col>6</xdr:col>
      <xdr:colOff>495300</xdr:colOff>
      <xdr:row>32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F11EA7-8F7F-4558-B392-B267BB857220}"/>
            </a:ext>
            <a:ext uri="{147F2762-F138-4A5C-976F-8EAC2B608ADB}">
              <a16:predDERef xmlns:a16="http://schemas.microsoft.com/office/drawing/2014/main" pred="{69A8FD68-6357-4074-8A34-07EA57D5C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0.750834143517" createdVersion="8" refreshedVersion="8" minRefreshableVersion="3" recordCount="2000" xr:uid="{6EA7F1E4-F5B5-4878-9879-A5B32F250F7C}">
  <cacheSource type="worksheet">
    <worksheetSource name="Table1"/>
  </cacheSource>
  <cacheFields count="25">
    <cacheField name="trip_id" numFmtId="0">
      <sharedItems/>
    </cacheField>
    <cacheField name="date" numFmtId="14">
      <sharedItems containsSemiMixedTypes="0" containsNonDate="0" containsDate="1" containsString="0" minDate="2023-01-01T00:00:00" maxDate="2023-01-23T00:00:00"/>
    </cacheField>
    <cacheField name="time" numFmtId="21">
      <sharedItems containsSemiMixedTypes="0" containsNonDate="0" containsDate="1" containsString="0" minDate="1899-12-30T00:00:00" maxDate="1899-12-30T23:45:00"/>
    </cacheField>
    <cacheField name="transport_type" numFmtId="0">
      <sharedItems count="4">
        <s v="Tram"/>
        <s v="Metro"/>
        <s v="Bus"/>
        <s v="Train"/>
      </sharedItems>
    </cacheField>
    <cacheField name="route_id" numFmtId="0">
      <sharedItems count="20">
        <s v="Route_15"/>
        <s v="Route_12"/>
        <s v="Route_16"/>
        <s v="Route_19"/>
        <s v="Route_8"/>
        <s v="Route_17"/>
        <s v="Route_5"/>
        <s v="Route_6"/>
        <s v="Route_18"/>
        <s v="Route_9"/>
        <s v="Route_13"/>
        <s v="Route_10"/>
        <s v="Route_7"/>
        <s v="Route_14"/>
        <s v="Route_20"/>
        <s v="Route_3"/>
        <s v="Route_2"/>
        <s v="Route_11"/>
        <s v="Route_4"/>
        <s v="Route_1"/>
      </sharedItems>
    </cacheField>
    <cacheField name="origin_station" numFmtId="0">
      <sharedItems/>
    </cacheField>
    <cacheField name="destination_station" numFmtId="0">
      <sharedItems/>
    </cacheField>
    <cacheField name="scheduled_departure" numFmtId="21">
      <sharedItems containsSemiMixedTypes="0" containsNonDate="0" containsDate="1" containsString="0" minDate="1899-12-30T00:00:00" maxDate="1899-12-30T23:49:00"/>
    </cacheField>
    <cacheField name="scheduled_arrival" numFmtId="21">
      <sharedItems containsSemiMixedTypes="0" containsNonDate="0" containsDate="1" containsString="0" minDate="1899-12-30T00:00:00" maxDate="1899-12-30T23:59:00"/>
    </cacheField>
    <cacheField name="actual_departure_delay_min" numFmtId="0">
      <sharedItems containsSemiMixedTypes="0" containsString="0" containsNumber="1" containsInteger="1" minValue="-2" maxValue="19"/>
    </cacheField>
    <cacheField name="actual_arrival_delay_min" numFmtId="0">
      <sharedItems containsSemiMixedTypes="0" containsString="0" containsNumber="1" containsInteger="1" minValue="-3" maxValue="29"/>
    </cacheField>
    <cacheField name="weather_condition" numFmtId="0">
      <sharedItems count="6">
        <s v="Storm"/>
        <s v="Rain"/>
        <s v="Clear"/>
        <s v="Snow"/>
        <s v="Fog"/>
        <s v="Cloudy"/>
      </sharedItems>
    </cacheField>
    <cacheField name="temperature_C" numFmtId="0">
      <sharedItems containsSemiMixedTypes="0" containsString="0" containsNumber="1" minValue="-5" maxValue="35"/>
    </cacheField>
    <cacheField name="humidity_percent" numFmtId="0">
      <sharedItems containsSemiMixedTypes="0" containsString="0" containsNumber="1" containsInteger="1" minValue="30" maxValue="99"/>
    </cacheField>
    <cacheField name="wind_speed_kmh" numFmtId="0">
      <sharedItems containsSemiMixedTypes="0" containsString="0" containsNumber="1" containsInteger="1" minValue="0" maxValue="59"/>
    </cacheField>
    <cacheField name="precipitation_mm" numFmtId="0">
      <sharedItems containsSemiMixedTypes="0" containsString="0" containsNumber="1" minValue="0" maxValue="20"/>
    </cacheField>
    <cacheField name="event_type" numFmtId="0">
      <sharedItems count="6">
        <s v="None"/>
        <s v="Sports"/>
        <s v="Protest"/>
        <s v="Parade"/>
        <s v="Concert"/>
        <s v="Festival"/>
      </sharedItems>
    </cacheField>
    <cacheField name="event_attendance_est" numFmtId="0">
      <sharedItems containsSemiMixedTypes="0" containsString="0" containsNumber="1" containsInteger="1" minValue="0" maxValue="50000"/>
    </cacheField>
    <cacheField name="traffic_congestion_index" numFmtId="0">
      <sharedItems containsSemiMixedTypes="0" containsString="0" containsNumber="1" containsInteger="1" minValue="0" maxValue="99"/>
    </cacheField>
    <cacheField name="holiday" numFmtId="0">
      <sharedItems containsSemiMixedTypes="0" containsString="0" containsNumber="1" containsInteger="1" minValue="0" maxValue="1" count="2">
        <n v="0"/>
        <n v="1"/>
      </sharedItems>
    </cacheField>
    <cacheField name="peak_hour" numFmtId="0">
      <sharedItems containsSemiMixedTypes="0" containsString="0" containsNumber="1" containsInteger="1" minValue="0" maxValue="1" count="2">
        <n v="1"/>
        <n v="0"/>
      </sharedItems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season" numFmtId="0">
      <sharedItems count="4">
        <s v="Winter"/>
        <s v="Autumn"/>
        <s v="Spring"/>
        <s v="Summer"/>
      </sharedItems>
    </cacheField>
    <cacheField name="delayed" numFmtId="0">
      <sharedItems containsSemiMixedTypes="0" containsString="0" containsNumber="1" containsInteger="1" minValue="0" maxValue="1" count="2">
        <n v="0"/>
        <n v="1"/>
      </sharedItems>
    </cacheField>
    <cacheField name="congestion_level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 pivotCacheId="297029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00000"/>
    <d v="2023-01-01T00:00:00"/>
    <d v="1899-12-30T05:00:00"/>
    <x v="0"/>
    <x v="0"/>
    <s v="Station_31"/>
    <s v="Station_6"/>
    <d v="1899-12-30T05:02:00"/>
    <d v="1899-12-30T05:55:00"/>
    <n v="12"/>
    <n v="3"/>
    <x v="0"/>
    <n v="5.0999999999999996"/>
    <n v="52"/>
    <n v="46"/>
    <n v="13"/>
    <x v="0"/>
    <n v="500"/>
    <n v="81"/>
    <x v="0"/>
    <x v="0"/>
    <x v="0"/>
    <x v="0"/>
    <x v="0"/>
    <x v="0"/>
  </r>
  <r>
    <s v="T00001"/>
    <d v="2023-01-01T00:00:00"/>
    <d v="1899-12-30T05:15:00"/>
    <x v="1"/>
    <x v="1"/>
    <s v="Station_49"/>
    <s v="Station_32"/>
    <d v="1899-12-30T05:16:00"/>
    <d v="1899-12-30T05:55:00"/>
    <n v="15"/>
    <n v="9"/>
    <x v="1"/>
    <n v="34"/>
    <n v="64"/>
    <n v="11"/>
    <n v="11.4"/>
    <x v="0"/>
    <n v="0"/>
    <n v="53"/>
    <x v="0"/>
    <x v="1"/>
    <x v="0"/>
    <x v="1"/>
    <x v="1"/>
    <x v="1"/>
  </r>
  <r>
    <s v="T00002"/>
    <d v="2023-01-01T00:00:00"/>
    <d v="1899-12-30T05:30:00"/>
    <x v="2"/>
    <x v="2"/>
    <s v="Station_29"/>
    <s v="Station_42"/>
    <d v="1899-12-30T05:33:00"/>
    <d v="1899-12-30T06:17:00"/>
    <n v="0"/>
    <n v="0"/>
    <x v="2"/>
    <n v="29.5"/>
    <n v="35"/>
    <n v="31"/>
    <n v="14.1"/>
    <x v="1"/>
    <n v="0"/>
    <n v="67"/>
    <x v="1"/>
    <x v="1"/>
    <x v="0"/>
    <x v="1"/>
    <x v="0"/>
    <x v="0"/>
  </r>
  <r>
    <s v="T00003"/>
    <d v="2023-01-01T00:00:00"/>
    <d v="1899-12-30T05:45:00"/>
    <x v="0"/>
    <x v="3"/>
    <s v="Station_26"/>
    <s v="Station_18"/>
    <d v="1899-12-30T05:49:00"/>
    <d v="1899-12-30T06:08:00"/>
    <n v="15"/>
    <n v="10"/>
    <x v="2"/>
    <n v="27.4"/>
    <n v="55"/>
    <n v="41"/>
    <n v="6.4"/>
    <x v="0"/>
    <n v="500"/>
    <n v="84"/>
    <x v="0"/>
    <x v="1"/>
    <x v="0"/>
    <x v="0"/>
    <x v="1"/>
    <x v="0"/>
  </r>
  <r>
    <s v="T00004"/>
    <d v="2023-01-01T00:00:00"/>
    <d v="1899-12-30T06:00:00"/>
    <x v="0"/>
    <x v="4"/>
    <s v="Station_18"/>
    <s v="Station_15"/>
    <d v="1899-12-30T06:00:00"/>
    <d v="1899-12-30T06:35:00"/>
    <n v="-1"/>
    <n v="14"/>
    <x v="3"/>
    <n v="0.1"/>
    <n v="90"/>
    <n v="30"/>
    <n v="18.5"/>
    <x v="0"/>
    <n v="500"/>
    <n v="46"/>
    <x v="0"/>
    <x v="1"/>
    <x v="0"/>
    <x v="2"/>
    <x v="1"/>
    <x v="1"/>
  </r>
  <r>
    <s v="T00005"/>
    <d v="2023-01-01T00:00:00"/>
    <d v="1899-12-30T06:15:00"/>
    <x v="1"/>
    <x v="5"/>
    <s v="Station_32"/>
    <s v="Station_40"/>
    <d v="1899-12-30T06:15:00"/>
    <d v="1899-12-30T06:56:00"/>
    <n v="7"/>
    <n v="4"/>
    <x v="1"/>
    <n v="25.2"/>
    <n v="44"/>
    <n v="21"/>
    <n v="2.2999999999999998"/>
    <x v="2"/>
    <n v="0"/>
    <n v="41"/>
    <x v="0"/>
    <x v="1"/>
    <x v="0"/>
    <x v="2"/>
    <x v="0"/>
    <x v="1"/>
  </r>
  <r>
    <s v="T00006"/>
    <d v="2023-01-01T00:00:00"/>
    <d v="1899-12-30T06:30:00"/>
    <x v="2"/>
    <x v="6"/>
    <s v="Station_22"/>
    <s v="Station_32"/>
    <d v="1899-12-30T06:34:00"/>
    <d v="1899-12-30T07:01:00"/>
    <n v="8"/>
    <n v="28"/>
    <x v="0"/>
    <n v="3.6"/>
    <n v="61"/>
    <n v="16"/>
    <n v="6.4"/>
    <x v="3"/>
    <n v="0"/>
    <n v="22"/>
    <x v="1"/>
    <x v="0"/>
    <x v="0"/>
    <x v="2"/>
    <x v="1"/>
    <x v="2"/>
  </r>
  <r>
    <s v="T00007"/>
    <d v="2023-01-01T00:00:00"/>
    <d v="1899-12-30T06:45:00"/>
    <x v="2"/>
    <x v="2"/>
    <s v="Station_38"/>
    <s v="Station_9"/>
    <d v="1899-12-30T06:47:00"/>
    <d v="1899-12-30T07:20:00"/>
    <n v="0"/>
    <n v="23"/>
    <x v="2"/>
    <n v="34.1"/>
    <n v="41"/>
    <n v="19"/>
    <n v="0.6"/>
    <x v="0"/>
    <n v="0"/>
    <n v="85"/>
    <x v="0"/>
    <x v="1"/>
    <x v="0"/>
    <x v="2"/>
    <x v="1"/>
    <x v="0"/>
  </r>
  <r>
    <s v="T00008"/>
    <d v="2023-01-01T00:00:00"/>
    <d v="1899-12-30T07:00:00"/>
    <x v="0"/>
    <x v="7"/>
    <s v="Station_17"/>
    <s v="Station_37"/>
    <d v="1899-12-30T07:01:00"/>
    <d v="1899-12-30T07:59:00"/>
    <n v="4"/>
    <n v="19"/>
    <x v="2"/>
    <n v="-2.9"/>
    <n v="34"/>
    <n v="19"/>
    <n v="5.4"/>
    <x v="4"/>
    <n v="500"/>
    <n v="64"/>
    <x v="0"/>
    <x v="1"/>
    <x v="0"/>
    <x v="3"/>
    <x v="1"/>
    <x v="1"/>
  </r>
  <r>
    <s v="T00009"/>
    <d v="2023-01-01T00:00:00"/>
    <d v="1899-12-30T07:15:00"/>
    <x v="3"/>
    <x v="4"/>
    <s v="Station_23"/>
    <s v="Station_10"/>
    <d v="1899-12-30T07:17:00"/>
    <d v="1899-12-30T08:12:00"/>
    <n v="5"/>
    <n v="3"/>
    <x v="4"/>
    <n v="9.1"/>
    <n v="93"/>
    <n v="42"/>
    <n v="4.4000000000000004"/>
    <x v="0"/>
    <n v="50000"/>
    <n v="88"/>
    <x v="0"/>
    <x v="1"/>
    <x v="0"/>
    <x v="3"/>
    <x v="0"/>
    <x v="0"/>
  </r>
  <r>
    <s v="T00010"/>
    <d v="2023-01-01T00:00:00"/>
    <d v="1899-12-30T07:30:00"/>
    <x v="0"/>
    <x v="8"/>
    <s v="Station_24"/>
    <s v="Station_20"/>
    <d v="1899-12-30T07:30:00"/>
    <d v="1899-12-30T08:26:00"/>
    <n v="16"/>
    <n v="8"/>
    <x v="3"/>
    <n v="12.1"/>
    <n v="56"/>
    <n v="7"/>
    <n v="1"/>
    <x v="0"/>
    <n v="0"/>
    <n v="53"/>
    <x v="0"/>
    <x v="1"/>
    <x v="0"/>
    <x v="0"/>
    <x v="1"/>
    <x v="1"/>
  </r>
  <r>
    <s v="T00011"/>
    <d v="2023-01-01T00:00:00"/>
    <d v="1899-12-30T07:45:00"/>
    <x v="0"/>
    <x v="1"/>
    <s v="Station_50"/>
    <s v="Station_6"/>
    <d v="1899-12-30T07:49:00"/>
    <d v="1899-12-30T08:33:00"/>
    <n v="15"/>
    <n v="21"/>
    <x v="5"/>
    <n v="28"/>
    <n v="74"/>
    <n v="46"/>
    <n v="9.8000000000000007"/>
    <x v="0"/>
    <n v="2000"/>
    <n v="91"/>
    <x v="0"/>
    <x v="1"/>
    <x v="0"/>
    <x v="3"/>
    <x v="1"/>
    <x v="0"/>
  </r>
  <r>
    <s v="T00012"/>
    <d v="2023-01-01T00:00:00"/>
    <d v="1899-12-30T08:00:00"/>
    <x v="0"/>
    <x v="0"/>
    <s v="Station_8"/>
    <s v="Station_48"/>
    <d v="1899-12-30T08:04:00"/>
    <d v="1899-12-30T08:37:00"/>
    <n v="10"/>
    <n v="-1"/>
    <x v="2"/>
    <n v="25.6"/>
    <n v="64"/>
    <n v="33"/>
    <n v="9.4"/>
    <x v="3"/>
    <n v="0"/>
    <n v="10"/>
    <x v="0"/>
    <x v="1"/>
    <x v="0"/>
    <x v="3"/>
    <x v="0"/>
    <x v="2"/>
  </r>
  <r>
    <s v="T00013"/>
    <d v="2023-01-01T00:00:00"/>
    <d v="1899-12-30T08:15:00"/>
    <x v="0"/>
    <x v="9"/>
    <s v="Station_41"/>
    <s v="Station_3"/>
    <d v="1899-12-30T08:17:00"/>
    <d v="1899-12-30T08:44:00"/>
    <n v="10"/>
    <n v="22"/>
    <x v="0"/>
    <n v="10"/>
    <n v="55"/>
    <n v="48"/>
    <n v="1.6"/>
    <x v="0"/>
    <n v="10000"/>
    <n v="62"/>
    <x v="0"/>
    <x v="0"/>
    <x v="0"/>
    <x v="3"/>
    <x v="1"/>
    <x v="1"/>
  </r>
  <r>
    <s v="T00014"/>
    <d v="2023-01-01T00:00:00"/>
    <d v="1899-12-30T08:30:00"/>
    <x v="1"/>
    <x v="10"/>
    <s v="Station_6"/>
    <s v="Station_42"/>
    <d v="1899-12-30T08:32:00"/>
    <d v="1899-12-30T09:28:00"/>
    <n v="16"/>
    <n v="0"/>
    <x v="0"/>
    <n v="17.600000000000001"/>
    <n v="52"/>
    <n v="22"/>
    <n v="5.2"/>
    <x v="0"/>
    <n v="500"/>
    <n v="21"/>
    <x v="0"/>
    <x v="1"/>
    <x v="0"/>
    <x v="0"/>
    <x v="0"/>
    <x v="2"/>
  </r>
  <r>
    <s v="T00015"/>
    <d v="2023-01-01T00:00:00"/>
    <d v="1899-12-30T08:45:00"/>
    <x v="2"/>
    <x v="0"/>
    <s v="Station_5"/>
    <s v="Station_11"/>
    <d v="1899-12-30T08:46:00"/>
    <d v="1899-12-30T09:22:00"/>
    <n v="9"/>
    <n v="11"/>
    <x v="4"/>
    <n v="28.4"/>
    <n v="42"/>
    <n v="37"/>
    <n v="19.100000000000001"/>
    <x v="0"/>
    <n v="500"/>
    <n v="53"/>
    <x v="0"/>
    <x v="1"/>
    <x v="0"/>
    <x v="3"/>
    <x v="1"/>
    <x v="1"/>
  </r>
  <r>
    <s v="T00016"/>
    <d v="2023-01-01T00:00:00"/>
    <d v="1899-12-30T09:00:00"/>
    <x v="1"/>
    <x v="11"/>
    <s v="Station_44"/>
    <s v="Station_43"/>
    <d v="1899-12-30T09:03:00"/>
    <d v="1899-12-30T09:20:00"/>
    <n v="14"/>
    <n v="28"/>
    <x v="0"/>
    <n v="-4.3"/>
    <n v="32"/>
    <n v="52"/>
    <n v="2.2000000000000002"/>
    <x v="5"/>
    <n v="0"/>
    <n v="88"/>
    <x v="0"/>
    <x v="1"/>
    <x v="0"/>
    <x v="2"/>
    <x v="1"/>
    <x v="0"/>
  </r>
  <r>
    <s v="T00017"/>
    <d v="2023-01-01T00:00:00"/>
    <d v="1899-12-30T09:15:00"/>
    <x v="1"/>
    <x v="2"/>
    <s v="Station_29"/>
    <s v="Station_17"/>
    <d v="1899-12-30T09:18:00"/>
    <d v="1899-12-30T10:13:00"/>
    <n v="19"/>
    <n v="25"/>
    <x v="4"/>
    <n v="27.1"/>
    <n v="58"/>
    <n v="27"/>
    <n v="6.1"/>
    <x v="0"/>
    <n v="0"/>
    <n v="84"/>
    <x v="0"/>
    <x v="1"/>
    <x v="0"/>
    <x v="2"/>
    <x v="1"/>
    <x v="0"/>
  </r>
  <r>
    <s v="T00018"/>
    <d v="2023-01-01T00:00:00"/>
    <d v="1899-12-30T09:30:00"/>
    <x v="1"/>
    <x v="12"/>
    <s v="Station_28"/>
    <s v="Station_32"/>
    <d v="1899-12-30T09:31:00"/>
    <d v="1899-12-30T10:10:00"/>
    <n v="9"/>
    <n v="6"/>
    <x v="2"/>
    <n v="32.9"/>
    <n v="95"/>
    <n v="12"/>
    <n v="0.7"/>
    <x v="0"/>
    <n v="2000"/>
    <n v="35"/>
    <x v="0"/>
    <x v="0"/>
    <x v="0"/>
    <x v="0"/>
    <x v="1"/>
    <x v="1"/>
  </r>
  <r>
    <s v="T00019"/>
    <d v="2023-01-01T00:00:00"/>
    <d v="1899-12-30T09:45:00"/>
    <x v="0"/>
    <x v="5"/>
    <s v="Station_11"/>
    <s v="Station_4"/>
    <d v="1899-12-30T09:48:00"/>
    <d v="1899-12-30T10:05:00"/>
    <n v="10"/>
    <n v="17"/>
    <x v="2"/>
    <n v="-3.7"/>
    <n v="93"/>
    <n v="28"/>
    <n v="3"/>
    <x v="5"/>
    <n v="0"/>
    <n v="57"/>
    <x v="0"/>
    <x v="1"/>
    <x v="0"/>
    <x v="0"/>
    <x v="1"/>
    <x v="1"/>
  </r>
  <r>
    <s v="T00020"/>
    <d v="2023-01-01T00:00:00"/>
    <d v="1899-12-30T10:00:00"/>
    <x v="3"/>
    <x v="12"/>
    <s v="Station_1"/>
    <s v="Station_4"/>
    <d v="1899-12-30T10:00:00"/>
    <d v="1899-12-30T10:34:00"/>
    <n v="9"/>
    <n v="12"/>
    <x v="2"/>
    <n v="-3.2"/>
    <n v="57"/>
    <n v="7"/>
    <n v="14"/>
    <x v="4"/>
    <n v="0"/>
    <n v="19"/>
    <x v="0"/>
    <x v="1"/>
    <x v="0"/>
    <x v="0"/>
    <x v="1"/>
    <x v="2"/>
  </r>
  <r>
    <s v="T00021"/>
    <d v="2023-01-01T00:00:00"/>
    <d v="1899-12-30T10:15:00"/>
    <x v="2"/>
    <x v="13"/>
    <s v="Station_43"/>
    <s v="Station_17"/>
    <d v="1899-12-30T10:18:00"/>
    <d v="1899-12-30T10:38:00"/>
    <n v="16"/>
    <n v="15"/>
    <x v="2"/>
    <n v="8.8000000000000007"/>
    <n v="65"/>
    <n v="10"/>
    <n v="7.3"/>
    <x v="0"/>
    <n v="0"/>
    <n v="15"/>
    <x v="0"/>
    <x v="1"/>
    <x v="0"/>
    <x v="1"/>
    <x v="1"/>
    <x v="2"/>
  </r>
  <r>
    <s v="T00022"/>
    <d v="2023-01-01T00:00:00"/>
    <d v="1899-12-30T10:30:00"/>
    <x v="3"/>
    <x v="0"/>
    <s v="Station_19"/>
    <s v="Station_41"/>
    <d v="1899-12-30T10:31:00"/>
    <d v="1899-12-30T11:09:00"/>
    <n v="11"/>
    <n v="25"/>
    <x v="5"/>
    <n v="-1.5"/>
    <n v="35"/>
    <n v="46"/>
    <n v="9"/>
    <x v="0"/>
    <n v="0"/>
    <n v="91"/>
    <x v="0"/>
    <x v="1"/>
    <x v="0"/>
    <x v="3"/>
    <x v="1"/>
    <x v="0"/>
  </r>
  <r>
    <s v="T00023"/>
    <d v="2023-01-01T00:00:00"/>
    <d v="1899-12-30T10:45:00"/>
    <x v="1"/>
    <x v="12"/>
    <s v="Station_9"/>
    <s v="Station_19"/>
    <d v="1899-12-30T10:48:00"/>
    <d v="1899-12-30T11:14:00"/>
    <n v="4"/>
    <n v="14"/>
    <x v="3"/>
    <n v="14.2"/>
    <n v="40"/>
    <n v="44"/>
    <n v="3.1"/>
    <x v="5"/>
    <n v="500"/>
    <n v="55"/>
    <x v="0"/>
    <x v="0"/>
    <x v="0"/>
    <x v="0"/>
    <x v="1"/>
    <x v="1"/>
  </r>
  <r>
    <s v="T00024"/>
    <d v="2023-01-01T00:00:00"/>
    <d v="1899-12-30T11:00:00"/>
    <x v="1"/>
    <x v="9"/>
    <s v="Station_27"/>
    <s v="Station_5"/>
    <d v="1899-12-30T11:04:00"/>
    <d v="1899-12-30T11:42:00"/>
    <n v="10"/>
    <n v="12"/>
    <x v="3"/>
    <n v="24.1"/>
    <n v="67"/>
    <n v="17"/>
    <n v="13.6"/>
    <x v="5"/>
    <n v="0"/>
    <n v="92"/>
    <x v="0"/>
    <x v="1"/>
    <x v="0"/>
    <x v="0"/>
    <x v="1"/>
    <x v="0"/>
  </r>
  <r>
    <s v="T00025"/>
    <d v="2023-01-01T00:00:00"/>
    <d v="1899-12-30T11:15:00"/>
    <x v="3"/>
    <x v="3"/>
    <s v="Station_34"/>
    <s v="Station_32"/>
    <d v="1899-12-30T11:17:00"/>
    <d v="1899-12-30T12:08:00"/>
    <n v="3"/>
    <n v="-3"/>
    <x v="5"/>
    <n v="17.7"/>
    <n v="63"/>
    <n v="49"/>
    <n v="15"/>
    <x v="0"/>
    <n v="0"/>
    <n v="49"/>
    <x v="0"/>
    <x v="1"/>
    <x v="0"/>
    <x v="0"/>
    <x v="0"/>
    <x v="1"/>
  </r>
  <r>
    <s v="T00026"/>
    <d v="2023-01-01T00:00:00"/>
    <d v="1899-12-30T11:30:00"/>
    <x v="3"/>
    <x v="2"/>
    <s v="Station_44"/>
    <s v="Station_22"/>
    <d v="1899-12-30T11:30:00"/>
    <d v="1899-12-30T12:22:00"/>
    <n v="16"/>
    <n v="-2"/>
    <x v="2"/>
    <n v="2.9"/>
    <n v="96"/>
    <n v="24"/>
    <n v="3.6"/>
    <x v="0"/>
    <n v="0"/>
    <n v="89"/>
    <x v="1"/>
    <x v="1"/>
    <x v="0"/>
    <x v="2"/>
    <x v="0"/>
    <x v="0"/>
  </r>
  <r>
    <s v="T00027"/>
    <d v="2023-01-01T00:00:00"/>
    <d v="1899-12-30T11:45:00"/>
    <x v="3"/>
    <x v="4"/>
    <s v="Station_4"/>
    <s v="Station_6"/>
    <d v="1899-12-30T11:49:00"/>
    <d v="1899-12-30T12:38:00"/>
    <n v="16"/>
    <n v="11"/>
    <x v="0"/>
    <n v="21.2"/>
    <n v="75"/>
    <n v="48"/>
    <n v="0.9"/>
    <x v="0"/>
    <n v="10000"/>
    <n v="65"/>
    <x v="0"/>
    <x v="1"/>
    <x v="0"/>
    <x v="0"/>
    <x v="1"/>
    <x v="1"/>
  </r>
  <r>
    <s v="T00028"/>
    <d v="2023-01-01T00:00:00"/>
    <d v="1899-12-30T12:00:00"/>
    <x v="1"/>
    <x v="8"/>
    <s v="Station_36"/>
    <s v="Station_35"/>
    <d v="1899-12-30T12:04:00"/>
    <d v="1899-12-30T12:58:00"/>
    <n v="1"/>
    <n v="24"/>
    <x v="4"/>
    <n v="22.4"/>
    <n v="58"/>
    <n v="21"/>
    <n v="1.6"/>
    <x v="0"/>
    <n v="50000"/>
    <n v="73"/>
    <x v="0"/>
    <x v="1"/>
    <x v="0"/>
    <x v="2"/>
    <x v="1"/>
    <x v="0"/>
  </r>
  <r>
    <s v="T00029"/>
    <d v="2023-01-01T00:00:00"/>
    <d v="1899-12-30T12:15:00"/>
    <x v="1"/>
    <x v="8"/>
    <s v="Station_18"/>
    <s v="Station_22"/>
    <d v="1899-12-30T12:16:00"/>
    <d v="1899-12-30T12:44:00"/>
    <n v="16"/>
    <n v="-3"/>
    <x v="3"/>
    <n v="32.299999999999997"/>
    <n v="89"/>
    <n v="44"/>
    <n v="13.1"/>
    <x v="1"/>
    <n v="0"/>
    <n v="12"/>
    <x v="0"/>
    <x v="0"/>
    <x v="0"/>
    <x v="2"/>
    <x v="0"/>
    <x v="2"/>
  </r>
  <r>
    <s v="T00030"/>
    <d v="2023-01-01T00:00:00"/>
    <d v="1899-12-30T12:30:00"/>
    <x v="2"/>
    <x v="14"/>
    <s v="Station_15"/>
    <s v="Station_1"/>
    <d v="1899-12-30T12:32:00"/>
    <d v="1899-12-30T13:09:00"/>
    <n v="6"/>
    <n v="1"/>
    <x v="1"/>
    <n v="0.9"/>
    <n v="83"/>
    <n v="34"/>
    <n v="2.7"/>
    <x v="0"/>
    <n v="0"/>
    <n v="14"/>
    <x v="0"/>
    <x v="1"/>
    <x v="0"/>
    <x v="1"/>
    <x v="0"/>
    <x v="2"/>
  </r>
  <r>
    <s v="T00031"/>
    <d v="2023-01-01T00:00:00"/>
    <d v="1899-12-30T12:45:00"/>
    <x v="2"/>
    <x v="12"/>
    <s v="Station_13"/>
    <s v="Station_20"/>
    <d v="1899-12-30T12:47:00"/>
    <d v="1899-12-30T13:05:00"/>
    <n v="13"/>
    <n v="18"/>
    <x v="4"/>
    <n v="22.7"/>
    <n v="98"/>
    <n v="28"/>
    <n v="9.9"/>
    <x v="1"/>
    <n v="0"/>
    <n v="72"/>
    <x v="0"/>
    <x v="0"/>
    <x v="0"/>
    <x v="0"/>
    <x v="1"/>
    <x v="0"/>
  </r>
  <r>
    <s v="T00032"/>
    <d v="2023-01-01T00:00:00"/>
    <d v="1899-12-30T13:00:00"/>
    <x v="1"/>
    <x v="15"/>
    <s v="Station_19"/>
    <s v="Station_22"/>
    <d v="1899-12-30T13:00:00"/>
    <d v="1899-12-30T13:32:00"/>
    <n v="1"/>
    <n v="9"/>
    <x v="1"/>
    <n v="31.5"/>
    <n v="38"/>
    <n v="20"/>
    <n v="3.1"/>
    <x v="4"/>
    <n v="0"/>
    <n v="26"/>
    <x v="0"/>
    <x v="1"/>
    <x v="0"/>
    <x v="1"/>
    <x v="1"/>
    <x v="2"/>
  </r>
  <r>
    <s v="T00033"/>
    <d v="2023-01-01T00:00:00"/>
    <d v="1899-12-30T13:15:00"/>
    <x v="3"/>
    <x v="8"/>
    <s v="Station_49"/>
    <s v="Station_48"/>
    <d v="1899-12-30T13:16:00"/>
    <d v="1899-12-30T13:35:00"/>
    <n v="3"/>
    <n v="-3"/>
    <x v="1"/>
    <n v="15.1"/>
    <n v="39"/>
    <n v="55"/>
    <n v="3.4"/>
    <x v="1"/>
    <n v="2000"/>
    <n v="7"/>
    <x v="0"/>
    <x v="0"/>
    <x v="0"/>
    <x v="0"/>
    <x v="0"/>
    <x v="2"/>
  </r>
  <r>
    <s v="T00034"/>
    <d v="2023-01-01T00:00:00"/>
    <d v="1899-12-30T13:30:00"/>
    <x v="3"/>
    <x v="11"/>
    <s v="Station_6"/>
    <s v="Station_11"/>
    <d v="1899-12-30T13:30:00"/>
    <d v="1899-12-30T13:54:00"/>
    <n v="5"/>
    <n v="12"/>
    <x v="2"/>
    <n v="9.5"/>
    <n v="97"/>
    <n v="6"/>
    <n v="0.1"/>
    <x v="5"/>
    <n v="0"/>
    <n v="69"/>
    <x v="0"/>
    <x v="1"/>
    <x v="0"/>
    <x v="3"/>
    <x v="1"/>
    <x v="0"/>
  </r>
  <r>
    <s v="T00035"/>
    <d v="2023-01-01T00:00:00"/>
    <d v="1899-12-30T13:45:00"/>
    <x v="2"/>
    <x v="12"/>
    <s v="Station_48"/>
    <s v="Station_13"/>
    <d v="1899-12-30T13:48:00"/>
    <d v="1899-12-30T14:20:00"/>
    <n v="13"/>
    <n v="18"/>
    <x v="1"/>
    <n v="1.8"/>
    <n v="87"/>
    <n v="11"/>
    <n v="6.4"/>
    <x v="0"/>
    <n v="0"/>
    <n v="99"/>
    <x v="0"/>
    <x v="1"/>
    <x v="0"/>
    <x v="0"/>
    <x v="1"/>
    <x v="0"/>
  </r>
  <r>
    <s v="T00036"/>
    <d v="2023-01-01T00:00:00"/>
    <d v="1899-12-30T14:00:00"/>
    <x v="1"/>
    <x v="5"/>
    <s v="Station_12"/>
    <s v="Station_42"/>
    <d v="1899-12-30T14:04:00"/>
    <d v="1899-12-30T14:34:00"/>
    <n v="2"/>
    <n v="28"/>
    <x v="2"/>
    <n v="29.7"/>
    <n v="81"/>
    <n v="35"/>
    <n v="1.8"/>
    <x v="0"/>
    <n v="0"/>
    <n v="49"/>
    <x v="0"/>
    <x v="0"/>
    <x v="0"/>
    <x v="0"/>
    <x v="1"/>
    <x v="1"/>
  </r>
  <r>
    <s v="T00037"/>
    <d v="2023-01-01T00:00:00"/>
    <d v="1899-12-30T14:15:00"/>
    <x v="2"/>
    <x v="13"/>
    <s v="Station_37"/>
    <s v="Station_3"/>
    <d v="1899-12-30T14:15:00"/>
    <d v="1899-12-30T15:02:00"/>
    <n v="18"/>
    <n v="12"/>
    <x v="5"/>
    <n v="10.8"/>
    <n v="63"/>
    <n v="23"/>
    <n v="7.9"/>
    <x v="4"/>
    <n v="50000"/>
    <n v="87"/>
    <x v="0"/>
    <x v="1"/>
    <x v="0"/>
    <x v="0"/>
    <x v="1"/>
    <x v="0"/>
  </r>
  <r>
    <s v="T00038"/>
    <d v="2023-01-01T00:00:00"/>
    <d v="1899-12-30T14:30:00"/>
    <x v="2"/>
    <x v="15"/>
    <s v="Station_17"/>
    <s v="Station_9"/>
    <d v="1899-12-30T14:34:00"/>
    <d v="1899-12-30T15:20:00"/>
    <n v="19"/>
    <n v="11"/>
    <x v="0"/>
    <n v="32"/>
    <n v="64"/>
    <n v="31"/>
    <n v="12"/>
    <x v="2"/>
    <n v="10000"/>
    <n v="66"/>
    <x v="0"/>
    <x v="1"/>
    <x v="0"/>
    <x v="0"/>
    <x v="1"/>
    <x v="1"/>
  </r>
  <r>
    <s v="T00039"/>
    <d v="2023-01-01T00:00:00"/>
    <d v="1899-12-30T14:45:00"/>
    <x v="0"/>
    <x v="1"/>
    <s v="Station_23"/>
    <s v="Station_12"/>
    <d v="1899-12-30T14:46:00"/>
    <d v="1899-12-30T15:27:00"/>
    <n v="7"/>
    <n v="8"/>
    <x v="1"/>
    <n v="28.9"/>
    <n v="62"/>
    <n v="26"/>
    <n v="7.4"/>
    <x v="0"/>
    <n v="2000"/>
    <n v="25"/>
    <x v="0"/>
    <x v="0"/>
    <x v="0"/>
    <x v="0"/>
    <x v="1"/>
    <x v="2"/>
  </r>
  <r>
    <s v="T00040"/>
    <d v="2023-01-01T00:00:00"/>
    <d v="1899-12-30T15:00:00"/>
    <x v="0"/>
    <x v="10"/>
    <s v="Station_26"/>
    <s v="Station_23"/>
    <d v="1899-12-30T15:03:00"/>
    <d v="1899-12-30T15:36:00"/>
    <n v="10"/>
    <n v="-3"/>
    <x v="0"/>
    <n v="10.1"/>
    <n v="61"/>
    <n v="31"/>
    <n v="14.1"/>
    <x v="2"/>
    <n v="0"/>
    <n v="35"/>
    <x v="0"/>
    <x v="1"/>
    <x v="0"/>
    <x v="0"/>
    <x v="0"/>
    <x v="1"/>
  </r>
  <r>
    <s v="T00041"/>
    <d v="2023-01-01T00:00:00"/>
    <d v="1899-12-30T15:15:00"/>
    <x v="0"/>
    <x v="16"/>
    <s v="Station_29"/>
    <s v="Station_14"/>
    <d v="1899-12-30T15:16:00"/>
    <d v="1899-12-30T16:08:00"/>
    <n v="11"/>
    <n v="13"/>
    <x v="2"/>
    <n v="18"/>
    <n v="84"/>
    <n v="58"/>
    <n v="14.8"/>
    <x v="0"/>
    <n v="0"/>
    <n v="20"/>
    <x v="0"/>
    <x v="1"/>
    <x v="0"/>
    <x v="1"/>
    <x v="1"/>
    <x v="2"/>
  </r>
  <r>
    <s v="T00042"/>
    <d v="2023-01-01T00:00:00"/>
    <d v="1899-12-30T15:30:00"/>
    <x v="3"/>
    <x v="15"/>
    <s v="Station_33"/>
    <s v="Station_33"/>
    <d v="1899-12-30T15:33:00"/>
    <d v="1899-12-30T16:02:00"/>
    <n v="4"/>
    <n v="24"/>
    <x v="1"/>
    <n v="-3.9"/>
    <n v="37"/>
    <n v="31"/>
    <n v="13.9"/>
    <x v="0"/>
    <n v="10000"/>
    <n v="76"/>
    <x v="0"/>
    <x v="0"/>
    <x v="0"/>
    <x v="3"/>
    <x v="1"/>
    <x v="0"/>
  </r>
  <r>
    <s v="T00043"/>
    <d v="2023-01-01T00:00:00"/>
    <d v="1899-12-30T15:45:00"/>
    <x v="1"/>
    <x v="6"/>
    <s v="Station_27"/>
    <s v="Station_18"/>
    <d v="1899-12-30T15:48:00"/>
    <d v="1899-12-30T16:18:00"/>
    <n v="17"/>
    <n v="3"/>
    <x v="4"/>
    <n v="5.5"/>
    <n v="75"/>
    <n v="31"/>
    <n v="18.7"/>
    <x v="0"/>
    <n v="0"/>
    <n v="51"/>
    <x v="0"/>
    <x v="0"/>
    <x v="0"/>
    <x v="1"/>
    <x v="0"/>
    <x v="1"/>
  </r>
  <r>
    <s v="T00044"/>
    <d v="2023-01-01T00:00:00"/>
    <d v="1899-12-30T16:00:00"/>
    <x v="1"/>
    <x v="17"/>
    <s v="Station_25"/>
    <s v="Station_49"/>
    <d v="1899-12-30T16:04:00"/>
    <d v="1899-12-30T16:30:00"/>
    <n v="3"/>
    <n v="5"/>
    <x v="5"/>
    <n v="23.4"/>
    <n v="43"/>
    <n v="25"/>
    <n v="4.7"/>
    <x v="3"/>
    <n v="500"/>
    <n v="10"/>
    <x v="0"/>
    <x v="0"/>
    <x v="0"/>
    <x v="3"/>
    <x v="0"/>
    <x v="2"/>
  </r>
  <r>
    <s v="T00045"/>
    <d v="2023-01-01T00:00:00"/>
    <d v="1899-12-30T16:15:00"/>
    <x v="1"/>
    <x v="4"/>
    <s v="Station_10"/>
    <s v="Station_41"/>
    <d v="1899-12-30T16:16:00"/>
    <d v="1899-12-30T17:02:00"/>
    <n v="4"/>
    <n v="18"/>
    <x v="3"/>
    <n v="22.1"/>
    <n v="37"/>
    <n v="10"/>
    <n v="3.8"/>
    <x v="0"/>
    <n v="0"/>
    <n v="7"/>
    <x v="0"/>
    <x v="1"/>
    <x v="0"/>
    <x v="1"/>
    <x v="1"/>
    <x v="2"/>
  </r>
  <r>
    <s v="T00046"/>
    <d v="2023-01-01T00:00:00"/>
    <d v="1899-12-30T16:30:00"/>
    <x v="1"/>
    <x v="1"/>
    <s v="Station_47"/>
    <s v="Station_9"/>
    <d v="1899-12-30T16:31:00"/>
    <d v="1899-12-30T17:21:00"/>
    <n v="2"/>
    <n v="22"/>
    <x v="5"/>
    <n v="9.1"/>
    <n v="83"/>
    <n v="45"/>
    <n v="12.2"/>
    <x v="0"/>
    <n v="0"/>
    <n v="56"/>
    <x v="0"/>
    <x v="1"/>
    <x v="0"/>
    <x v="1"/>
    <x v="1"/>
    <x v="1"/>
  </r>
  <r>
    <s v="T00047"/>
    <d v="2023-01-01T00:00:00"/>
    <d v="1899-12-30T16:45:00"/>
    <x v="0"/>
    <x v="12"/>
    <s v="Station_23"/>
    <s v="Station_23"/>
    <d v="1899-12-30T16:45:00"/>
    <d v="1899-12-30T17:39:00"/>
    <n v="18"/>
    <n v="8"/>
    <x v="1"/>
    <n v="27.3"/>
    <n v="50"/>
    <n v="17"/>
    <n v="11.9"/>
    <x v="3"/>
    <n v="0"/>
    <n v="45"/>
    <x v="0"/>
    <x v="0"/>
    <x v="0"/>
    <x v="0"/>
    <x v="1"/>
    <x v="1"/>
  </r>
  <r>
    <s v="T00048"/>
    <d v="2023-01-01T00:00:00"/>
    <d v="1899-12-30T17:00:00"/>
    <x v="3"/>
    <x v="0"/>
    <s v="Station_21"/>
    <s v="Station_10"/>
    <d v="1899-12-30T17:01:00"/>
    <d v="1899-12-30T17:50:00"/>
    <n v="15"/>
    <n v="3"/>
    <x v="5"/>
    <n v="4.4000000000000004"/>
    <n v="43"/>
    <n v="38"/>
    <n v="10.199999999999999"/>
    <x v="1"/>
    <n v="10000"/>
    <n v="77"/>
    <x v="0"/>
    <x v="1"/>
    <x v="0"/>
    <x v="1"/>
    <x v="0"/>
    <x v="0"/>
  </r>
  <r>
    <s v="T00049"/>
    <d v="2023-01-01T00:00:00"/>
    <d v="1899-12-30T17:15:00"/>
    <x v="3"/>
    <x v="5"/>
    <s v="Station_21"/>
    <s v="Station_19"/>
    <d v="1899-12-30T17:15:00"/>
    <d v="1899-12-30T17:51:00"/>
    <n v="9"/>
    <n v="11"/>
    <x v="3"/>
    <n v="13.5"/>
    <n v="31"/>
    <n v="4"/>
    <n v="0.1"/>
    <x v="2"/>
    <n v="0"/>
    <n v="96"/>
    <x v="0"/>
    <x v="0"/>
    <x v="0"/>
    <x v="3"/>
    <x v="1"/>
    <x v="0"/>
  </r>
  <r>
    <s v="T00050"/>
    <d v="2023-01-01T00:00:00"/>
    <d v="1899-12-30T17:30:00"/>
    <x v="0"/>
    <x v="18"/>
    <s v="Station_43"/>
    <s v="Station_47"/>
    <d v="1899-12-30T17:32:00"/>
    <d v="1899-12-30T17:58:00"/>
    <n v="3"/>
    <n v="17"/>
    <x v="4"/>
    <n v="13.9"/>
    <n v="90"/>
    <n v="15"/>
    <n v="11.1"/>
    <x v="0"/>
    <n v="2000"/>
    <n v="1"/>
    <x v="0"/>
    <x v="1"/>
    <x v="0"/>
    <x v="2"/>
    <x v="1"/>
    <x v="2"/>
  </r>
  <r>
    <s v="T00051"/>
    <d v="2023-01-01T00:00:00"/>
    <d v="1899-12-30T17:45:00"/>
    <x v="3"/>
    <x v="10"/>
    <s v="Station_13"/>
    <s v="Station_5"/>
    <d v="1899-12-30T17:47:00"/>
    <d v="1899-12-30T18:14:00"/>
    <n v="-2"/>
    <n v="10"/>
    <x v="0"/>
    <n v="8.6"/>
    <n v="46"/>
    <n v="10"/>
    <n v="18.7"/>
    <x v="0"/>
    <n v="10000"/>
    <n v="63"/>
    <x v="0"/>
    <x v="1"/>
    <x v="0"/>
    <x v="3"/>
    <x v="1"/>
    <x v="1"/>
  </r>
  <r>
    <s v="T00052"/>
    <d v="2023-01-01T00:00:00"/>
    <d v="1899-12-30T18:00:00"/>
    <x v="0"/>
    <x v="8"/>
    <s v="Station_37"/>
    <s v="Station_47"/>
    <d v="1899-12-30T18:02:00"/>
    <d v="1899-12-30T18:27:00"/>
    <n v="1"/>
    <n v="-2"/>
    <x v="4"/>
    <n v="33.200000000000003"/>
    <n v="77"/>
    <n v="53"/>
    <n v="6.7"/>
    <x v="0"/>
    <n v="50000"/>
    <n v="51"/>
    <x v="0"/>
    <x v="1"/>
    <x v="0"/>
    <x v="1"/>
    <x v="0"/>
    <x v="1"/>
  </r>
  <r>
    <s v="T00053"/>
    <d v="2023-01-01T00:00:00"/>
    <d v="1899-12-30T18:15:00"/>
    <x v="1"/>
    <x v="19"/>
    <s v="Station_33"/>
    <s v="Station_23"/>
    <d v="1899-12-30T18:16:00"/>
    <d v="1899-12-30T18:55:00"/>
    <n v="16"/>
    <n v="4"/>
    <x v="5"/>
    <n v="22.9"/>
    <n v="37"/>
    <n v="34"/>
    <n v="19.399999999999999"/>
    <x v="1"/>
    <n v="0"/>
    <n v="64"/>
    <x v="0"/>
    <x v="0"/>
    <x v="0"/>
    <x v="2"/>
    <x v="0"/>
    <x v="1"/>
  </r>
  <r>
    <s v="T00054"/>
    <d v="2023-01-01T00:00:00"/>
    <d v="1899-12-30T18:30:00"/>
    <x v="0"/>
    <x v="2"/>
    <s v="Station_24"/>
    <s v="Station_30"/>
    <d v="1899-12-30T18:31:00"/>
    <d v="1899-12-30T19:02:00"/>
    <n v="9"/>
    <n v="2"/>
    <x v="3"/>
    <n v="16.600000000000001"/>
    <n v="85"/>
    <n v="47"/>
    <n v="7.1"/>
    <x v="4"/>
    <n v="0"/>
    <n v="10"/>
    <x v="0"/>
    <x v="1"/>
    <x v="0"/>
    <x v="0"/>
    <x v="0"/>
    <x v="2"/>
  </r>
  <r>
    <s v="T00055"/>
    <d v="2023-01-01T00:00:00"/>
    <d v="1899-12-30T18:45:00"/>
    <x v="1"/>
    <x v="10"/>
    <s v="Station_44"/>
    <s v="Station_25"/>
    <d v="1899-12-30T18:45:00"/>
    <d v="1899-12-30T19:09:00"/>
    <n v="12"/>
    <n v="29"/>
    <x v="0"/>
    <n v="15.4"/>
    <n v="46"/>
    <n v="10"/>
    <n v="2.8"/>
    <x v="4"/>
    <n v="50000"/>
    <n v="5"/>
    <x v="0"/>
    <x v="0"/>
    <x v="0"/>
    <x v="2"/>
    <x v="1"/>
    <x v="2"/>
  </r>
  <r>
    <s v="T00056"/>
    <d v="2023-01-01T00:00:00"/>
    <d v="1899-12-30T19:00:00"/>
    <x v="1"/>
    <x v="11"/>
    <s v="Station_11"/>
    <s v="Station_28"/>
    <d v="1899-12-30T19:03:00"/>
    <d v="1899-12-30T19:25:00"/>
    <n v="0"/>
    <n v="2"/>
    <x v="3"/>
    <n v="1.4"/>
    <n v="98"/>
    <n v="41"/>
    <n v="8"/>
    <x v="1"/>
    <n v="0"/>
    <n v="95"/>
    <x v="0"/>
    <x v="0"/>
    <x v="0"/>
    <x v="0"/>
    <x v="0"/>
    <x v="0"/>
  </r>
  <r>
    <s v="T00057"/>
    <d v="2023-01-01T00:00:00"/>
    <d v="1899-12-30T19:15:00"/>
    <x v="2"/>
    <x v="1"/>
    <s v="Station_17"/>
    <s v="Station_34"/>
    <d v="1899-12-30T19:15:00"/>
    <d v="1899-12-30T20:04:00"/>
    <n v="17"/>
    <n v="22"/>
    <x v="4"/>
    <n v="9.9"/>
    <n v="41"/>
    <n v="22"/>
    <n v="9.9"/>
    <x v="0"/>
    <n v="0"/>
    <n v="78"/>
    <x v="0"/>
    <x v="0"/>
    <x v="0"/>
    <x v="3"/>
    <x v="1"/>
    <x v="0"/>
  </r>
  <r>
    <s v="T00058"/>
    <d v="2023-01-01T00:00:00"/>
    <d v="1899-12-30T19:30:00"/>
    <x v="0"/>
    <x v="16"/>
    <s v="Station_4"/>
    <s v="Station_45"/>
    <d v="1899-12-30T19:32:00"/>
    <d v="1899-12-30T20:20:00"/>
    <n v="5"/>
    <n v="10"/>
    <x v="2"/>
    <n v="21.9"/>
    <n v="67"/>
    <n v="54"/>
    <n v="12.6"/>
    <x v="4"/>
    <n v="0"/>
    <n v="75"/>
    <x v="0"/>
    <x v="0"/>
    <x v="0"/>
    <x v="2"/>
    <x v="1"/>
    <x v="0"/>
  </r>
  <r>
    <s v="T00059"/>
    <d v="2023-01-01T00:00:00"/>
    <d v="1899-12-30T19:45:00"/>
    <x v="2"/>
    <x v="15"/>
    <s v="Station_47"/>
    <s v="Station_48"/>
    <d v="1899-12-30T19:45:00"/>
    <d v="1899-12-30T20:21:00"/>
    <n v="8"/>
    <n v="4"/>
    <x v="2"/>
    <n v="32"/>
    <n v="47"/>
    <n v="33"/>
    <n v="10.1"/>
    <x v="0"/>
    <n v="0"/>
    <n v="63"/>
    <x v="0"/>
    <x v="0"/>
    <x v="0"/>
    <x v="2"/>
    <x v="0"/>
    <x v="1"/>
  </r>
  <r>
    <s v="T00060"/>
    <d v="2023-01-01T00:00:00"/>
    <d v="1899-12-30T20:00:00"/>
    <x v="0"/>
    <x v="11"/>
    <s v="Station_25"/>
    <s v="Station_47"/>
    <d v="1899-12-30T20:03:00"/>
    <d v="1899-12-30T20:30:00"/>
    <n v="13"/>
    <n v="9"/>
    <x v="0"/>
    <n v="27.7"/>
    <n v="55"/>
    <n v="47"/>
    <n v="10.7"/>
    <x v="0"/>
    <n v="0"/>
    <n v="92"/>
    <x v="0"/>
    <x v="0"/>
    <x v="0"/>
    <x v="2"/>
    <x v="1"/>
    <x v="0"/>
  </r>
  <r>
    <s v="T00061"/>
    <d v="2023-01-01T00:00:00"/>
    <d v="1899-12-30T20:15:00"/>
    <x v="0"/>
    <x v="16"/>
    <s v="Station_30"/>
    <s v="Station_25"/>
    <d v="1899-12-30T20:16:00"/>
    <d v="1899-12-30T20:54:00"/>
    <n v="6"/>
    <n v="9"/>
    <x v="0"/>
    <n v="7"/>
    <n v="66"/>
    <n v="16"/>
    <n v="0.5"/>
    <x v="0"/>
    <n v="500"/>
    <n v="54"/>
    <x v="0"/>
    <x v="1"/>
    <x v="0"/>
    <x v="0"/>
    <x v="1"/>
    <x v="1"/>
  </r>
  <r>
    <s v="T00062"/>
    <d v="2023-01-01T00:00:00"/>
    <d v="1899-12-30T20:30:00"/>
    <x v="2"/>
    <x v="10"/>
    <s v="Station_9"/>
    <s v="Station_10"/>
    <d v="1899-12-30T20:30:00"/>
    <d v="1899-12-30T20:58:00"/>
    <n v="0"/>
    <n v="24"/>
    <x v="0"/>
    <n v="12.4"/>
    <n v="99"/>
    <n v="9"/>
    <n v="5.0999999999999996"/>
    <x v="1"/>
    <n v="500"/>
    <n v="43"/>
    <x v="0"/>
    <x v="1"/>
    <x v="0"/>
    <x v="0"/>
    <x v="1"/>
    <x v="1"/>
  </r>
  <r>
    <s v="T00063"/>
    <d v="2023-01-01T00:00:00"/>
    <d v="1899-12-30T20:45:00"/>
    <x v="2"/>
    <x v="10"/>
    <s v="Station_21"/>
    <s v="Station_14"/>
    <d v="1899-12-30T20:47:00"/>
    <d v="1899-12-30T21:06:00"/>
    <n v="2"/>
    <n v="14"/>
    <x v="2"/>
    <n v="-1.7"/>
    <n v="70"/>
    <n v="17"/>
    <n v="6.2"/>
    <x v="5"/>
    <n v="0"/>
    <n v="85"/>
    <x v="0"/>
    <x v="1"/>
    <x v="0"/>
    <x v="3"/>
    <x v="1"/>
    <x v="0"/>
  </r>
  <r>
    <s v="T00064"/>
    <d v="2023-01-01T00:00:00"/>
    <d v="1899-12-30T21:00:00"/>
    <x v="0"/>
    <x v="8"/>
    <s v="Station_20"/>
    <s v="Station_42"/>
    <d v="1899-12-30T21:02:00"/>
    <d v="1899-12-30T21:56:00"/>
    <n v="17"/>
    <n v="15"/>
    <x v="4"/>
    <n v="-0.9"/>
    <n v="71"/>
    <n v="43"/>
    <n v="19.7"/>
    <x v="0"/>
    <n v="10000"/>
    <n v="13"/>
    <x v="1"/>
    <x v="1"/>
    <x v="0"/>
    <x v="3"/>
    <x v="1"/>
    <x v="2"/>
  </r>
  <r>
    <s v="T00065"/>
    <d v="2023-01-01T00:00:00"/>
    <d v="1899-12-30T21:15:00"/>
    <x v="3"/>
    <x v="15"/>
    <s v="Station_19"/>
    <s v="Station_46"/>
    <d v="1899-12-30T21:16:00"/>
    <d v="1899-12-30T21:35:00"/>
    <n v="11"/>
    <n v="28"/>
    <x v="0"/>
    <n v="13.8"/>
    <n v="70"/>
    <n v="7"/>
    <n v="5.9"/>
    <x v="0"/>
    <n v="0"/>
    <n v="82"/>
    <x v="0"/>
    <x v="1"/>
    <x v="0"/>
    <x v="1"/>
    <x v="1"/>
    <x v="0"/>
  </r>
  <r>
    <s v="T00066"/>
    <d v="2023-01-01T00:00:00"/>
    <d v="1899-12-30T21:30:00"/>
    <x v="1"/>
    <x v="12"/>
    <s v="Station_19"/>
    <s v="Station_30"/>
    <d v="1899-12-30T21:30:00"/>
    <d v="1899-12-30T21:53:00"/>
    <n v="12"/>
    <n v="18"/>
    <x v="2"/>
    <n v="16.2"/>
    <n v="76"/>
    <n v="58"/>
    <n v="17.899999999999999"/>
    <x v="0"/>
    <n v="0"/>
    <n v="4"/>
    <x v="0"/>
    <x v="1"/>
    <x v="0"/>
    <x v="0"/>
    <x v="1"/>
    <x v="2"/>
  </r>
  <r>
    <s v="T00067"/>
    <d v="2023-01-01T00:00:00"/>
    <d v="1899-12-30T21:45:00"/>
    <x v="2"/>
    <x v="13"/>
    <s v="Station_12"/>
    <s v="Station_41"/>
    <d v="1899-12-30T21:48:00"/>
    <d v="1899-12-30T22:40:00"/>
    <n v="3"/>
    <n v="-2"/>
    <x v="0"/>
    <n v="5.6"/>
    <n v="43"/>
    <n v="25"/>
    <n v="6.1"/>
    <x v="5"/>
    <n v="50000"/>
    <n v="98"/>
    <x v="0"/>
    <x v="0"/>
    <x v="0"/>
    <x v="3"/>
    <x v="0"/>
    <x v="0"/>
  </r>
  <r>
    <s v="T00068"/>
    <d v="2023-01-01T00:00:00"/>
    <d v="1899-12-30T22:00:00"/>
    <x v="1"/>
    <x v="14"/>
    <s v="Station_37"/>
    <s v="Station_25"/>
    <d v="1899-12-30T22:01:00"/>
    <d v="1899-12-30T22:44:00"/>
    <n v="1"/>
    <n v="9"/>
    <x v="0"/>
    <n v="20.7"/>
    <n v="30"/>
    <n v="2"/>
    <n v="1.9"/>
    <x v="4"/>
    <n v="0"/>
    <n v="24"/>
    <x v="0"/>
    <x v="1"/>
    <x v="0"/>
    <x v="2"/>
    <x v="1"/>
    <x v="2"/>
  </r>
  <r>
    <s v="T00069"/>
    <d v="2023-01-01T00:00:00"/>
    <d v="1899-12-30T22:15:00"/>
    <x v="3"/>
    <x v="5"/>
    <s v="Station_42"/>
    <s v="Station_14"/>
    <d v="1899-12-30T22:15:00"/>
    <d v="1899-12-30T22:37:00"/>
    <n v="5"/>
    <n v="19"/>
    <x v="3"/>
    <n v="23.1"/>
    <n v="46"/>
    <n v="58"/>
    <n v="5"/>
    <x v="3"/>
    <n v="2000"/>
    <n v="49"/>
    <x v="0"/>
    <x v="1"/>
    <x v="0"/>
    <x v="2"/>
    <x v="1"/>
    <x v="1"/>
  </r>
  <r>
    <s v="T00070"/>
    <d v="2023-01-01T00:00:00"/>
    <d v="1899-12-30T22:30:00"/>
    <x v="3"/>
    <x v="1"/>
    <s v="Station_17"/>
    <s v="Station_35"/>
    <d v="1899-12-30T22:34:00"/>
    <d v="1899-12-30T22:58:00"/>
    <n v="16"/>
    <n v="21"/>
    <x v="0"/>
    <n v="7"/>
    <n v="84"/>
    <n v="51"/>
    <n v="5.5"/>
    <x v="5"/>
    <n v="0"/>
    <n v="72"/>
    <x v="0"/>
    <x v="0"/>
    <x v="0"/>
    <x v="2"/>
    <x v="1"/>
    <x v="0"/>
  </r>
  <r>
    <s v="T00071"/>
    <d v="2023-01-01T00:00:00"/>
    <d v="1899-12-30T22:45:00"/>
    <x v="3"/>
    <x v="2"/>
    <s v="Station_37"/>
    <s v="Station_48"/>
    <d v="1899-12-30T22:47:00"/>
    <d v="1899-12-30T23:26:00"/>
    <n v="2"/>
    <n v="24"/>
    <x v="2"/>
    <n v="25.3"/>
    <n v="82"/>
    <n v="23"/>
    <n v="19.600000000000001"/>
    <x v="0"/>
    <n v="2000"/>
    <n v="70"/>
    <x v="0"/>
    <x v="1"/>
    <x v="0"/>
    <x v="3"/>
    <x v="1"/>
    <x v="0"/>
  </r>
  <r>
    <s v="T00072"/>
    <d v="2023-01-01T00:00:00"/>
    <d v="1899-12-30T23:00:00"/>
    <x v="2"/>
    <x v="1"/>
    <s v="Station_48"/>
    <s v="Station_34"/>
    <d v="1899-12-30T23:03:00"/>
    <d v="1899-12-30T23:42:00"/>
    <n v="10"/>
    <n v="7"/>
    <x v="4"/>
    <n v="3.2"/>
    <n v="60"/>
    <n v="2"/>
    <n v="13.5"/>
    <x v="0"/>
    <n v="0"/>
    <n v="81"/>
    <x v="0"/>
    <x v="1"/>
    <x v="0"/>
    <x v="2"/>
    <x v="1"/>
    <x v="0"/>
  </r>
  <r>
    <s v="T00073"/>
    <d v="2023-01-01T00:00:00"/>
    <d v="1899-12-30T23:15:00"/>
    <x v="3"/>
    <x v="0"/>
    <s v="Station_39"/>
    <s v="Station_10"/>
    <d v="1899-12-30T23:18:00"/>
    <d v="1899-12-30T23:46:00"/>
    <n v="13"/>
    <n v="29"/>
    <x v="2"/>
    <n v="16.8"/>
    <n v="91"/>
    <n v="37"/>
    <n v="18.600000000000001"/>
    <x v="0"/>
    <n v="0"/>
    <n v="1"/>
    <x v="0"/>
    <x v="0"/>
    <x v="0"/>
    <x v="2"/>
    <x v="1"/>
    <x v="2"/>
  </r>
  <r>
    <s v="T00074"/>
    <d v="2023-01-01T00:00:00"/>
    <d v="1899-12-30T23:30:00"/>
    <x v="2"/>
    <x v="11"/>
    <s v="Station_28"/>
    <s v="Station_35"/>
    <d v="1899-12-30T23:33:00"/>
    <d v="1899-12-30T23:59:00"/>
    <n v="-2"/>
    <n v="20"/>
    <x v="2"/>
    <n v="27.2"/>
    <n v="37"/>
    <n v="1"/>
    <n v="16.7"/>
    <x v="0"/>
    <n v="0"/>
    <n v="9"/>
    <x v="0"/>
    <x v="1"/>
    <x v="0"/>
    <x v="0"/>
    <x v="1"/>
    <x v="2"/>
  </r>
  <r>
    <s v="T00075"/>
    <d v="2023-01-01T00:00:00"/>
    <d v="1899-12-30T23:45:00"/>
    <x v="3"/>
    <x v="12"/>
    <s v="Station_41"/>
    <s v="Station_11"/>
    <d v="1899-12-30T23:47:00"/>
    <d v="1899-12-30T00:38:00"/>
    <n v="10"/>
    <n v="-2"/>
    <x v="0"/>
    <n v="16.5"/>
    <n v="59"/>
    <n v="34"/>
    <n v="11.6"/>
    <x v="0"/>
    <n v="0"/>
    <n v="1"/>
    <x v="0"/>
    <x v="1"/>
    <x v="0"/>
    <x v="0"/>
    <x v="0"/>
    <x v="2"/>
  </r>
  <r>
    <s v="T00076"/>
    <d v="2023-01-02T00:00:00"/>
    <d v="1899-12-30T00:00:00"/>
    <x v="1"/>
    <x v="14"/>
    <s v="Station_35"/>
    <s v="Station_11"/>
    <d v="1899-12-30T00:00:00"/>
    <d v="1899-12-30T00:29:00"/>
    <n v="19"/>
    <n v="26"/>
    <x v="3"/>
    <n v="31.3"/>
    <n v="95"/>
    <n v="16"/>
    <n v="13.5"/>
    <x v="0"/>
    <n v="0"/>
    <n v="59"/>
    <x v="0"/>
    <x v="1"/>
    <x v="1"/>
    <x v="3"/>
    <x v="1"/>
    <x v="1"/>
  </r>
  <r>
    <s v="T00077"/>
    <d v="2023-01-02T00:00:00"/>
    <d v="1899-12-30T00:15:00"/>
    <x v="1"/>
    <x v="6"/>
    <s v="Station_47"/>
    <s v="Station_21"/>
    <d v="1899-12-30T00:16:00"/>
    <d v="1899-12-30T01:04:00"/>
    <n v="8"/>
    <n v="13"/>
    <x v="1"/>
    <n v="-2.7"/>
    <n v="74"/>
    <n v="8"/>
    <n v="12.5"/>
    <x v="4"/>
    <n v="10000"/>
    <n v="44"/>
    <x v="0"/>
    <x v="1"/>
    <x v="1"/>
    <x v="0"/>
    <x v="1"/>
    <x v="1"/>
  </r>
  <r>
    <s v="T00078"/>
    <d v="2023-01-02T00:00:00"/>
    <d v="1899-12-30T00:30:00"/>
    <x v="0"/>
    <x v="19"/>
    <s v="Station_48"/>
    <s v="Station_21"/>
    <d v="1899-12-30T00:30:00"/>
    <d v="1899-12-30T01:11:00"/>
    <n v="18"/>
    <n v="18"/>
    <x v="1"/>
    <n v="18.5"/>
    <n v="47"/>
    <n v="35"/>
    <n v="13.3"/>
    <x v="0"/>
    <n v="0"/>
    <n v="7"/>
    <x v="0"/>
    <x v="0"/>
    <x v="1"/>
    <x v="1"/>
    <x v="1"/>
    <x v="2"/>
  </r>
  <r>
    <s v="T00079"/>
    <d v="2023-01-02T00:00:00"/>
    <d v="1899-12-30T00:45:00"/>
    <x v="1"/>
    <x v="5"/>
    <s v="Station_18"/>
    <s v="Station_22"/>
    <d v="1899-12-30T00:46:00"/>
    <d v="1899-12-30T01:10:00"/>
    <n v="5"/>
    <n v="1"/>
    <x v="1"/>
    <n v="17.5"/>
    <n v="74"/>
    <n v="21"/>
    <n v="5.3"/>
    <x v="0"/>
    <n v="10000"/>
    <n v="57"/>
    <x v="0"/>
    <x v="1"/>
    <x v="1"/>
    <x v="3"/>
    <x v="0"/>
    <x v="1"/>
  </r>
  <r>
    <s v="T00080"/>
    <d v="2023-01-02T00:00:00"/>
    <d v="1899-12-30T01:00:00"/>
    <x v="0"/>
    <x v="15"/>
    <s v="Station_14"/>
    <s v="Station_45"/>
    <d v="1899-12-30T01:03:00"/>
    <d v="1899-12-30T01:21:00"/>
    <n v="5"/>
    <n v="12"/>
    <x v="2"/>
    <n v="21.4"/>
    <n v="48"/>
    <n v="30"/>
    <n v="8.1999999999999993"/>
    <x v="0"/>
    <n v="0"/>
    <n v="6"/>
    <x v="0"/>
    <x v="0"/>
    <x v="1"/>
    <x v="1"/>
    <x v="1"/>
    <x v="2"/>
  </r>
  <r>
    <s v="T00081"/>
    <d v="2023-01-02T00:00:00"/>
    <d v="1899-12-30T01:15:00"/>
    <x v="1"/>
    <x v="10"/>
    <s v="Station_35"/>
    <s v="Station_7"/>
    <d v="1899-12-30T01:15:00"/>
    <d v="1899-12-30T02:04:00"/>
    <n v="11"/>
    <n v="9"/>
    <x v="0"/>
    <n v="28.3"/>
    <n v="97"/>
    <n v="54"/>
    <n v="11.9"/>
    <x v="0"/>
    <n v="0"/>
    <n v="98"/>
    <x v="0"/>
    <x v="1"/>
    <x v="1"/>
    <x v="1"/>
    <x v="1"/>
    <x v="0"/>
  </r>
  <r>
    <s v="T00082"/>
    <d v="2023-01-02T00:00:00"/>
    <d v="1899-12-30T01:30:00"/>
    <x v="2"/>
    <x v="13"/>
    <s v="Station_44"/>
    <s v="Station_17"/>
    <d v="1899-12-30T01:33:00"/>
    <d v="1899-12-30T01:51:00"/>
    <n v="10"/>
    <n v="22"/>
    <x v="1"/>
    <n v="24"/>
    <n v="79"/>
    <n v="33"/>
    <n v="0.7"/>
    <x v="1"/>
    <n v="50000"/>
    <n v="86"/>
    <x v="0"/>
    <x v="1"/>
    <x v="1"/>
    <x v="3"/>
    <x v="1"/>
    <x v="0"/>
  </r>
  <r>
    <s v="T00083"/>
    <d v="2023-01-02T00:00:00"/>
    <d v="1899-12-30T01:45:00"/>
    <x v="1"/>
    <x v="8"/>
    <s v="Station_41"/>
    <s v="Station_2"/>
    <d v="1899-12-30T01:49:00"/>
    <d v="1899-12-30T02:36:00"/>
    <n v="0"/>
    <n v="27"/>
    <x v="5"/>
    <n v="26.6"/>
    <n v="54"/>
    <n v="23"/>
    <n v="9.6999999999999993"/>
    <x v="1"/>
    <n v="50000"/>
    <n v="71"/>
    <x v="0"/>
    <x v="0"/>
    <x v="1"/>
    <x v="0"/>
    <x v="1"/>
    <x v="0"/>
  </r>
  <r>
    <s v="T00084"/>
    <d v="2023-01-02T00:00:00"/>
    <d v="1899-12-30T02:00:00"/>
    <x v="0"/>
    <x v="18"/>
    <s v="Station_7"/>
    <s v="Station_12"/>
    <d v="1899-12-30T02:03:00"/>
    <d v="1899-12-30T02:35:00"/>
    <n v="1"/>
    <n v="19"/>
    <x v="5"/>
    <n v="6.6"/>
    <n v="67"/>
    <n v="59"/>
    <n v="17.2"/>
    <x v="0"/>
    <n v="0"/>
    <n v="20"/>
    <x v="1"/>
    <x v="0"/>
    <x v="1"/>
    <x v="0"/>
    <x v="1"/>
    <x v="2"/>
  </r>
  <r>
    <s v="T00085"/>
    <d v="2023-01-02T00:00:00"/>
    <d v="1899-12-30T02:15:00"/>
    <x v="0"/>
    <x v="8"/>
    <s v="Station_41"/>
    <s v="Station_42"/>
    <d v="1899-12-30T02:18:00"/>
    <d v="1899-12-30T02:46:00"/>
    <n v="17"/>
    <n v="8"/>
    <x v="5"/>
    <n v="10.5"/>
    <n v="65"/>
    <n v="8"/>
    <n v="9.8000000000000007"/>
    <x v="4"/>
    <n v="10000"/>
    <n v="96"/>
    <x v="0"/>
    <x v="1"/>
    <x v="1"/>
    <x v="3"/>
    <x v="1"/>
    <x v="0"/>
  </r>
  <r>
    <s v="T00086"/>
    <d v="2023-01-02T00:00:00"/>
    <d v="1899-12-30T02:30:00"/>
    <x v="3"/>
    <x v="6"/>
    <s v="Station_13"/>
    <s v="Station_18"/>
    <d v="1899-12-30T02:31:00"/>
    <d v="1899-12-30T02:50:00"/>
    <n v="12"/>
    <n v="10"/>
    <x v="4"/>
    <n v="20.100000000000001"/>
    <n v="97"/>
    <n v="45"/>
    <n v="11"/>
    <x v="0"/>
    <n v="0"/>
    <n v="46"/>
    <x v="0"/>
    <x v="1"/>
    <x v="1"/>
    <x v="1"/>
    <x v="1"/>
    <x v="1"/>
  </r>
  <r>
    <s v="T00087"/>
    <d v="2023-01-02T00:00:00"/>
    <d v="1899-12-30T02:45:00"/>
    <x v="2"/>
    <x v="2"/>
    <s v="Station_18"/>
    <s v="Station_11"/>
    <d v="1899-12-30T02:49:00"/>
    <d v="1899-12-30T03:12:00"/>
    <n v="12"/>
    <n v="14"/>
    <x v="0"/>
    <n v="17.100000000000001"/>
    <n v="85"/>
    <n v="57"/>
    <n v="4"/>
    <x v="0"/>
    <n v="0"/>
    <n v="0"/>
    <x v="0"/>
    <x v="0"/>
    <x v="1"/>
    <x v="3"/>
    <x v="1"/>
    <x v="2"/>
  </r>
  <r>
    <s v="T00088"/>
    <d v="2023-01-02T00:00:00"/>
    <d v="1899-12-30T03:00:00"/>
    <x v="1"/>
    <x v="19"/>
    <s v="Station_37"/>
    <s v="Station_16"/>
    <d v="1899-12-30T03:03:00"/>
    <d v="1899-12-30T03:32:00"/>
    <n v="18"/>
    <n v="23"/>
    <x v="2"/>
    <n v="33.4"/>
    <n v="68"/>
    <n v="42"/>
    <n v="15.9"/>
    <x v="0"/>
    <n v="0"/>
    <n v="11"/>
    <x v="0"/>
    <x v="1"/>
    <x v="1"/>
    <x v="3"/>
    <x v="1"/>
    <x v="2"/>
  </r>
  <r>
    <s v="T00089"/>
    <d v="2023-01-02T00:00:00"/>
    <d v="1899-12-30T03:15:00"/>
    <x v="3"/>
    <x v="13"/>
    <s v="Station_13"/>
    <s v="Station_49"/>
    <d v="1899-12-30T03:18:00"/>
    <d v="1899-12-30T03:49:00"/>
    <n v="10"/>
    <n v="24"/>
    <x v="2"/>
    <n v="2.5"/>
    <n v="92"/>
    <n v="1"/>
    <n v="7.2"/>
    <x v="3"/>
    <n v="50000"/>
    <n v="74"/>
    <x v="0"/>
    <x v="1"/>
    <x v="1"/>
    <x v="2"/>
    <x v="1"/>
    <x v="0"/>
  </r>
  <r>
    <s v="T00090"/>
    <d v="2023-01-02T00:00:00"/>
    <d v="1899-12-30T03:30:00"/>
    <x v="1"/>
    <x v="0"/>
    <s v="Station_36"/>
    <s v="Station_18"/>
    <d v="1899-12-30T03:34:00"/>
    <d v="1899-12-30T03:57:00"/>
    <n v="6"/>
    <n v="14"/>
    <x v="0"/>
    <n v="9.1"/>
    <n v="36"/>
    <n v="20"/>
    <n v="19.100000000000001"/>
    <x v="0"/>
    <n v="50000"/>
    <n v="47"/>
    <x v="1"/>
    <x v="0"/>
    <x v="1"/>
    <x v="2"/>
    <x v="1"/>
    <x v="1"/>
  </r>
  <r>
    <s v="T00091"/>
    <d v="2023-01-02T00:00:00"/>
    <d v="1899-12-30T03:45:00"/>
    <x v="1"/>
    <x v="9"/>
    <s v="Station_31"/>
    <s v="Station_35"/>
    <d v="1899-12-30T03:49:00"/>
    <d v="1899-12-30T04:14:00"/>
    <n v="7"/>
    <n v="12"/>
    <x v="3"/>
    <n v="17.899999999999999"/>
    <n v="87"/>
    <n v="33"/>
    <n v="19.899999999999999"/>
    <x v="0"/>
    <n v="0"/>
    <n v="93"/>
    <x v="0"/>
    <x v="1"/>
    <x v="1"/>
    <x v="1"/>
    <x v="1"/>
    <x v="0"/>
  </r>
  <r>
    <s v="T00092"/>
    <d v="2023-01-02T00:00:00"/>
    <d v="1899-12-30T04:00:00"/>
    <x v="3"/>
    <x v="0"/>
    <s v="Station_2"/>
    <s v="Station_26"/>
    <d v="1899-12-30T04:00:00"/>
    <d v="1899-12-30T04:24:00"/>
    <n v="9"/>
    <n v="12"/>
    <x v="3"/>
    <n v="29.7"/>
    <n v="88"/>
    <n v="26"/>
    <n v="18.3"/>
    <x v="2"/>
    <n v="2000"/>
    <n v="3"/>
    <x v="0"/>
    <x v="1"/>
    <x v="1"/>
    <x v="0"/>
    <x v="1"/>
    <x v="2"/>
  </r>
  <r>
    <s v="T00093"/>
    <d v="2023-01-02T00:00:00"/>
    <d v="1899-12-30T04:15:00"/>
    <x v="3"/>
    <x v="5"/>
    <s v="Station_16"/>
    <s v="Station_16"/>
    <d v="1899-12-30T04:16:00"/>
    <d v="1899-12-30T04:53:00"/>
    <n v="11"/>
    <n v="9"/>
    <x v="4"/>
    <n v="32.200000000000003"/>
    <n v="77"/>
    <n v="36"/>
    <n v="1.7"/>
    <x v="0"/>
    <n v="10000"/>
    <n v="33"/>
    <x v="0"/>
    <x v="1"/>
    <x v="1"/>
    <x v="2"/>
    <x v="1"/>
    <x v="2"/>
  </r>
  <r>
    <s v="T00094"/>
    <d v="2023-01-02T00:00:00"/>
    <d v="1899-12-30T04:30:00"/>
    <x v="3"/>
    <x v="18"/>
    <s v="Station_9"/>
    <s v="Station_6"/>
    <d v="1899-12-30T04:34:00"/>
    <d v="1899-12-30T05:27:00"/>
    <n v="-2"/>
    <n v="25"/>
    <x v="0"/>
    <n v="8.4"/>
    <n v="34"/>
    <n v="6"/>
    <n v="6.7"/>
    <x v="0"/>
    <n v="0"/>
    <n v="86"/>
    <x v="0"/>
    <x v="0"/>
    <x v="1"/>
    <x v="2"/>
    <x v="1"/>
    <x v="0"/>
  </r>
  <r>
    <s v="T00095"/>
    <d v="2023-01-02T00:00:00"/>
    <d v="1899-12-30T04:45:00"/>
    <x v="3"/>
    <x v="1"/>
    <s v="Station_9"/>
    <s v="Station_44"/>
    <d v="1899-12-30T04:49:00"/>
    <d v="1899-12-30T05:15:00"/>
    <n v="11"/>
    <n v="5"/>
    <x v="3"/>
    <n v="-2.2999999999999998"/>
    <n v="65"/>
    <n v="21"/>
    <n v="18.899999999999999"/>
    <x v="5"/>
    <n v="500"/>
    <n v="31"/>
    <x v="0"/>
    <x v="1"/>
    <x v="1"/>
    <x v="1"/>
    <x v="0"/>
    <x v="2"/>
  </r>
  <r>
    <s v="T00096"/>
    <d v="2023-01-02T00:00:00"/>
    <d v="1899-12-30T05:00:00"/>
    <x v="3"/>
    <x v="6"/>
    <s v="Station_38"/>
    <s v="Station_43"/>
    <d v="1899-12-30T05:02:00"/>
    <d v="1899-12-30T05:39:00"/>
    <n v="11"/>
    <n v="22"/>
    <x v="4"/>
    <n v="11.9"/>
    <n v="54"/>
    <n v="3"/>
    <n v="16.100000000000001"/>
    <x v="0"/>
    <n v="0"/>
    <n v="2"/>
    <x v="0"/>
    <x v="0"/>
    <x v="1"/>
    <x v="3"/>
    <x v="1"/>
    <x v="2"/>
  </r>
  <r>
    <s v="T00097"/>
    <d v="2023-01-02T00:00:00"/>
    <d v="1899-12-30T05:15:00"/>
    <x v="1"/>
    <x v="6"/>
    <s v="Station_11"/>
    <s v="Station_47"/>
    <d v="1899-12-30T05:19:00"/>
    <d v="1899-12-30T05:54:00"/>
    <n v="5"/>
    <n v="24"/>
    <x v="1"/>
    <n v="10.8"/>
    <n v="74"/>
    <n v="13"/>
    <n v="18.2"/>
    <x v="4"/>
    <n v="0"/>
    <n v="91"/>
    <x v="0"/>
    <x v="1"/>
    <x v="1"/>
    <x v="2"/>
    <x v="1"/>
    <x v="0"/>
  </r>
  <r>
    <s v="T00098"/>
    <d v="2023-01-02T00:00:00"/>
    <d v="1899-12-30T05:30:00"/>
    <x v="3"/>
    <x v="17"/>
    <s v="Station_22"/>
    <s v="Station_47"/>
    <d v="1899-12-30T05:31:00"/>
    <d v="1899-12-30T06:10:00"/>
    <n v="13"/>
    <n v="9"/>
    <x v="1"/>
    <n v="34.5"/>
    <n v="48"/>
    <n v="33"/>
    <n v="11.5"/>
    <x v="1"/>
    <n v="2000"/>
    <n v="67"/>
    <x v="0"/>
    <x v="1"/>
    <x v="1"/>
    <x v="0"/>
    <x v="1"/>
    <x v="0"/>
  </r>
  <r>
    <s v="T00099"/>
    <d v="2023-01-02T00:00:00"/>
    <d v="1899-12-30T05:45:00"/>
    <x v="2"/>
    <x v="7"/>
    <s v="Station_33"/>
    <s v="Station_48"/>
    <d v="1899-12-30T05:48:00"/>
    <d v="1899-12-30T06:22:00"/>
    <n v="11"/>
    <n v="5"/>
    <x v="4"/>
    <n v="12.2"/>
    <n v="36"/>
    <n v="22"/>
    <n v="9.6"/>
    <x v="1"/>
    <n v="0"/>
    <n v="56"/>
    <x v="0"/>
    <x v="1"/>
    <x v="1"/>
    <x v="1"/>
    <x v="0"/>
    <x v="1"/>
  </r>
  <r>
    <s v="T00100"/>
    <d v="2023-01-02T00:00:00"/>
    <d v="1899-12-30T06:00:00"/>
    <x v="0"/>
    <x v="12"/>
    <s v="Station_36"/>
    <s v="Station_42"/>
    <d v="1899-12-30T06:03:00"/>
    <d v="1899-12-30T06:29:00"/>
    <n v="-2"/>
    <n v="10"/>
    <x v="0"/>
    <n v="7.2"/>
    <n v="87"/>
    <n v="43"/>
    <n v="2.1"/>
    <x v="3"/>
    <n v="0"/>
    <n v="75"/>
    <x v="0"/>
    <x v="1"/>
    <x v="1"/>
    <x v="2"/>
    <x v="1"/>
    <x v="0"/>
  </r>
  <r>
    <s v="T00101"/>
    <d v="2023-01-02T00:00:00"/>
    <d v="1899-12-30T06:15:00"/>
    <x v="3"/>
    <x v="13"/>
    <s v="Station_45"/>
    <s v="Station_12"/>
    <d v="1899-12-30T06:18:00"/>
    <d v="1899-12-30T07:08:00"/>
    <n v="13"/>
    <n v="8"/>
    <x v="1"/>
    <n v="9.6"/>
    <n v="95"/>
    <n v="41"/>
    <n v="16.8"/>
    <x v="2"/>
    <n v="0"/>
    <n v="23"/>
    <x v="0"/>
    <x v="1"/>
    <x v="1"/>
    <x v="1"/>
    <x v="1"/>
    <x v="2"/>
  </r>
  <r>
    <s v="T00102"/>
    <d v="2023-01-02T00:00:00"/>
    <d v="1899-12-30T06:30:00"/>
    <x v="3"/>
    <x v="17"/>
    <s v="Station_23"/>
    <s v="Station_13"/>
    <d v="1899-12-30T06:33:00"/>
    <d v="1899-12-30T07:15:00"/>
    <n v="15"/>
    <n v="28"/>
    <x v="0"/>
    <n v="10.9"/>
    <n v="68"/>
    <n v="24"/>
    <n v="14.9"/>
    <x v="4"/>
    <n v="2000"/>
    <n v="32"/>
    <x v="0"/>
    <x v="1"/>
    <x v="1"/>
    <x v="2"/>
    <x v="1"/>
    <x v="2"/>
  </r>
  <r>
    <s v="T00103"/>
    <d v="2023-01-02T00:00:00"/>
    <d v="1899-12-30T06:45:00"/>
    <x v="1"/>
    <x v="10"/>
    <s v="Station_45"/>
    <s v="Station_4"/>
    <d v="1899-12-30T06:47:00"/>
    <d v="1899-12-30T07:34:00"/>
    <n v="4"/>
    <n v="-1"/>
    <x v="3"/>
    <n v="27.9"/>
    <n v="47"/>
    <n v="0"/>
    <n v="1.2"/>
    <x v="5"/>
    <n v="0"/>
    <n v="2"/>
    <x v="0"/>
    <x v="0"/>
    <x v="1"/>
    <x v="2"/>
    <x v="0"/>
    <x v="2"/>
  </r>
  <r>
    <s v="T00104"/>
    <d v="2023-01-02T00:00:00"/>
    <d v="1899-12-30T07:00:00"/>
    <x v="3"/>
    <x v="16"/>
    <s v="Station_45"/>
    <s v="Station_39"/>
    <d v="1899-12-30T07:04:00"/>
    <d v="1899-12-30T07:28:00"/>
    <n v="12"/>
    <n v="12"/>
    <x v="1"/>
    <n v="-1.8"/>
    <n v="30"/>
    <n v="50"/>
    <n v="4.2"/>
    <x v="5"/>
    <n v="0"/>
    <n v="3"/>
    <x v="0"/>
    <x v="0"/>
    <x v="1"/>
    <x v="1"/>
    <x v="1"/>
    <x v="2"/>
  </r>
  <r>
    <s v="T00105"/>
    <d v="2023-01-02T00:00:00"/>
    <d v="1899-12-30T07:15:00"/>
    <x v="3"/>
    <x v="12"/>
    <s v="Station_34"/>
    <s v="Station_2"/>
    <d v="1899-12-30T07:18:00"/>
    <d v="1899-12-30T08:05:00"/>
    <n v="14"/>
    <n v="16"/>
    <x v="3"/>
    <n v="7.7"/>
    <n v="92"/>
    <n v="54"/>
    <n v="11.1"/>
    <x v="3"/>
    <n v="500"/>
    <n v="29"/>
    <x v="0"/>
    <x v="1"/>
    <x v="1"/>
    <x v="0"/>
    <x v="1"/>
    <x v="2"/>
  </r>
  <r>
    <s v="T00106"/>
    <d v="2023-01-02T00:00:00"/>
    <d v="1899-12-30T07:30:00"/>
    <x v="3"/>
    <x v="14"/>
    <s v="Station_9"/>
    <s v="Station_26"/>
    <d v="1899-12-30T07:30:00"/>
    <d v="1899-12-30T07:53:00"/>
    <n v="16"/>
    <n v="28"/>
    <x v="0"/>
    <n v="33.700000000000003"/>
    <n v="32"/>
    <n v="47"/>
    <n v="13.7"/>
    <x v="1"/>
    <n v="0"/>
    <n v="69"/>
    <x v="0"/>
    <x v="0"/>
    <x v="1"/>
    <x v="0"/>
    <x v="1"/>
    <x v="0"/>
  </r>
  <r>
    <s v="T00107"/>
    <d v="2023-01-02T00:00:00"/>
    <d v="1899-12-30T07:45:00"/>
    <x v="1"/>
    <x v="18"/>
    <s v="Station_24"/>
    <s v="Station_27"/>
    <d v="1899-12-30T07:48:00"/>
    <d v="1899-12-30T08:10:00"/>
    <n v="10"/>
    <n v="19"/>
    <x v="0"/>
    <n v="1.1000000000000001"/>
    <n v="50"/>
    <n v="14"/>
    <n v="2.8"/>
    <x v="0"/>
    <n v="10000"/>
    <n v="48"/>
    <x v="0"/>
    <x v="1"/>
    <x v="1"/>
    <x v="3"/>
    <x v="1"/>
    <x v="1"/>
  </r>
  <r>
    <s v="T00108"/>
    <d v="2023-01-02T00:00:00"/>
    <d v="1899-12-30T08:00:00"/>
    <x v="3"/>
    <x v="4"/>
    <s v="Station_8"/>
    <s v="Station_27"/>
    <d v="1899-12-30T08:04:00"/>
    <d v="1899-12-30T08:33:00"/>
    <n v="6"/>
    <n v="13"/>
    <x v="5"/>
    <n v="24.7"/>
    <n v="59"/>
    <n v="31"/>
    <n v="4.9000000000000004"/>
    <x v="1"/>
    <n v="0"/>
    <n v="29"/>
    <x v="0"/>
    <x v="1"/>
    <x v="1"/>
    <x v="2"/>
    <x v="1"/>
    <x v="2"/>
  </r>
  <r>
    <s v="T00109"/>
    <d v="2023-01-02T00:00:00"/>
    <d v="1899-12-30T08:15:00"/>
    <x v="0"/>
    <x v="14"/>
    <s v="Station_7"/>
    <s v="Station_15"/>
    <d v="1899-12-30T08:18:00"/>
    <d v="1899-12-30T08:38:00"/>
    <n v="12"/>
    <n v="12"/>
    <x v="4"/>
    <n v="9.3000000000000007"/>
    <n v="40"/>
    <n v="13"/>
    <n v="3.9"/>
    <x v="0"/>
    <n v="0"/>
    <n v="71"/>
    <x v="0"/>
    <x v="1"/>
    <x v="1"/>
    <x v="3"/>
    <x v="1"/>
    <x v="0"/>
  </r>
  <r>
    <s v="T00110"/>
    <d v="2023-01-02T00:00:00"/>
    <d v="1899-12-30T08:30:00"/>
    <x v="1"/>
    <x v="3"/>
    <s v="Station_36"/>
    <s v="Station_8"/>
    <d v="1899-12-30T08:32:00"/>
    <d v="1899-12-30T09:15:00"/>
    <n v="0"/>
    <n v="4"/>
    <x v="2"/>
    <n v="18.3"/>
    <n v="51"/>
    <n v="40"/>
    <n v="4.4000000000000004"/>
    <x v="0"/>
    <n v="0"/>
    <n v="81"/>
    <x v="0"/>
    <x v="1"/>
    <x v="1"/>
    <x v="1"/>
    <x v="0"/>
    <x v="0"/>
  </r>
  <r>
    <s v="T00111"/>
    <d v="2023-01-02T00:00:00"/>
    <d v="1899-12-30T08:45:00"/>
    <x v="0"/>
    <x v="10"/>
    <s v="Station_18"/>
    <s v="Station_7"/>
    <d v="1899-12-30T08:46:00"/>
    <d v="1899-12-30T09:43:00"/>
    <n v="-2"/>
    <n v="15"/>
    <x v="4"/>
    <n v="-1"/>
    <n v="86"/>
    <n v="20"/>
    <n v="18.399999999999999"/>
    <x v="0"/>
    <n v="0"/>
    <n v="15"/>
    <x v="0"/>
    <x v="1"/>
    <x v="1"/>
    <x v="3"/>
    <x v="1"/>
    <x v="2"/>
  </r>
  <r>
    <s v="T00112"/>
    <d v="2023-01-02T00:00:00"/>
    <d v="1899-12-30T09:00:00"/>
    <x v="1"/>
    <x v="13"/>
    <s v="Station_3"/>
    <s v="Station_47"/>
    <d v="1899-12-30T09:01:00"/>
    <d v="1899-12-30T09:36:00"/>
    <n v="13"/>
    <n v="26"/>
    <x v="0"/>
    <n v="7.3"/>
    <n v="32"/>
    <n v="54"/>
    <n v="14.3"/>
    <x v="5"/>
    <n v="50000"/>
    <n v="52"/>
    <x v="0"/>
    <x v="1"/>
    <x v="1"/>
    <x v="1"/>
    <x v="1"/>
    <x v="1"/>
  </r>
  <r>
    <s v="T00113"/>
    <d v="2023-01-02T00:00:00"/>
    <d v="1899-12-30T09:15:00"/>
    <x v="3"/>
    <x v="11"/>
    <s v="Station_28"/>
    <s v="Station_46"/>
    <d v="1899-12-30T09:19:00"/>
    <d v="1899-12-30T09:53:00"/>
    <n v="5"/>
    <n v="10"/>
    <x v="0"/>
    <n v="15"/>
    <n v="59"/>
    <n v="46"/>
    <n v="14.7"/>
    <x v="0"/>
    <n v="0"/>
    <n v="5"/>
    <x v="0"/>
    <x v="1"/>
    <x v="1"/>
    <x v="0"/>
    <x v="1"/>
    <x v="2"/>
  </r>
  <r>
    <s v="T00114"/>
    <d v="2023-01-02T00:00:00"/>
    <d v="1899-12-30T09:30:00"/>
    <x v="0"/>
    <x v="17"/>
    <s v="Station_6"/>
    <s v="Station_40"/>
    <d v="1899-12-30T09:31:00"/>
    <d v="1899-12-30T09:55:00"/>
    <n v="10"/>
    <n v="18"/>
    <x v="4"/>
    <n v="4.3"/>
    <n v="74"/>
    <n v="57"/>
    <n v="15.9"/>
    <x v="1"/>
    <n v="2000"/>
    <n v="23"/>
    <x v="0"/>
    <x v="1"/>
    <x v="1"/>
    <x v="1"/>
    <x v="1"/>
    <x v="2"/>
  </r>
  <r>
    <s v="T00115"/>
    <d v="2023-01-02T00:00:00"/>
    <d v="1899-12-30T09:45:00"/>
    <x v="1"/>
    <x v="16"/>
    <s v="Station_44"/>
    <s v="Station_12"/>
    <d v="1899-12-30T09:46:00"/>
    <d v="1899-12-30T10:33:00"/>
    <n v="5"/>
    <n v="13"/>
    <x v="0"/>
    <n v="16.7"/>
    <n v="65"/>
    <n v="6"/>
    <n v="7.1"/>
    <x v="0"/>
    <n v="0"/>
    <n v="91"/>
    <x v="0"/>
    <x v="0"/>
    <x v="1"/>
    <x v="1"/>
    <x v="1"/>
    <x v="0"/>
  </r>
  <r>
    <s v="T00116"/>
    <d v="2023-01-02T00:00:00"/>
    <d v="1899-12-30T10:00:00"/>
    <x v="2"/>
    <x v="9"/>
    <s v="Station_44"/>
    <s v="Station_13"/>
    <d v="1899-12-30T10:00:00"/>
    <d v="1899-12-30T10:30:00"/>
    <n v="14"/>
    <n v="11"/>
    <x v="3"/>
    <n v="3.8"/>
    <n v="93"/>
    <n v="35"/>
    <n v="15.3"/>
    <x v="0"/>
    <n v="500"/>
    <n v="95"/>
    <x v="0"/>
    <x v="0"/>
    <x v="1"/>
    <x v="3"/>
    <x v="1"/>
    <x v="0"/>
  </r>
  <r>
    <s v="T00117"/>
    <d v="2023-01-02T00:00:00"/>
    <d v="1899-12-30T10:15:00"/>
    <x v="3"/>
    <x v="5"/>
    <s v="Station_21"/>
    <s v="Station_43"/>
    <d v="1899-12-30T10:19:00"/>
    <d v="1899-12-30T10:50:00"/>
    <n v="19"/>
    <n v="28"/>
    <x v="1"/>
    <n v="21"/>
    <n v="83"/>
    <n v="20"/>
    <n v="19.600000000000001"/>
    <x v="0"/>
    <n v="50000"/>
    <n v="88"/>
    <x v="1"/>
    <x v="1"/>
    <x v="1"/>
    <x v="2"/>
    <x v="1"/>
    <x v="0"/>
  </r>
  <r>
    <s v="T00118"/>
    <d v="2023-01-02T00:00:00"/>
    <d v="1899-12-30T10:30:00"/>
    <x v="1"/>
    <x v="15"/>
    <s v="Station_28"/>
    <s v="Station_17"/>
    <d v="1899-12-30T10:34:00"/>
    <d v="1899-12-30T11:19:00"/>
    <n v="11"/>
    <n v="9"/>
    <x v="0"/>
    <n v="31.2"/>
    <n v="97"/>
    <n v="49"/>
    <n v="14"/>
    <x v="4"/>
    <n v="0"/>
    <n v="27"/>
    <x v="0"/>
    <x v="0"/>
    <x v="1"/>
    <x v="3"/>
    <x v="1"/>
    <x v="2"/>
  </r>
  <r>
    <s v="T00119"/>
    <d v="2023-01-02T00:00:00"/>
    <d v="1899-12-30T10:45:00"/>
    <x v="2"/>
    <x v="7"/>
    <s v="Station_40"/>
    <s v="Station_17"/>
    <d v="1899-12-30T10:46:00"/>
    <d v="1899-12-30T11:29:00"/>
    <n v="18"/>
    <n v="17"/>
    <x v="4"/>
    <n v="-1.6"/>
    <n v="79"/>
    <n v="39"/>
    <n v="8.3000000000000007"/>
    <x v="5"/>
    <n v="0"/>
    <n v="20"/>
    <x v="0"/>
    <x v="1"/>
    <x v="1"/>
    <x v="0"/>
    <x v="1"/>
    <x v="2"/>
  </r>
  <r>
    <s v="T00120"/>
    <d v="2023-01-02T00:00:00"/>
    <d v="1899-12-30T11:00:00"/>
    <x v="1"/>
    <x v="6"/>
    <s v="Station_1"/>
    <s v="Station_36"/>
    <d v="1899-12-30T11:01:00"/>
    <d v="1899-12-30T11:59:00"/>
    <n v="18"/>
    <n v="29"/>
    <x v="4"/>
    <n v="3.7"/>
    <n v="60"/>
    <n v="11"/>
    <n v="14.3"/>
    <x v="0"/>
    <n v="50000"/>
    <n v="7"/>
    <x v="0"/>
    <x v="0"/>
    <x v="1"/>
    <x v="0"/>
    <x v="1"/>
    <x v="2"/>
  </r>
  <r>
    <s v="T00121"/>
    <d v="2023-01-02T00:00:00"/>
    <d v="1899-12-30T11:15:00"/>
    <x v="2"/>
    <x v="6"/>
    <s v="Station_36"/>
    <s v="Station_21"/>
    <d v="1899-12-30T11:16:00"/>
    <d v="1899-12-30T11:45:00"/>
    <n v="4"/>
    <n v="23"/>
    <x v="4"/>
    <n v="28.8"/>
    <n v="58"/>
    <n v="14"/>
    <n v="18"/>
    <x v="0"/>
    <n v="2000"/>
    <n v="35"/>
    <x v="0"/>
    <x v="1"/>
    <x v="1"/>
    <x v="0"/>
    <x v="1"/>
    <x v="1"/>
  </r>
  <r>
    <s v="T00122"/>
    <d v="2023-01-02T00:00:00"/>
    <d v="1899-12-30T11:30:00"/>
    <x v="3"/>
    <x v="0"/>
    <s v="Station_21"/>
    <s v="Station_8"/>
    <d v="1899-12-30T11:32:00"/>
    <d v="1899-12-30T11:56:00"/>
    <n v="12"/>
    <n v="12"/>
    <x v="5"/>
    <n v="20.3"/>
    <n v="88"/>
    <n v="14"/>
    <n v="2.6"/>
    <x v="4"/>
    <n v="0"/>
    <n v="8"/>
    <x v="0"/>
    <x v="1"/>
    <x v="1"/>
    <x v="2"/>
    <x v="1"/>
    <x v="2"/>
  </r>
  <r>
    <s v="T00123"/>
    <d v="2023-01-02T00:00:00"/>
    <d v="1899-12-30T11:45:00"/>
    <x v="0"/>
    <x v="5"/>
    <s v="Station_43"/>
    <s v="Station_5"/>
    <d v="1899-12-30T11:48:00"/>
    <d v="1899-12-30T12:30:00"/>
    <n v="13"/>
    <n v="24"/>
    <x v="3"/>
    <n v="-1.9"/>
    <n v="65"/>
    <n v="16"/>
    <n v="5.3"/>
    <x v="0"/>
    <n v="0"/>
    <n v="39"/>
    <x v="0"/>
    <x v="1"/>
    <x v="1"/>
    <x v="3"/>
    <x v="1"/>
    <x v="1"/>
  </r>
  <r>
    <s v="T00124"/>
    <d v="2023-01-02T00:00:00"/>
    <d v="1899-12-30T12:00:00"/>
    <x v="2"/>
    <x v="9"/>
    <s v="Station_35"/>
    <s v="Station_26"/>
    <d v="1899-12-30T12:02:00"/>
    <d v="1899-12-30T12:41:00"/>
    <n v="16"/>
    <n v="-3"/>
    <x v="3"/>
    <n v="14.5"/>
    <n v="96"/>
    <n v="33"/>
    <n v="18.399999999999999"/>
    <x v="0"/>
    <n v="0"/>
    <n v="84"/>
    <x v="0"/>
    <x v="1"/>
    <x v="1"/>
    <x v="1"/>
    <x v="0"/>
    <x v="0"/>
  </r>
  <r>
    <s v="T00125"/>
    <d v="2023-01-02T00:00:00"/>
    <d v="1899-12-30T12:15:00"/>
    <x v="1"/>
    <x v="15"/>
    <s v="Station_13"/>
    <s v="Station_16"/>
    <d v="1899-12-30T12:19:00"/>
    <d v="1899-12-30T12:59:00"/>
    <n v="3"/>
    <n v="27"/>
    <x v="5"/>
    <n v="3.4"/>
    <n v="40"/>
    <n v="43"/>
    <n v="18.899999999999999"/>
    <x v="0"/>
    <n v="10000"/>
    <n v="50"/>
    <x v="0"/>
    <x v="1"/>
    <x v="1"/>
    <x v="1"/>
    <x v="1"/>
    <x v="1"/>
  </r>
  <r>
    <s v="T00126"/>
    <d v="2023-01-02T00:00:00"/>
    <d v="1899-12-30T12:30:00"/>
    <x v="3"/>
    <x v="14"/>
    <s v="Station_49"/>
    <s v="Station_36"/>
    <d v="1899-12-30T12:30:00"/>
    <d v="1899-12-30T13:08:00"/>
    <n v="-2"/>
    <n v="29"/>
    <x v="3"/>
    <n v="3"/>
    <n v="40"/>
    <n v="34"/>
    <n v="9.6999999999999993"/>
    <x v="4"/>
    <n v="500"/>
    <n v="0"/>
    <x v="1"/>
    <x v="1"/>
    <x v="1"/>
    <x v="2"/>
    <x v="1"/>
    <x v="2"/>
  </r>
  <r>
    <s v="T00127"/>
    <d v="2023-01-02T00:00:00"/>
    <d v="1899-12-30T12:45:00"/>
    <x v="2"/>
    <x v="5"/>
    <s v="Station_10"/>
    <s v="Station_28"/>
    <d v="1899-12-30T12:48:00"/>
    <d v="1899-12-30T13:35:00"/>
    <n v="9"/>
    <n v="29"/>
    <x v="5"/>
    <n v="32.6"/>
    <n v="55"/>
    <n v="38"/>
    <n v="7.5"/>
    <x v="0"/>
    <n v="50000"/>
    <n v="62"/>
    <x v="0"/>
    <x v="1"/>
    <x v="1"/>
    <x v="0"/>
    <x v="1"/>
    <x v="1"/>
  </r>
  <r>
    <s v="T00128"/>
    <d v="2023-01-02T00:00:00"/>
    <d v="1899-12-30T13:00:00"/>
    <x v="1"/>
    <x v="11"/>
    <s v="Station_44"/>
    <s v="Station_29"/>
    <d v="1899-12-30T13:00:00"/>
    <d v="1899-12-30T13:45:00"/>
    <n v="15"/>
    <n v="14"/>
    <x v="3"/>
    <n v="25.5"/>
    <n v="82"/>
    <n v="37"/>
    <n v="5.7"/>
    <x v="0"/>
    <n v="0"/>
    <n v="67"/>
    <x v="0"/>
    <x v="1"/>
    <x v="1"/>
    <x v="2"/>
    <x v="1"/>
    <x v="0"/>
  </r>
  <r>
    <s v="T00129"/>
    <d v="2023-01-02T00:00:00"/>
    <d v="1899-12-30T13:15:00"/>
    <x v="1"/>
    <x v="15"/>
    <s v="Station_47"/>
    <s v="Station_47"/>
    <d v="1899-12-30T13:19:00"/>
    <d v="1899-12-30T14:10:00"/>
    <n v="13"/>
    <n v="19"/>
    <x v="5"/>
    <n v="22.8"/>
    <n v="43"/>
    <n v="13"/>
    <n v="10"/>
    <x v="3"/>
    <n v="0"/>
    <n v="73"/>
    <x v="0"/>
    <x v="0"/>
    <x v="1"/>
    <x v="1"/>
    <x v="1"/>
    <x v="0"/>
  </r>
  <r>
    <s v="T00130"/>
    <d v="2023-01-02T00:00:00"/>
    <d v="1899-12-30T13:30:00"/>
    <x v="1"/>
    <x v="8"/>
    <s v="Station_10"/>
    <s v="Station_12"/>
    <d v="1899-12-30T13:34:00"/>
    <d v="1899-12-30T14:12:00"/>
    <n v="9"/>
    <n v="19"/>
    <x v="5"/>
    <n v="4.5999999999999996"/>
    <n v="93"/>
    <n v="54"/>
    <n v="18.7"/>
    <x v="1"/>
    <n v="0"/>
    <n v="25"/>
    <x v="0"/>
    <x v="1"/>
    <x v="1"/>
    <x v="0"/>
    <x v="1"/>
    <x v="2"/>
  </r>
  <r>
    <s v="T00131"/>
    <d v="2023-01-02T00:00:00"/>
    <d v="1899-12-30T13:45:00"/>
    <x v="2"/>
    <x v="8"/>
    <s v="Station_46"/>
    <s v="Station_37"/>
    <d v="1899-12-30T13:45:00"/>
    <d v="1899-12-30T14:17:00"/>
    <n v="17"/>
    <n v="11"/>
    <x v="3"/>
    <n v="-0.3"/>
    <n v="39"/>
    <n v="58"/>
    <n v="3"/>
    <x v="0"/>
    <n v="0"/>
    <n v="39"/>
    <x v="0"/>
    <x v="0"/>
    <x v="1"/>
    <x v="2"/>
    <x v="1"/>
    <x v="1"/>
  </r>
  <r>
    <s v="T00132"/>
    <d v="2023-01-02T00:00:00"/>
    <d v="1899-12-30T14:00:00"/>
    <x v="2"/>
    <x v="5"/>
    <s v="Station_13"/>
    <s v="Station_30"/>
    <d v="1899-12-30T14:00:00"/>
    <d v="1899-12-30T14:44:00"/>
    <n v="10"/>
    <n v="22"/>
    <x v="5"/>
    <n v="29.8"/>
    <n v="60"/>
    <n v="4"/>
    <n v="8.4"/>
    <x v="0"/>
    <n v="0"/>
    <n v="2"/>
    <x v="0"/>
    <x v="1"/>
    <x v="1"/>
    <x v="1"/>
    <x v="1"/>
    <x v="2"/>
  </r>
  <r>
    <s v="T00133"/>
    <d v="2023-01-02T00:00:00"/>
    <d v="1899-12-30T14:15:00"/>
    <x v="2"/>
    <x v="15"/>
    <s v="Station_37"/>
    <s v="Station_23"/>
    <d v="1899-12-30T14:15:00"/>
    <d v="1899-12-30T14:36:00"/>
    <n v="5"/>
    <n v="26"/>
    <x v="3"/>
    <n v="-4.8"/>
    <n v="65"/>
    <n v="29"/>
    <n v="18.2"/>
    <x v="0"/>
    <n v="0"/>
    <n v="8"/>
    <x v="0"/>
    <x v="1"/>
    <x v="1"/>
    <x v="1"/>
    <x v="1"/>
    <x v="2"/>
  </r>
  <r>
    <s v="T00134"/>
    <d v="2023-01-02T00:00:00"/>
    <d v="1899-12-30T14:30:00"/>
    <x v="0"/>
    <x v="15"/>
    <s v="Station_38"/>
    <s v="Station_16"/>
    <d v="1899-12-30T14:34:00"/>
    <d v="1899-12-30T14:51:00"/>
    <n v="19"/>
    <n v="21"/>
    <x v="5"/>
    <n v="10.5"/>
    <n v="39"/>
    <n v="3"/>
    <n v="7"/>
    <x v="0"/>
    <n v="10000"/>
    <n v="31"/>
    <x v="0"/>
    <x v="1"/>
    <x v="1"/>
    <x v="2"/>
    <x v="1"/>
    <x v="2"/>
  </r>
  <r>
    <s v="T00135"/>
    <d v="2023-01-02T00:00:00"/>
    <d v="1899-12-30T14:45:00"/>
    <x v="2"/>
    <x v="7"/>
    <s v="Station_24"/>
    <s v="Station_14"/>
    <d v="1899-12-30T14:46:00"/>
    <d v="1899-12-30T15:20:00"/>
    <n v="-2"/>
    <n v="12"/>
    <x v="4"/>
    <n v="6.1"/>
    <n v="55"/>
    <n v="14"/>
    <n v="15.4"/>
    <x v="0"/>
    <n v="0"/>
    <n v="66"/>
    <x v="0"/>
    <x v="0"/>
    <x v="1"/>
    <x v="1"/>
    <x v="1"/>
    <x v="1"/>
  </r>
  <r>
    <s v="T00136"/>
    <d v="2023-01-02T00:00:00"/>
    <d v="1899-12-30T15:00:00"/>
    <x v="2"/>
    <x v="10"/>
    <s v="Station_2"/>
    <s v="Station_10"/>
    <d v="1899-12-30T15:00:00"/>
    <d v="1899-12-30T15:28:00"/>
    <n v="18"/>
    <n v="10"/>
    <x v="2"/>
    <n v="17.8"/>
    <n v="49"/>
    <n v="38"/>
    <n v="7.8"/>
    <x v="0"/>
    <n v="0"/>
    <n v="3"/>
    <x v="0"/>
    <x v="1"/>
    <x v="1"/>
    <x v="3"/>
    <x v="1"/>
    <x v="2"/>
  </r>
  <r>
    <s v="T00137"/>
    <d v="2023-01-02T00:00:00"/>
    <d v="1899-12-30T15:15:00"/>
    <x v="2"/>
    <x v="0"/>
    <s v="Station_22"/>
    <s v="Station_7"/>
    <d v="1899-12-30T15:18:00"/>
    <d v="1899-12-30T16:02:00"/>
    <n v="4"/>
    <n v="13"/>
    <x v="3"/>
    <n v="5"/>
    <n v="73"/>
    <n v="34"/>
    <n v="16.100000000000001"/>
    <x v="0"/>
    <n v="50000"/>
    <n v="5"/>
    <x v="0"/>
    <x v="1"/>
    <x v="1"/>
    <x v="3"/>
    <x v="1"/>
    <x v="2"/>
  </r>
  <r>
    <s v="T00138"/>
    <d v="2023-01-02T00:00:00"/>
    <d v="1899-12-30T15:30:00"/>
    <x v="0"/>
    <x v="9"/>
    <s v="Station_17"/>
    <s v="Station_45"/>
    <d v="1899-12-30T15:34:00"/>
    <d v="1899-12-30T16:02:00"/>
    <n v="12"/>
    <n v="8"/>
    <x v="5"/>
    <n v="7.4"/>
    <n v="91"/>
    <n v="44"/>
    <n v="19.600000000000001"/>
    <x v="5"/>
    <n v="50000"/>
    <n v="72"/>
    <x v="0"/>
    <x v="1"/>
    <x v="1"/>
    <x v="0"/>
    <x v="1"/>
    <x v="0"/>
  </r>
  <r>
    <s v="T00139"/>
    <d v="2023-01-02T00:00:00"/>
    <d v="1899-12-30T15:45:00"/>
    <x v="2"/>
    <x v="18"/>
    <s v="Station_36"/>
    <s v="Station_37"/>
    <d v="1899-12-30T15:47:00"/>
    <d v="1899-12-30T16:39:00"/>
    <n v="19"/>
    <n v="25"/>
    <x v="4"/>
    <n v="29"/>
    <n v="38"/>
    <n v="9"/>
    <n v="7.8"/>
    <x v="5"/>
    <n v="0"/>
    <n v="25"/>
    <x v="0"/>
    <x v="1"/>
    <x v="1"/>
    <x v="3"/>
    <x v="1"/>
    <x v="2"/>
  </r>
  <r>
    <s v="T00140"/>
    <d v="2023-01-02T00:00:00"/>
    <d v="1899-12-30T16:00:00"/>
    <x v="1"/>
    <x v="13"/>
    <s v="Station_14"/>
    <s v="Station_29"/>
    <d v="1899-12-30T16:02:00"/>
    <d v="1899-12-30T16:32:00"/>
    <n v="10"/>
    <n v="28"/>
    <x v="2"/>
    <n v="19.100000000000001"/>
    <n v="53"/>
    <n v="54"/>
    <n v="16.899999999999999"/>
    <x v="0"/>
    <n v="50000"/>
    <n v="1"/>
    <x v="0"/>
    <x v="1"/>
    <x v="1"/>
    <x v="3"/>
    <x v="1"/>
    <x v="2"/>
  </r>
  <r>
    <s v="T00141"/>
    <d v="2023-01-02T00:00:00"/>
    <d v="1899-12-30T16:15:00"/>
    <x v="2"/>
    <x v="6"/>
    <s v="Station_10"/>
    <s v="Station_3"/>
    <d v="1899-12-30T16:18:00"/>
    <d v="1899-12-30T17:05:00"/>
    <n v="10"/>
    <n v="20"/>
    <x v="5"/>
    <n v="0.8"/>
    <n v="41"/>
    <n v="1"/>
    <n v="19.8"/>
    <x v="4"/>
    <n v="0"/>
    <n v="65"/>
    <x v="0"/>
    <x v="1"/>
    <x v="1"/>
    <x v="2"/>
    <x v="1"/>
    <x v="1"/>
  </r>
  <r>
    <s v="T00142"/>
    <d v="2023-01-02T00:00:00"/>
    <d v="1899-12-30T16:30:00"/>
    <x v="1"/>
    <x v="16"/>
    <s v="Station_35"/>
    <s v="Station_15"/>
    <d v="1899-12-30T16:31:00"/>
    <d v="1899-12-30T17:10:00"/>
    <n v="6"/>
    <n v="9"/>
    <x v="2"/>
    <n v="24.1"/>
    <n v="89"/>
    <n v="43"/>
    <n v="19.7"/>
    <x v="0"/>
    <n v="0"/>
    <n v="84"/>
    <x v="0"/>
    <x v="0"/>
    <x v="1"/>
    <x v="0"/>
    <x v="1"/>
    <x v="0"/>
  </r>
  <r>
    <s v="T00143"/>
    <d v="2023-01-02T00:00:00"/>
    <d v="1899-12-30T16:45:00"/>
    <x v="1"/>
    <x v="17"/>
    <s v="Station_25"/>
    <s v="Station_36"/>
    <d v="1899-12-30T16:45:00"/>
    <d v="1899-12-30T17:36:00"/>
    <n v="12"/>
    <n v="16"/>
    <x v="3"/>
    <n v="3.3"/>
    <n v="45"/>
    <n v="59"/>
    <n v="8.6999999999999993"/>
    <x v="4"/>
    <n v="10000"/>
    <n v="85"/>
    <x v="0"/>
    <x v="0"/>
    <x v="1"/>
    <x v="2"/>
    <x v="1"/>
    <x v="0"/>
  </r>
  <r>
    <s v="T00144"/>
    <d v="2023-01-02T00:00:00"/>
    <d v="1899-12-30T17:00:00"/>
    <x v="1"/>
    <x v="9"/>
    <s v="Station_3"/>
    <s v="Station_47"/>
    <d v="1899-12-30T17:04:00"/>
    <d v="1899-12-30T17:53:00"/>
    <n v="1"/>
    <n v="11"/>
    <x v="2"/>
    <n v="12.3"/>
    <n v="58"/>
    <n v="23"/>
    <n v="9.6999999999999993"/>
    <x v="0"/>
    <n v="2000"/>
    <n v="2"/>
    <x v="1"/>
    <x v="0"/>
    <x v="1"/>
    <x v="2"/>
    <x v="1"/>
    <x v="2"/>
  </r>
  <r>
    <s v="T00145"/>
    <d v="2023-01-02T00:00:00"/>
    <d v="1899-12-30T17:15:00"/>
    <x v="0"/>
    <x v="15"/>
    <s v="Station_47"/>
    <s v="Station_46"/>
    <d v="1899-12-30T17:15:00"/>
    <d v="1899-12-30T17:42:00"/>
    <n v="10"/>
    <n v="0"/>
    <x v="1"/>
    <n v="20.9"/>
    <n v="61"/>
    <n v="27"/>
    <n v="6.1"/>
    <x v="5"/>
    <n v="10000"/>
    <n v="34"/>
    <x v="0"/>
    <x v="1"/>
    <x v="1"/>
    <x v="3"/>
    <x v="0"/>
    <x v="1"/>
  </r>
  <r>
    <s v="T00146"/>
    <d v="2023-01-02T00:00:00"/>
    <d v="1899-12-30T17:30:00"/>
    <x v="0"/>
    <x v="9"/>
    <s v="Station_38"/>
    <s v="Station_19"/>
    <d v="1899-12-30T17:34:00"/>
    <d v="1899-12-30T17:51:00"/>
    <n v="9"/>
    <n v="24"/>
    <x v="0"/>
    <n v="5.9"/>
    <n v="64"/>
    <n v="21"/>
    <n v="6.3"/>
    <x v="5"/>
    <n v="10000"/>
    <n v="58"/>
    <x v="0"/>
    <x v="1"/>
    <x v="1"/>
    <x v="3"/>
    <x v="1"/>
    <x v="1"/>
  </r>
  <r>
    <s v="T00147"/>
    <d v="2023-01-02T00:00:00"/>
    <d v="1899-12-30T17:45:00"/>
    <x v="0"/>
    <x v="15"/>
    <s v="Station_17"/>
    <s v="Station_13"/>
    <d v="1899-12-30T17:47:00"/>
    <d v="1899-12-30T18:42:00"/>
    <n v="2"/>
    <n v="-2"/>
    <x v="1"/>
    <n v="10.4"/>
    <n v="72"/>
    <n v="43"/>
    <n v="9.8000000000000007"/>
    <x v="0"/>
    <n v="0"/>
    <n v="37"/>
    <x v="0"/>
    <x v="1"/>
    <x v="1"/>
    <x v="1"/>
    <x v="0"/>
    <x v="1"/>
  </r>
  <r>
    <s v="T00148"/>
    <d v="2023-01-02T00:00:00"/>
    <d v="1899-12-30T18:00:00"/>
    <x v="2"/>
    <x v="16"/>
    <s v="Station_12"/>
    <s v="Station_42"/>
    <d v="1899-12-30T18:00:00"/>
    <d v="1899-12-30T18:51:00"/>
    <n v="4"/>
    <n v="26"/>
    <x v="3"/>
    <n v="24.4"/>
    <n v="82"/>
    <n v="31"/>
    <n v="4"/>
    <x v="1"/>
    <n v="0"/>
    <n v="32"/>
    <x v="0"/>
    <x v="0"/>
    <x v="1"/>
    <x v="1"/>
    <x v="1"/>
    <x v="2"/>
  </r>
  <r>
    <s v="T00149"/>
    <d v="2023-01-02T00:00:00"/>
    <d v="1899-12-30T18:15:00"/>
    <x v="1"/>
    <x v="1"/>
    <s v="Station_24"/>
    <s v="Station_21"/>
    <d v="1899-12-30T18:18:00"/>
    <d v="1899-12-30T19:14:00"/>
    <n v="5"/>
    <n v="22"/>
    <x v="3"/>
    <n v="32.5"/>
    <n v="49"/>
    <n v="30"/>
    <n v="14.2"/>
    <x v="4"/>
    <n v="0"/>
    <n v="14"/>
    <x v="1"/>
    <x v="1"/>
    <x v="1"/>
    <x v="0"/>
    <x v="1"/>
    <x v="2"/>
  </r>
  <r>
    <s v="T00150"/>
    <d v="2023-01-02T00:00:00"/>
    <d v="1899-12-30T18:30:00"/>
    <x v="0"/>
    <x v="11"/>
    <s v="Station_29"/>
    <s v="Station_37"/>
    <d v="1899-12-30T18:31:00"/>
    <d v="1899-12-30T19:17:00"/>
    <n v="2"/>
    <n v="22"/>
    <x v="2"/>
    <n v="16.2"/>
    <n v="37"/>
    <n v="18"/>
    <n v="10.7"/>
    <x v="0"/>
    <n v="0"/>
    <n v="74"/>
    <x v="0"/>
    <x v="1"/>
    <x v="1"/>
    <x v="3"/>
    <x v="1"/>
    <x v="0"/>
  </r>
  <r>
    <s v="T00151"/>
    <d v="2023-01-02T00:00:00"/>
    <d v="1899-12-30T18:45:00"/>
    <x v="0"/>
    <x v="9"/>
    <s v="Station_43"/>
    <s v="Station_27"/>
    <d v="1899-12-30T18:48:00"/>
    <d v="1899-12-30T19:41:00"/>
    <n v="6"/>
    <n v="16"/>
    <x v="4"/>
    <n v="-4.5999999999999996"/>
    <n v="71"/>
    <n v="50"/>
    <n v="18"/>
    <x v="4"/>
    <n v="0"/>
    <n v="73"/>
    <x v="0"/>
    <x v="0"/>
    <x v="1"/>
    <x v="1"/>
    <x v="1"/>
    <x v="0"/>
  </r>
  <r>
    <s v="T00152"/>
    <d v="2023-01-02T00:00:00"/>
    <d v="1899-12-30T19:00:00"/>
    <x v="2"/>
    <x v="0"/>
    <s v="Station_25"/>
    <s v="Station_29"/>
    <d v="1899-12-30T19:01:00"/>
    <d v="1899-12-30T19:20:00"/>
    <n v="11"/>
    <n v="24"/>
    <x v="5"/>
    <n v="8.5"/>
    <n v="99"/>
    <n v="20"/>
    <n v="16.2"/>
    <x v="4"/>
    <n v="0"/>
    <n v="99"/>
    <x v="0"/>
    <x v="1"/>
    <x v="1"/>
    <x v="2"/>
    <x v="1"/>
    <x v="0"/>
  </r>
  <r>
    <s v="T00153"/>
    <d v="2023-01-02T00:00:00"/>
    <d v="1899-12-30T19:15:00"/>
    <x v="0"/>
    <x v="4"/>
    <s v="Station_36"/>
    <s v="Station_20"/>
    <d v="1899-12-30T19:15:00"/>
    <d v="1899-12-30T19:44:00"/>
    <n v="9"/>
    <n v="16"/>
    <x v="0"/>
    <n v="10.9"/>
    <n v="45"/>
    <n v="2"/>
    <n v="6.4"/>
    <x v="5"/>
    <n v="10000"/>
    <n v="13"/>
    <x v="0"/>
    <x v="1"/>
    <x v="1"/>
    <x v="3"/>
    <x v="1"/>
    <x v="2"/>
  </r>
  <r>
    <s v="T00154"/>
    <d v="2023-01-02T00:00:00"/>
    <d v="1899-12-30T19:30:00"/>
    <x v="2"/>
    <x v="6"/>
    <s v="Station_26"/>
    <s v="Station_25"/>
    <d v="1899-12-30T19:30:00"/>
    <d v="1899-12-30T19:53:00"/>
    <n v="1"/>
    <n v="7"/>
    <x v="5"/>
    <n v="8.6"/>
    <n v="98"/>
    <n v="5"/>
    <n v="10.1"/>
    <x v="1"/>
    <n v="10000"/>
    <n v="65"/>
    <x v="0"/>
    <x v="1"/>
    <x v="1"/>
    <x v="0"/>
    <x v="1"/>
    <x v="1"/>
  </r>
  <r>
    <s v="T00155"/>
    <d v="2023-01-02T00:00:00"/>
    <d v="1899-12-30T19:45:00"/>
    <x v="3"/>
    <x v="17"/>
    <s v="Station_38"/>
    <s v="Station_6"/>
    <d v="1899-12-30T19:46:00"/>
    <d v="1899-12-30T20:39:00"/>
    <n v="17"/>
    <n v="6"/>
    <x v="4"/>
    <n v="12.5"/>
    <n v="82"/>
    <n v="31"/>
    <n v="15"/>
    <x v="0"/>
    <n v="500"/>
    <n v="44"/>
    <x v="0"/>
    <x v="1"/>
    <x v="1"/>
    <x v="0"/>
    <x v="1"/>
    <x v="1"/>
  </r>
  <r>
    <s v="T00156"/>
    <d v="2023-01-02T00:00:00"/>
    <d v="1899-12-30T20:00:00"/>
    <x v="0"/>
    <x v="16"/>
    <s v="Station_1"/>
    <s v="Station_36"/>
    <d v="1899-12-30T20:02:00"/>
    <d v="1899-12-30T20:29:00"/>
    <n v="5"/>
    <n v="19"/>
    <x v="3"/>
    <n v="20.3"/>
    <n v="74"/>
    <n v="1"/>
    <n v="3.9"/>
    <x v="2"/>
    <n v="0"/>
    <n v="47"/>
    <x v="0"/>
    <x v="0"/>
    <x v="1"/>
    <x v="2"/>
    <x v="1"/>
    <x v="1"/>
  </r>
  <r>
    <s v="T00157"/>
    <d v="2023-01-02T00:00:00"/>
    <d v="1899-12-30T20:15:00"/>
    <x v="3"/>
    <x v="0"/>
    <s v="Station_20"/>
    <s v="Station_2"/>
    <d v="1899-12-30T20:19:00"/>
    <d v="1899-12-30T20:45:00"/>
    <n v="14"/>
    <n v="15"/>
    <x v="0"/>
    <n v="-0.2"/>
    <n v="80"/>
    <n v="23"/>
    <n v="0.6"/>
    <x v="3"/>
    <n v="2000"/>
    <n v="43"/>
    <x v="0"/>
    <x v="1"/>
    <x v="1"/>
    <x v="1"/>
    <x v="1"/>
    <x v="1"/>
  </r>
  <r>
    <s v="T00158"/>
    <d v="2023-01-02T00:00:00"/>
    <d v="1899-12-30T20:30:00"/>
    <x v="2"/>
    <x v="7"/>
    <s v="Station_28"/>
    <s v="Station_22"/>
    <d v="1899-12-30T20:33:00"/>
    <d v="1899-12-30T21:03:00"/>
    <n v="5"/>
    <n v="14"/>
    <x v="1"/>
    <n v="5.9"/>
    <n v="35"/>
    <n v="44"/>
    <n v="17"/>
    <x v="0"/>
    <n v="500"/>
    <n v="36"/>
    <x v="1"/>
    <x v="1"/>
    <x v="1"/>
    <x v="2"/>
    <x v="1"/>
    <x v="1"/>
  </r>
  <r>
    <s v="T00159"/>
    <d v="2023-01-02T00:00:00"/>
    <d v="1899-12-30T20:45:00"/>
    <x v="1"/>
    <x v="4"/>
    <s v="Station_16"/>
    <s v="Station_32"/>
    <d v="1899-12-30T20:48:00"/>
    <d v="1899-12-30T21:42:00"/>
    <n v="18"/>
    <n v="23"/>
    <x v="3"/>
    <n v="15.3"/>
    <n v="62"/>
    <n v="58"/>
    <n v="2.8"/>
    <x v="0"/>
    <n v="50000"/>
    <n v="28"/>
    <x v="0"/>
    <x v="1"/>
    <x v="1"/>
    <x v="1"/>
    <x v="1"/>
    <x v="2"/>
  </r>
  <r>
    <s v="T00160"/>
    <d v="2023-01-02T00:00:00"/>
    <d v="1899-12-30T21:00:00"/>
    <x v="0"/>
    <x v="6"/>
    <s v="Station_47"/>
    <s v="Station_16"/>
    <d v="1899-12-30T21:03:00"/>
    <d v="1899-12-30T21:31:00"/>
    <n v="-2"/>
    <n v="2"/>
    <x v="3"/>
    <n v="7.6"/>
    <n v="44"/>
    <n v="59"/>
    <n v="17.8"/>
    <x v="1"/>
    <n v="0"/>
    <n v="98"/>
    <x v="0"/>
    <x v="1"/>
    <x v="1"/>
    <x v="3"/>
    <x v="0"/>
    <x v="0"/>
  </r>
  <r>
    <s v="T00161"/>
    <d v="2023-01-02T00:00:00"/>
    <d v="1899-12-30T21:15:00"/>
    <x v="2"/>
    <x v="2"/>
    <s v="Station_17"/>
    <s v="Station_18"/>
    <d v="1899-12-30T21:15:00"/>
    <d v="1899-12-30T21:51:00"/>
    <n v="17"/>
    <n v="6"/>
    <x v="2"/>
    <n v="34.6"/>
    <n v="43"/>
    <n v="26"/>
    <n v="18.3"/>
    <x v="3"/>
    <n v="0"/>
    <n v="83"/>
    <x v="0"/>
    <x v="1"/>
    <x v="1"/>
    <x v="0"/>
    <x v="1"/>
    <x v="0"/>
  </r>
  <r>
    <s v="T00162"/>
    <d v="2023-01-02T00:00:00"/>
    <d v="1899-12-30T21:30:00"/>
    <x v="1"/>
    <x v="8"/>
    <s v="Station_40"/>
    <s v="Station_5"/>
    <d v="1899-12-30T21:33:00"/>
    <d v="1899-12-30T22:05:00"/>
    <n v="-1"/>
    <n v="-2"/>
    <x v="4"/>
    <n v="12.3"/>
    <n v="68"/>
    <n v="8"/>
    <n v="9.1999999999999993"/>
    <x v="0"/>
    <n v="50000"/>
    <n v="84"/>
    <x v="0"/>
    <x v="1"/>
    <x v="1"/>
    <x v="1"/>
    <x v="0"/>
    <x v="0"/>
  </r>
  <r>
    <s v="T00163"/>
    <d v="2023-01-02T00:00:00"/>
    <d v="1899-12-30T21:45:00"/>
    <x v="1"/>
    <x v="7"/>
    <s v="Station_28"/>
    <s v="Station_36"/>
    <d v="1899-12-30T21:49:00"/>
    <d v="1899-12-30T22:39:00"/>
    <n v="1"/>
    <n v="20"/>
    <x v="2"/>
    <n v="29.8"/>
    <n v="92"/>
    <n v="12"/>
    <n v="16.100000000000001"/>
    <x v="0"/>
    <n v="50000"/>
    <n v="33"/>
    <x v="0"/>
    <x v="1"/>
    <x v="1"/>
    <x v="2"/>
    <x v="1"/>
    <x v="2"/>
  </r>
  <r>
    <s v="T00164"/>
    <d v="2023-01-02T00:00:00"/>
    <d v="1899-12-30T22:00:00"/>
    <x v="3"/>
    <x v="6"/>
    <s v="Station_12"/>
    <s v="Station_30"/>
    <d v="1899-12-30T22:04:00"/>
    <d v="1899-12-30T22:21:00"/>
    <n v="18"/>
    <n v="24"/>
    <x v="2"/>
    <n v="30.9"/>
    <n v="34"/>
    <n v="54"/>
    <n v="7.3"/>
    <x v="0"/>
    <n v="0"/>
    <n v="58"/>
    <x v="0"/>
    <x v="1"/>
    <x v="1"/>
    <x v="3"/>
    <x v="1"/>
    <x v="1"/>
  </r>
  <r>
    <s v="T00165"/>
    <d v="2023-01-02T00:00:00"/>
    <d v="1899-12-30T22:15:00"/>
    <x v="2"/>
    <x v="2"/>
    <s v="Station_27"/>
    <s v="Station_45"/>
    <d v="1899-12-30T22:16:00"/>
    <d v="1899-12-30T22:45:00"/>
    <n v="-2"/>
    <n v="24"/>
    <x v="5"/>
    <n v="28.4"/>
    <n v="81"/>
    <n v="13"/>
    <n v="17.2"/>
    <x v="1"/>
    <n v="0"/>
    <n v="42"/>
    <x v="0"/>
    <x v="0"/>
    <x v="1"/>
    <x v="1"/>
    <x v="1"/>
    <x v="1"/>
  </r>
  <r>
    <s v="T00166"/>
    <d v="2023-01-02T00:00:00"/>
    <d v="1899-12-30T22:30:00"/>
    <x v="1"/>
    <x v="10"/>
    <s v="Station_42"/>
    <s v="Station_19"/>
    <d v="1899-12-30T22:30:00"/>
    <d v="1899-12-30T22:52:00"/>
    <n v="4"/>
    <n v="-2"/>
    <x v="3"/>
    <n v="-3.1"/>
    <n v="45"/>
    <n v="50"/>
    <n v="16.5"/>
    <x v="5"/>
    <n v="10000"/>
    <n v="32"/>
    <x v="0"/>
    <x v="1"/>
    <x v="1"/>
    <x v="3"/>
    <x v="0"/>
    <x v="2"/>
  </r>
  <r>
    <s v="T00167"/>
    <d v="2023-01-02T00:00:00"/>
    <d v="1899-12-30T22:45:00"/>
    <x v="0"/>
    <x v="6"/>
    <s v="Station_47"/>
    <s v="Station_23"/>
    <d v="1899-12-30T22:49:00"/>
    <d v="1899-12-30T23:33:00"/>
    <n v="-2"/>
    <n v="1"/>
    <x v="4"/>
    <n v="32.9"/>
    <n v="67"/>
    <n v="10"/>
    <n v="1.6"/>
    <x v="0"/>
    <n v="0"/>
    <n v="18"/>
    <x v="0"/>
    <x v="0"/>
    <x v="1"/>
    <x v="3"/>
    <x v="0"/>
    <x v="2"/>
  </r>
  <r>
    <s v="T00168"/>
    <d v="2023-01-02T00:00:00"/>
    <d v="1899-12-30T23:00:00"/>
    <x v="0"/>
    <x v="10"/>
    <s v="Station_30"/>
    <s v="Station_34"/>
    <d v="1899-12-30T23:02:00"/>
    <d v="1899-12-30T23:37:00"/>
    <n v="6"/>
    <n v="7"/>
    <x v="2"/>
    <n v="0.1"/>
    <n v="82"/>
    <n v="13"/>
    <n v="11.7"/>
    <x v="0"/>
    <n v="2000"/>
    <n v="7"/>
    <x v="1"/>
    <x v="1"/>
    <x v="1"/>
    <x v="2"/>
    <x v="1"/>
    <x v="2"/>
  </r>
  <r>
    <s v="T00169"/>
    <d v="2023-01-02T00:00:00"/>
    <d v="1899-12-30T23:15:00"/>
    <x v="3"/>
    <x v="5"/>
    <s v="Station_41"/>
    <s v="Station_13"/>
    <d v="1899-12-30T23:15:00"/>
    <d v="1899-12-30T23:54:00"/>
    <n v="0"/>
    <n v="6"/>
    <x v="1"/>
    <n v="-3.6"/>
    <n v="82"/>
    <n v="15"/>
    <n v="12.8"/>
    <x v="5"/>
    <n v="0"/>
    <n v="30"/>
    <x v="0"/>
    <x v="1"/>
    <x v="1"/>
    <x v="2"/>
    <x v="1"/>
    <x v="2"/>
  </r>
  <r>
    <s v="T00170"/>
    <d v="2023-01-02T00:00:00"/>
    <d v="1899-12-30T23:30:00"/>
    <x v="1"/>
    <x v="8"/>
    <s v="Station_34"/>
    <s v="Station_43"/>
    <d v="1899-12-30T23:30:00"/>
    <d v="1899-12-30T00:03:00"/>
    <n v="9"/>
    <n v="-2"/>
    <x v="0"/>
    <n v="11.6"/>
    <n v="75"/>
    <n v="9"/>
    <n v="0"/>
    <x v="0"/>
    <n v="0"/>
    <n v="10"/>
    <x v="1"/>
    <x v="0"/>
    <x v="1"/>
    <x v="3"/>
    <x v="0"/>
    <x v="2"/>
  </r>
  <r>
    <s v="T00171"/>
    <d v="2023-01-02T00:00:00"/>
    <d v="1899-12-30T23:45:00"/>
    <x v="2"/>
    <x v="4"/>
    <s v="Station_37"/>
    <s v="Station_29"/>
    <d v="1899-12-30T23:49:00"/>
    <d v="1899-12-30T00:38:00"/>
    <n v="16"/>
    <n v="11"/>
    <x v="4"/>
    <n v="2.8"/>
    <n v="44"/>
    <n v="19"/>
    <n v="19.600000000000001"/>
    <x v="5"/>
    <n v="0"/>
    <n v="7"/>
    <x v="1"/>
    <x v="1"/>
    <x v="1"/>
    <x v="3"/>
    <x v="1"/>
    <x v="2"/>
  </r>
  <r>
    <s v="T00172"/>
    <d v="2023-01-03T00:00:00"/>
    <d v="1899-12-30T00:00:00"/>
    <x v="0"/>
    <x v="10"/>
    <s v="Station_6"/>
    <s v="Station_36"/>
    <d v="1899-12-30T00:02:00"/>
    <d v="1899-12-30T00:50:00"/>
    <n v="12"/>
    <n v="3"/>
    <x v="5"/>
    <n v="2.4"/>
    <n v="88"/>
    <n v="15"/>
    <n v="8.1"/>
    <x v="0"/>
    <n v="0"/>
    <n v="24"/>
    <x v="1"/>
    <x v="1"/>
    <x v="2"/>
    <x v="1"/>
    <x v="0"/>
    <x v="2"/>
  </r>
  <r>
    <s v="T00173"/>
    <d v="2023-01-03T00:00:00"/>
    <d v="1899-12-30T00:15:00"/>
    <x v="1"/>
    <x v="3"/>
    <s v="Station_7"/>
    <s v="Station_22"/>
    <d v="1899-12-30T00:16:00"/>
    <d v="1899-12-30T01:14:00"/>
    <n v="19"/>
    <n v="16"/>
    <x v="4"/>
    <n v="6.5"/>
    <n v="79"/>
    <n v="59"/>
    <n v="10.3"/>
    <x v="0"/>
    <n v="0"/>
    <n v="19"/>
    <x v="0"/>
    <x v="1"/>
    <x v="2"/>
    <x v="2"/>
    <x v="1"/>
    <x v="2"/>
  </r>
  <r>
    <s v="T00174"/>
    <d v="2023-01-03T00:00:00"/>
    <d v="1899-12-30T00:30:00"/>
    <x v="1"/>
    <x v="15"/>
    <s v="Station_32"/>
    <s v="Station_47"/>
    <d v="1899-12-30T00:34:00"/>
    <d v="1899-12-30T01:07:00"/>
    <n v="13"/>
    <n v="18"/>
    <x v="3"/>
    <n v="4.9000000000000004"/>
    <n v="38"/>
    <n v="57"/>
    <n v="3.9"/>
    <x v="0"/>
    <n v="0"/>
    <n v="37"/>
    <x v="0"/>
    <x v="1"/>
    <x v="2"/>
    <x v="1"/>
    <x v="1"/>
    <x v="1"/>
  </r>
  <r>
    <s v="T00175"/>
    <d v="2023-01-03T00:00:00"/>
    <d v="1899-12-30T00:45:00"/>
    <x v="3"/>
    <x v="4"/>
    <s v="Station_32"/>
    <s v="Station_36"/>
    <d v="1899-12-30T00:47:00"/>
    <d v="1899-12-30T01:34:00"/>
    <n v="7"/>
    <n v="27"/>
    <x v="5"/>
    <n v="22.4"/>
    <n v="55"/>
    <n v="33"/>
    <n v="12.2"/>
    <x v="4"/>
    <n v="0"/>
    <n v="6"/>
    <x v="1"/>
    <x v="1"/>
    <x v="2"/>
    <x v="0"/>
    <x v="1"/>
    <x v="2"/>
  </r>
  <r>
    <s v="T00176"/>
    <d v="2023-01-03T00:00:00"/>
    <d v="1899-12-30T01:00:00"/>
    <x v="0"/>
    <x v="16"/>
    <s v="Station_25"/>
    <s v="Station_9"/>
    <d v="1899-12-30T01:00:00"/>
    <d v="1899-12-30T01:44:00"/>
    <n v="19"/>
    <n v="19"/>
    <x v="0"/>
    <n v="2.5"/>
    <n v="32"/>
    <n v="56"/>
    <n v="16.2"/>
    <x v="5"/>
    <n v="0"/>
    <n v="76"/>
    <x v="0"/>
    <x v="1"/>
    <x v="2"/>
    <x v="1"/>
    <x v="1"/>
    <x v="0"/>
  </r>
  <r>
    <s v="T00177"/>
    <d v="2023-01-03T00:00:00"/>
    <d v="1899-12-30T01:15:00"/>
    <x v="0"/>
    <x v="4"/>
    <s v="Station_33"/>
    <s v="Station_39"/>
    <d v="1899-12-30T01:17:00"/>
    <d v="1899-12-30T01:53:00"/>
    <n v="3"/>
    <n v="15"/>
    <x v="1"/>
    <n v="16.7"/>
    <n v="76"/>
    <n v="15"/>
    <n v="11.7"/>
    <x v="3"/>
    <n v="0"/>
    <n v="38"/>
    <x v="0"/>
    <x v="1"/>
    <x v="2"/>
    <x v="3"/>
    <x v="1"/>
    <x v="1"/>
  </r>
  <r>
    <s v="T00178"/>
    <d v="2023-01-03T00:00:00"/>
    <d v="1899-12-30T01:30:00"/>
    <x v="2"/>
    <x v="10"/>
    <s v="Station_7"/>
    <s v="Station_19"/>
    <d v="1899-12-30T01:30:00"/>
    <d v="1899-12-30T01:57:00"/>
    <n v="14"/>
    <n v="0"/>
    <x v="2"/>
    <n v="34.5"/>
    <n v="34"/>
    <n v="13"/>
    <n v="15.8"/>
    <x v="2"/>
    <n v="0"/>
    <n v="73"/>
    <x v="0"/>
    <x v="1"/>
    <x v="2"/>
    <x v="0"/>
    <x v="0"/>
    <x v="0"/>
  </r>
  <r>
    <s v="T00179"/>
    <d v="2023-01-03T00:00:00"/>
    <d v="1899-12-30T01:45:00"/>
    <x v="0"/>
    <x v="10"/>
    <s v="Station_12"/>
    <s v="Station_38"/>
    <d v="1899-12-30T01:49:00"/>
    <d v="1899-12-30T02:32:00"/>
    <n v="18"/>
    <n v="20"/>
    <x v="4"/>
    <n v="12.3"/>
    <n v="91"/>
    <n v="52"/>
    <n v="14.6"/>
    <x v="0"/>
    <n v="50000"/>
    <n v="71"/>
    <x v="0"/>
    <x v="0"/>
    <x v="2"/>
    <x v="1"/>
    <x v="1"/>
    <x v="0"/>
  </r>
  <r>
    <s v="T00180"/>
    <d v="2023-01-03T00:00:00"/>
    <d v="1899-12-30T02:00:00"/>
    <x v="2"/>
    <x v="19"/>
    <s v="Station_16"/>
    <s v="Station_6"/>
    <d v="1899-12-30T02:04:00"/>
    <d v="1899-12-30T02:27:00"/>
    <n v="19"/>
    <n v="16"/>
    <x v="5"/>
    <n v="20.7"/>
    <n v="34"/>
    <n v="27"/>
    <n v="4.8"/>
    <x v="0"/>
    <n v="0"/>
    <n v="19"/>
    <x v="0"/>
    <x v="1"/>
    <x v="2"/>
    <x v="0"/>
    <x v="1"/>
    <x v="2"/>
  </r>
  <r>
    <s v="T00181"/>
    <d v="2023-01-03T00:00:00"/>
    <d v="1899-12-30T02:15:00"/>
    <x v="0"/>
    <x v="7"/>
    <s v="Station_16"/>
    <s v="Station_47"/>
    <d v="1899-12-30T02:18:00"/>
    <d v="1899-12-30T03:05:00"/>
    <n v="14"/>
    <n v="24"/>
    <x v="0"/>
    <n v="33.799999999999997"/>
    <n v="39"/>
    <n v="17"/>
    <n v="8.6999999999999993"/>
    <x v="0"/>
    <n v="0"/>
    <n v="80"/>
    <x v="0"/>
    <x v="1"/>
    <x v="2"/>
    <x v="2"/>
    <x v="1"/>
    <x v="0"/>
  </r>
  <r>
    <s v="T00182"/>
    <d v="2023-01-03T00:00:00"/>
    <d v="1899-12-30T02:30:00"/>
    <x v="3"/>
    <x v="3"/>
    <s v="Station_43"/>
    <s v="Station_15"/>
    <d v="1899-12-30T02:33:00"/>
    <d v="1899-12-30T02:52:00"/>
    <n v="18"/>
    <n v="13"/>
    <x v="2"/>
    <n v="0.5"/>
    <n v="92"/>
    <n v="25"/>
    <n v="3"/>
    <x v="5"/>
    <n v="0"/>
    <n v="10"/>
    <x v="0"/>
    <x v="1"/>
    <x v="2"/>
    <x v="1"/>
    <x v="1"/>
    <x v="2"/>
  </r>
  <r>
    <s v="T00183"/>
    <d v="2023-01-03T00:00:00"/>
    <d v="1899-12-30T02:45:00"/>
    <x v="0"/>
    <x v="2"/>
    <s v="Station_36"/>
    <s v="Station_20"/>
    <d v="1899-12-30T02:48:00"/>
    <d v="1899-12-30T03:07:00"/>
    <n v="16"/>
    <n v="15"/>
    <x v="0"/>
    <n v="11.7"/>
    <n v="54"/>
    <n v="37"/>
    <n v="0.8"/>
    <x v="0"/>
    <n v="10000"/>
    <n v="15"/>
    <x v="0"/>
    <x v="1"/>
    <x v="2"/>
    <x v="1"/>
    <x v="1"/>
    <x v="2"/>
  </r>
  <r>
    <s v="T00184"/>
    <d v="2023-01-03T00:00:00"/>
    <d v="1899-12-30T03:00:00"/>
    <x v="2"/>
    <x v="4"/>
    <s v="Station_13"/>
    <s v="Station_9"/>
    <d v="1899-12-30T03:04:00"/>
    <d v="1899-12-30T03:41:00"/>
    <n v="15"/>
    <n v="28"/>
    <x v="1"/>
    <n v="29"/>
    <n v="73"/>
    <n v="6"/>
    <n v="1.3"/>
    <x v="3"/>
    <n v="0"/>
    <n v="41"/>
    <x v="0"/>
    <x v="1"/>
    <x v="2"/>
    <x v="2"/>
    <x v="1"/>
    <x v="1"/>
  </r>
  <r>
    <s v="T00185"/>
    <d v="2023-01-03T00:00:00"/>
    <d v="1899-12-30T03:15:00"/>
    <x v="2"/>
    <x v="19"/>
    <s v="Station_7"/>
    <s v="Station_32"/>
    <d v="1899-12-30T03:16:00"/>
    <d v="1899-12-30T03:51:00"/>
    <n v="8"/>
    <n v="26"/>
    <x v="2"/>
    <n v="32.299999999999997"/>
    <n v="54"/>
    <n v="44"/>
    <n v="18.8"/>
    <x v="3"/>
    <n v="0"/>
    <n v="95"/>
    <x v="0"/>
    <x v="1"/>
    <x v="2"/>
    <x v="1"/>
    <x v="1"/>
    <x v="0"/>
  </r>
  <r>
    <s v="T00186"/>
    <d v="2023-01-03T00:00:00"/>
    <d v="1899-12-30T03:30:00"/>
    <x v="3"/>
    <x v="2"/>
    <s v="Station_36"/>
    <s v="Station_4"/>
    <d v="1899-12-30T03:34:00"/>
    <d v="1899-12-30T04:25:00"/>
    <n v="4"/>
    <n v="13"/>
    <x v="2"/>
    <n v="19"/>
    <n v="59"/>
    <n v="33"/>
    <n v="19.7"/>
    <x v="0"/>
    <n v="0"/>
    <n v="89"/>
    <x v="0"/>
    <x v="1"/>
    <x v="2"/>
    <x v="0"/>
    <x v="1"/>
    <x v="0"/>
  </r>
  <r>
    <s v="T00187"/>
    <d v="2023-01-03T00:00:00"/>
    <d v="1899-12-30T03:45:00"/>
    <x v="0"/>
    <x v="9"/>
    <s v="Station_47"/>
    <s v="Station_50"/>
    <d v="1899-12-30T03:47:00"/>
    <d v="1899-12-30T04:21:00"/>
    <n v="7"/>
    <n v="25"/>
    <x v="2"/>
    <n v="0.7"/>
    <n v="43"/>
    <n v="46"/>
    <n v="1.9"/>
    <x v="5"/>
    <n v="2000"/>
    <n v="51"/>
    <x v="0"/>
    <x v="0"/>
    <x v="2"/>
    <x v="2"/>
    <x v="1"/>
    <x v="1"/>
  </r>
  <r>
    <s v="T00188"/>
    <d v="2023-01-03T00:00:00"/>
    <d v="1899-12-30T04:00:00"/>
    <x v="0"/>
    <x v="10"/>
    <s v="Station_9"/>
    <s v="Station_18"/>
    <d v="1899-12-30T04:04:00"/>
    <d v="1899-12-30T04:33:00"/>
    <n v="4"/>
    <n v="2"/>
    <x v="5"/>
    <n v="31.1"/>
    <n v="72"/>
    <n v="48"/>
    <n v="6.7"/>
    <x v="3"/>
    <n v="2000"/>
    <n v="36"/>
    <x v="0"/>
    <x v="0"/>
    <x v="2"/>
    <x v="0"/>
    <x v="0"/>
    <x v="1"/>
  </r>
  <r>
    <s v="T00189"/>
    <d v="2023-01-03T00:00:00"/>
    <d v="1899-12-30T04:15:00"/>
    <x v="3"/>
    <x v="17"/>
    <s v="Station_32"/>
    <s v="Station_5"/>
    <d v="1899-12-30T04:19:00"/>
    <d v="1899-12-30T04:43:00"/>
    <n v="2"/>
    <n v="13"/>
    <x v="2"/>
    <n v="2"/>
    <n v="57"/>
    <n v="44"/>
    <n v="2.2999999999999998"/>
    <x v="2"/>
    <n v="0"/>
    <n v="51"/>
    <x v="0"/>
    <x v="1"/>
    <x v="2"/>
    <x v="1"/>
    <x v="1"/>
    <x v="1"/>
  </r>
  <r>
    <s v="T00190"/>
    <d v="2023-01-03T00:00:00"/>
    <d v="1899-12-30T04:30:00"/>
    <x v="0"/>
    <x v="10"/>
    <s v="Station_11"/>
    <s v="Station_20"/>
    <d v="1899-12-30T04:30:00"/>
    <d v="1899-12-30T05:19:00"/>
    <n v="9"/>
    <n v="13"/>
    <x v="0"/>
    <n v="9.1"/>
    <n v="48"/>
    <n v="6"/>
    <n v="16.7"/>
    <x v="4"/>
    <n v="0"/>
    <n v="8"/>
    <x v="0"/>
    <x v="0"/>
    <x v="2"/>
    <x v="1"/>
    <x v="1"/>
    <x v="2"/>
  </r>
  <r>
    <s v="T00191"/>
    <d v="2023-01-03T00:00:00"/>
    <d v="1899-12-30T04:45:00"/>
    <x v="0"/>
    <x v="11"/>
    <s v="Station_8"/>
    <s v="Station_23"/>
    <d v="1899-12-30T04:45:00"/>
    <d v="1899-12-30T05:25:00"/>
    <n v="13"/>
    <n v="10"/>
    <x v="5"/>
    <n v="10"/>
    <n v="71"/>
    <n v="32"/>
    <n v="9.9"/>
    <x v="2"/>
    <n v="0"/>
    <n v="34"/>
    <x v="0"/>
    <x v="0"/>
    <x v="2"/>
    <x v="1"/>
    <x v="1"/>
    <x v="1"/>
  </r>
  <r>
    <s v="T00192"/>
    <d v="2023-01-03T00:00:00"/>
    <d v="1899-12-30T05:00:00"/>
    <x v="2"/>
    <x v="18"/>
    <s v="Station_33"/>
    <s v="Station_11"/>
    <d v="1899-12-30T05:00:00"/>
    <d v="1899-12-30T05:31:00"/>
    <n v="18"/>
    <n v="20"/>
    <x v="2"/>
    <n v="12.9"/>
    <n v="49"/>
    <n v="34"/>
    <n v="12.4"/>
    <x v="0"/>
    <n v="0"/>
    <n v="66"/>
    <x v="0"/>
    <x v="1"/>
    <x v="2"/>
    <x v="1"/>
    <x v="1"/>
    <x v="1"/>
  </r>
  <r>
    <s v="T00193"/>
    <d v="2023-01-03T00:00:00"/>
    <d v="1899-12-30T05:15:00"/>
    <x v="0"/>
    <x v="7"/>
    <s v="Station_23"/>
    <s v="Station_37"/>
    <d v="1899-12-30T05:19:00"/>
    <d v="1899-12-30T06:11:00"/>
    <n v="15"/>
    <n v="28"/>
    <x v="0"/>
    <n v="26.6"/>
    <n v="40"/>
    <n v="51"/>
    <n v="10.8"/>
    <x v="4"/>
    <n v="2000"/>
    <n v="94"/>
    <x v="0"/>
    <x v="0"/>
    <x v="2"/>
    <x v="0"/>
    <x v="1"/>
    <x v="0"/>
  </r>
  <r>
    <s v="T00194"/>
    <d v="2023-01-03T00:00:00"/>
    <d v="1899-12-30T05:30:00"/>
    <x v="0"/>
    <x v="12"/>
    <s v="Station_25"/>
    <s v="Station_22"/>
    <d v="1899-12-30T05:31:00"/>
    <d v="1899-12-30T06:21:00"/>
    <n v="0"/>
    <n v="10"/>
    <x v="0"/>
    <n v="27.1"/>
    <n v="83"/>
    <n v="49"/>
    <n v="14.2"/>
    <x v="0"/>
    <n v="0"/>
    <n v="6"/>
    <x v="0"/>
    <x v="1"/>
    <x v="2"/>
    <x v="1"/>
    <x v="1"/>
    <x v="2"/>
  </r>
  <r>
    <s v="T00195"/>
    <d v="2023-01-03T00:00:00"/>
    <d v="1899-12-30T05:45:00"/>
    <x v="3"/>
    <x v="6"/>
    <s v="Station_8"/>
    <s v="Station_4"/>
    <d v="1899-12-30T05:47:00"/>
    <d v="1899-12-30T06:15:00"/>
    <n v="17"/>
    <n v="23"/>
    <x v="4"/>
    <n v="23.8"/>
    <n v="53"/>
    <n v="38"/>
    <n v="6.4"/>
    <x v="0"/>
    <n v="0"/>
    <n v="1"/>
    <x v="1"/>
    <x v="1"/>
    <x v="2"/>
    <x v="2"/>
    <x v="1"/>
    <x v="2"/>
  </r>
  <r>
    <s v="T00196"/>
    <d v="2023-01-03T00:00:00"/>
    <d v="1899-12-30T06:00:00"/>
    <x v="3"/>
    <x v="17"/>
    <s v="Station_45"/>
    <s v="Station_29"/>
    <d v="1899-12-30T06:02:00"/>
    <d v="1899-12-30T06:39:00"/>
    <n v="12"/>
    <n v="15"/>
    <x v="0"/>
    <n v="-4.0999999999999996"/>
    <n v="99"/>
    <n v="20"/>
    <n v="2.7"/>
    <x v="5"/>
    <n v="0"/>
    <n v="24"/>
    <x v="0"/>
    <x v="1"/>
    <x v="2"/>
    <x v="2"/>
    <x v="1"/>
    <x v="2"/>
  </r>
  <r>
    <s v="T00197"/>
    <d v="2023-01-03T00:00:00"/>
    <d v="1899-12-30T06:15:00"/>
    <x v="1"/>
    <x v="10"/>
    <s v="Station_22"/>
    <s v="Station_44"/>
    <d v="1899-12-30T06:16:00"/>
    <d v="1899-12-30T07:09:00"/>
    <n v="2"/>
    <n v="27"/>
    <x v="3"/>
    <n v="17.600000000000001"/>
    <n v="46"/>
    <n v="48"/>
    <n v="0.4"/>
    <x v="4"/>
    <n v="500"/>
    <n v="75"/>
    <x v="0"/>
    <x v="0"/>
    <x v="2"/>
    <x v="3"/>
    <x v="1"/>
    <x v="0"/>
  </r>
  <r>
    <s v="T00198"/>
    <d v="2023-01-03T00:00:00"/>
    <d v="1899-12-30T06:30:00"/>
    <x v="2"/>
    <x v="3"/>
    <s v="Station_4"/>
    <s v="Station_34"/>
    <d v="1899-12-30T06:31:00"/>
    <d v="1899-12-30T07:00:00"/>
    <n v="10"/>
    <n v="5"/>
    <x v="1"/>
    <n v="24.9"/>
    <n v="57"/>
    <n v="27"/>
    <n v="8.9"/>
    <x v="0"/>
    <n v="500"/>
    <n v="93"/>
    <x v="0"/>
    <x v="1"/>
    <x v="2"/>
    <x v="2"/>
    <x v="0"/>
    <x v="0"/>
  </r>
  <r>
    <s v="T00199"/>
    <d v="2023-01-03T00:00:00"/>
    <d v="1899-12-30T06:45:00"/>
    <x v="0"/>
    <x v="11"/>
    <s v="Station_40"/>
    <s v="Station_13"/>
    <d v="1899-12-30T06:47:00"/>
    <d v="1899-12-30T07:12:00"/>
    <n v="16"/>
    <n v="13"/>
    <x v="2"/>
    <n v="12.8"/>
    <n v="79"/>
    <n v="31"/>
    <n v="18.2"/>
    <x v="0"/>
    <n v="50000"/>
    <n v="93"/>
    <x v="0"/>
    <x v="1"/>
    <x v="2"/>
    <x v="3"/>
    <x v="1"/>
    <x v="0"/>
  </r>
  <r>
    <s v="T00200"/>
    <d v="2023-01-03T00:00:00"/>
    <d v="1899-12-30T07:00:00"/>
    <x v="0"/>
    <x v="11"/>
    <s v="Station_3"/>
    <s v="Station_42"/>
    <d v="1899-12-30T07:03:00"/>
    <d v="1899-12-30T07:23:00"/>
    <n v="9"/>
    <n v="15"/>
    <x v="2"/>
    <n v="32.799999999999997"/>
    <n v="84"/>
    <n v="43"/>
    <n v="6.1"/>
    <x v="3"/>
    <n v="0"/>
    <n v="92"/>
    <x v="1"/>
    <x v="1"/>
    <x v="2"/>
    <x v="2"/>
    <x v="1"/>
    <x v="0"/>
  </r>
  <r>
    <s v="T00201"/>
    <d v="2023-01-03T00:00:00"/>
    <d v="1899-12-30T07:15:00"/>
    <x v="1"/>
    <x v="17"/>
    <s v="Station_29"/>
    <s v="Station_9"/>
    <d v="1899-12-30T07:15:00"/>
    <d v="1899-12-30T08:01:00"/>
    <n v="18"/>
    <n v="0"/>
    <x v="2"/>
    <n v="28"/>
    <n v="39"/>
    <n v="15"/>
    <n v="3.9"/>
    <x v="5"/>
    <n v="0"/>
    <n v="40"/>
    <x v="0"/>
    <x v="1"/>
    <x v="2"/>
    <x v="2"/>
    <x v="0"/>
    <x v="1"/>
  </r>
  <r>
    <s v="T00202"/>
    <d v="2023-01-03T00:00:00"/>
    <d v="1899-12-30T07:30:00"/>
    <x v="0"/>
    <x v="12"/>
    <s v="Station_41"/>
    <s v="Station_42"/>
    <d v="1899-12-30T07:30:00"/>
    <d v="1899-12-30T08:29:00"/>
    <n v="2"/>
    <n v="7"/>
    <x v="0"/>
    <n v="20.5"/>
    <n v="50"/>
    <n v="55"/>
    <n v="18.5"/>
    <x v="0"/>
    <n v="0"/>
    <n v="74"/>
    <x v="0"/>
    <x v="1"/>
    <x v="2"/>
    <x v="1"/>
    <x v="1"/>
    <x v="0"/>
  </r>
  <r>
    <s v="T00203"/>
    <d v="2023-01-03T00:00:00"/>
    <d v="1899-12-30T07:45:00"/>
    <x v="2"/>
    <x v="8"/>
    <s v="Station_29"/>
    <s v="Station_31"/>
    <d v="1899-12-30T07:47:00"/>
    <d v="1899-12-30T08:42:00"/>
    <n v="3"/>
    <n v="18"/>
    <x v="0"/>
    <n v="-2.5"/>
    <n v="87"/>
    <n v="9"/>
    <n v="2.1"/>
    <x v="3"/>
    <n v="0"/>
    <n v="51"/>
    <x v="0"/>
    <x v="0"/>
    <x v="2"/>
    <x v="2"/>
    <x v="1"/>
    <x v="1"/>
  </r>
  <r>
    <s v="T00204"/>
    <d v="2023-01-03T00:00:00"/>
    <d v="1899-12-30T08:00:00"/>
    <x v="1"/>
    <x v="18"/>
    <s v="Station_34"/>
    <s v="Station_7"/>
    <d v="1899-12-30T08:01:00"/>
    <d v="1899-12-30T08:49:00"/>
    <n v="4"/>
    <n v="0"/>
    <x v="2"/>
    <n v="21.1"/>
    <n v="63"/>
    <n v="22"/>
    <n v="1"/>
    <x v="0"/>
    <n v="0"/>
    <n v="86"/>
    <x v="0"/>
    <x v="1"/>
    <x v="2"/>
    <x v="1"/>
    <x v="0"/>
    <x v="0"/>
  </r>
  <r>
    <s v="T00205"/>
    <d v="2023-01-03T00:00:00"/>
    <d v="1899-12-30T08:15:00"/>
    <x v="2"/>
    <x v="16"/>
    <s v="Station_34"/>
    <s v="Station_4"/>
    <d v="1899-12-30T08:18:00"/>
    <d v="1899-12-30T09:01:00"/>
    <n v="7"/>
    <n v="13"/>
    <x v="3"/>
    <n v="31.5"/>
    <n v="72"/>
    <n v="47"/>
    <n v="17.600000000000001"/>
    <x v="4"/>
    <n v="0"/>
    <n v="80"/>
    <x v="0"/>
    <x v="1"/>
    <x v="2"/>
    <x v="1"/>
    <x v="1"/>
    <x v="0"/>
  </r>
  <r>
    <s v="T00206"/>
    <d v="2023-01-03T00:00:00"/>
    <d v="1899-12-30T08:30:00"/>
    <x v="1"/>
    <x v="13"/>
    <s v="Station_28"/>
    <s v="Station_19"/>
    <d v="1899-12-30T08:32:00"/>
    <d v="1899-12-30T09:10:00"/>
    <n v="13"/>
    <n v="4"/>
    <x v="5"/>
    <n v="10.199999999999999"/>
    <n v="40"/>
    <n v="51"/>
    <n v="14"/>
    <x v="1"/>
    <n v="0"/>
    <n v="76"/>
    <x v="0"/>
    <x v="0"/>
    <x v="2"/>
    <x v="2"/>
    <x v="0"/>
    <x v="0"/>
  </r>
  <r>
    <s v="T00207"/>
    <d v="2023-01-03T00:00:00"/>
    <d v="1899-12-30T08:45:00"/>
    <x v="1"/>
    <x v="10"/>
    <s v="Station_13"/>
    <s v="Station_42"/>
    <d v="1899-12-30T08:45:00"/>
    <d v="1899-12-30T09:24:00"/>
    <n v="5"/>
    <n v="7"/>
    <x v="5"/>
    <n v="28.5"/>
    <n v="62"/>
    <n v="49"/>
    <n v="8.4"/>
    <x v="5"/>
    <n v="50000"/>
    <n v="96"/>
    <x v="0"/>
    <x v="1"/>
    <x v="2"/>
    <x v="0"/>
    <x v="1"/>
    <x v="0"/>
  </r>
  <r>
    <s v="T00208"/>
    <d v="2023-01-03T00:00:00"/>
    <d v="1899-12-30T09:00:00"/>
    <x v="3"/>
    <x v="1"/>
    <s v="Station_15"/>
    <s v="Station_30"/>
    <d v="1899-12-30T09:04:00"/>
    <d v="1899-12-30T09:23:00"/>
    <n v="6"/>
    <n v="27"/>
    <x v="1"/>
    <n v="7.5"/>
    <n v="87"/>
    <n v="14"/>
    <n v="15"/>
    <x v="5"/>
    <n v="500"/>
    <n v="64"/>
    <x v="0"/>
    <x v="1"/>
    <x v="2"/>
    <x v="1"/>
    <x v="1"/>
    <x v="1"/>
  </r>
  <r>
    <s v="T00209"/>
    <d v="2023-01-03T00:00:00"/>
    <d v="1899-12-30T09:15:00"/>
    <x v="2"/>
    <x v="12"/>
    <s v="Station_23"/>
    <s v="Station_31"/>
    <d v="1899-12-30T09:16:00"/>
    <d v="1899-12-30T09:45:00"/>
    <n v="1"/>
    <n v="7"/>
    <x v="4"/>
    <n v="17.8"/>
    <n v="75"/>
    <n v="54"/>
    <n v="14.8"/>
    <x v="0"/>
    <n v="0"/>
    <n v="76"/>
    <x v="0"/>
    <x v="1"/>
    <x v="2"/>
    <x v="2"/>
    <x v="1"/>
    <x v="0"/>
  </r>
  <r>
    <s v="T00210"/>
    <d v="2023-01-03T00:00:00"/>
    <d v="1899-12-30T09:30:00"/>
    <x v="0"/>
    <x v="16"/>
    <s v="Station_44"/>
    <s v="Station_35"/>
    <d v="1899-12-30T09:34:00"/>
    <d v="1899-12-30T10:02:00"/>
    <n v="18"/>
    <n v="17"/>
    <x v="1"/>
    <n v="20.9"/>
    <n v="90"/>
    <n v="42"/>
    <n v="0.8"/>
    <x v="4"/>
    <n v="0"/>
    <n v="37"/>
    <x v="0"/>
    <x v="0"/>
    <x v="2"/>
    <x v="0"/>
    <x v="1"/>
    <x v="1"/>
  </r>
  <r>
    <s v="T00211"/>
    <d v="2023-01-03T00:00:00"/>
    <d v="1899-12-30T09:45:00"/>
    <x v="0"/>
    <x v="10"/>
    <s v="Station_26"/>
    <s v="Station_21"/>
    <d v="1899-12-30T09:47:00"/>
    <d v="1899-12-30T10:13:00"/>
    <n v="18"/>
    <n v="26"/>
    <x v="2"/>
    <n v="22.1"/>
    <n v="91"/>
    <n v="49"/>
    <n v="13.5"/>
    <x v="0"/>
    <n v="0"/>
    <n v="66"/>
    <x v="0"/>
    <x v="1"/>
    <x v="2"/>
    <x v="2"/>
    <x v="1"/>
    <x v="1"/>
  </r>
  <r>
    <s v="T00212"/>
    <d v="2023-01-03T00:00:00"/>
    <d v="1899-12-30T10:00:00"/>
    <x v="2"/>
    <x v="13"/>
    <s v="Station_4"/>
    <s v="Station_31"/>
    <d v="1899-12-30T10:00:00"/>
    <d v="1899-12-30T10:23:00"/>
    <n v="5"/>
    <n v="6"/>
    <x v="2"/>
    <n v="30.3"/>
    <n v="30"/>
    <n v="5"/>
    <n v="12.8"/>
    <x v="0"/>
    <n v="0"/>
    <n v="79"/>
    <x v="0"/>
    <x v="1"/>
    <x v="2"/>
    <x v="2"/>
    <x v="1"/>
    <x v="0"/>
  </r>
  <r>
    <s v="T00213"/>
    <d v="2023-01-03T00:00:00"/>
    <d v="1899-12-30T10:15:00"/>
    <x v="0"/>
    <x v="5"/>
    <s v="Station_26"/>
    <s v="Station_19"/>
    <d v="1899-12-30T10:18:00"/>
    <d v="1899-12-30T10:46:00"/>
    <n v="4"/>
    <n v="22"/>
    <x v="2"/>
    <n v="4.4000000000000004"/>
    <n v="50"/>
    <n v="32"/>
    <n v="19.3"/>
    <x v="0"/>
    <n v="0"/>
    <n v="41"/>
    <x v="0"/>
    <x v="1"/>
    <x v="2"/>
    <x v="0"/>
    <x v="1"/>
    <x v="1"/>
  </r>
  <r>
    <s v="T00214"/>
    <d v="2023-01-03T00:00:00"/>
    <d v="1899-12-30T10:30:00"/>
    <x v="0"/>
    <x v="9"/>
    <s v="Station_40"/>
    <s v="Station_31"/>
    <d v="1899-12-30T10:34:00"/>
    <d v="1899-12-30T10:58:00"/>
    <n v="12"/>
    <n v="23"/>
    <x v="4"/>
    <n v="5.5"/>
    <n v="91"/>
    <n v="54"/>
    <n v="19.3"/>
    <x v="0"/>
    <n v="0"/>
    <n v="70"/>
    <x v="0"/>
    <x v="0"/>
    <x v="2"/>
    <x v="2"/>
    <x v="1"/>
    <x v="0"/>
  </r>
  <r>
    <s v="T00215"/>
    <d v="2023-01-03T00:00:00"/>
    <d v="1899-12-30T10:45:00"/>
    <x v="2"/>
    <x v="5"/>
    <s v="Station_9"/>
    <s v="Station_32"/>
    <d v="1899-12-30T10:48:00"/>
    <d v="1899-12-30T11:17:00"/>
    <n v="18"/>
    <n v="4"/>
    <x v="0"/>
    <n v="23.2"/>
    <n v="93"/>
    <n v="38"/>
    <n v="7.6"/>
    <x v="0"/>
    <n v="50000"/>
    <n v="53"/>
    <x v="0"/>
    <x v="1"/>
    <x v="2"/>
    <x v="1"/>
    <x v="0"/>
    <x v="1"/>
  </r>
  <r>
    <s v="T00216"/>
    <d v="2023-01-03T00:00:00"/>
    <d v="1899-12-30T11:00:00"/>
    <x v="1"/>
    <x v="4"/>
    <s v="Station_5"/>
    <s v="Station_2"/>
    <d v="1899-12-30T11:00:00"/>
    <d v="1899-12-30T11:45:00"/>
    <n v="0"/>
    <n v="4"/>
    <x v="4"/>
    <n v="2.1"/>
    <n v="85"/>
    <n v="11"/>
    <n v="11.8"/>
    <x v="0"/>
    <n v="0"/>
    <n v="66"/>
    <x v="0"/>
    <x v="1"/>
    <x v="2"/>
    <x v="3"/>
    <x v="0"/>
    <x v="1"/>
  </r>
  <r>
    <s v="T00217"/>
    <d v="2023-01-03T00:00:00"/>
    <d v="1899-12-30T11:15:00"/>
    <x v="2"/>
    <x v="16"/>
    <s v="Station_32"/>
    <s v="Station_10"/>
    <d v="1899-12-30T11:19:00"/>
    <d v="1899-12-30T12:12:00"/>
    <n v="14"/>
    <n v="4"/>
    <x v="1"/>
    <n v="13.6"/>
    <n v="30"/>
    <n v="51"/>
    <n v="2.8"/>
    <x v="4"/>
    <n v="0"/>
    <n v="77"/>
    <x v="0"/>
    <x v="1"/>
    <x v="2"/>
    <x v="3"/>
    <x v="0"/>
    <x v="0"/>
  </r>
  <r>
    <s v="T00218"/>
    <d v="2023-01-03T00:00:00"/>
    <d v="1899-12-30T11:30:00"/>
    <x v="1"/>
    <x v="10"/>
    <s v="Station_20"/>
    <s v="Station_2"/>
    <d v="1899-12-30T11:33:00"/>
    <d v="1899-12-30T12:02:00"/>
    <n v="8"/>
    <n v="12"/>
    <x v="0"/>
    <n v="-4.2"/>
    <n v="50"/>
    <n v="35"/>
    <n v="1.3"/>
    <x v="1"/>
    <n v="10000"/>
    <n v="63"/>
    <x v="0"/>
    <x v="1"/>
    <x v="2"/>
    <x v="2"/>
    <x v="1"/>
    <x v="1"/>
  </r>
  <r>
    <s v="T00219"/>
    <d v="2023-01-03T00:00:00"/>
    <d v="1899-12-30T11:45:00"/>
    <x v="0"/>
    <x v="15"/>
    <s v="Station_50"/>
    <s v="Station_2"/>
    <d v="1899-12-30T11:48:00"/>
    <d v="1899-12-30T12:43:00"/>
    <n v="6"/>
    <n v="9"/>
    <x v="0"/>
    <n v="0.6"/>
    <n v="51"/>
    <n v="30"/>
    <n v="8.6999999999999993"/>
    <x v="0"/>
    <n v="0"/>
    <n v="79"/>
    <x v="0"/>
    <x v="1"/>
    <x v="2"/>
    <x v="3"/>
    <x v="1"/>
    <x v="0"/>
  </r>
  <r>
    <s v="T00220"/>
    <d v="2023-01-03T00:00:00"/>
    <d v="1899-12-30T12:00:00"/>
    <x v="0"/>
    <x v="2"/>
    <s v="Station_11"/>
    <s v="Station_24"/>
    <d v="1899-12-30T12:04:00"/>
    <d v="1899-12-30T12:47:00"/>
    <n v="2"/>
    <n v="19"/>
    <x v="1"/>
    <n v="22.2"/>
    <n v="83"/>
    <n v="9"/>
    <n v="13.8"/>
    <x v="3"/>
    <n v="0"/>
    <n v="3"/>
    <x v="0"/>
    <x v="1"/>
    <x v="2"/>
    <x v="3"/>
    <x v="1"/>
    <x v="2"/>
  </r>
  <r>
    <s v="T00221"/>
    <d v="2023-01-03T00:00:00"/>
    <d v="1899-12-30T12:15:00"/>
    <x v="0"/>
    <x v="7"/>
    <s v="Station_15"/>
    <s v="Station_17"/>
    <d v="1899-12-30T12:15:00"/>
    <d v="1899-12-30T12:53:00"/>
    <n v="7"/>
    <n v="8"/>
    <x v="0"/>
    <n v="24.9"/>
    <n v="33"/>
    <n v="52"/>
    <n v="11.4"/>
    <x v="0"/>
    <n v="0"/>
    <n v="30"/>
    <x v="0"/>
    <x v="0"/>
    <x v="2"/>
    <x v="3"/>
    <x v="1"/>
    <x v="2"/>
  </r>
  <r>
    <s v="T00222"/>
    <d v="2023-01-03T00:00:00"/>
    <d v="1899-12-30T12:30:00"/>
    <x v="3"/>
    <x v="3"/>
    <s v="Station_32"/>
    <s v="Station_32"/>
    <d v="1899-12-30T12:33:00"/>
    <d v="1899-12-30T13:13:00"/>
    <n v="12"/>
    <n v="23"/>
    <x v="5"/>
    <n v="-0.4"/>
    <n v="94"/>
    <n v="33"/>
    <n v="8.6"/>
    <x v="0"/>
    <n v="2000"/>
    <n v="12"/>
    <x v="0"/>
    <x v="0"/>
    <x v="2"/>
    <x v="1"/>
    <x v="1"/>
    <x v="2"/>
  </r>
  <r>
    <s v="T00223"/>
    <d v="2023-01-03T00:00:00"/>
    <d v="1899-12-30T12:45:00"/>
    <x v="1"/>
    <x v="12"/>
    <s v="Station_28"/>
    <s v="Station_16"/>
    <d v="1899-12-30T12:47:00"/>
    <d v="1899-12-30T13:23:00"/>
    <n v="11"/>
    <n v="18"/>
    <x v="1"/>
    <n v="4.0999999999999996"/>
    <n v="80"/>
    <n v="40"/>
    <n v="16.399999999999999"/>
    <x v="0"/>
    <n v="0"/>
    <n v="26"/>
    <x v="0"/>
    <x v="1"/>
    <x v="2"/>
    <x v="1"/>
    <x v="1"/>
    <x v="2"/>
  </r>
  <r>
    <s v="T00224"/>
    <d v="2023-01-03T00:00:00"/>
    <d v="1899-12-30T13:00:00"/>
    <x v="3"/>
    <x v="11"/>
    <s v="Station_22"/>
    <s v="Station_16"/>
    <d v="1899-12-30T13:04:00"/>
    <d v="1899-12-30T13:32:00"/>
    <n v="1"/>
    <n v="28"/>
    <x v="1"/>
    <n v="-1"/>
    <n v="92"/>
    <n v="9"/>
    <n v="15.9"/>
    <x v="0"/>
    <n v="0"/>
    <n v="58"/>
    <x v="0"/>
    <x v="1"/>
    <x v="2"/>
    <x v="3"/>
    <x v="1"/>
    <x v="1"/>
  </r>
  <r>
    <s v="T00225"/>
    <d v="2023-01-03T00:00:00"/>
    <d v="1899-12-30T13:15:00"/>
    <x v="3"/>
    <x v="9"/>
    <s v="Station_41"/>
    <s v="Station_46"/>
    <d v="1899-12-30T13:16:00"/>
    <d v="1899-12-30T13:47:00"/>
    <n v="18"/>
    <n v="23"/>
    <x v="5"/>
    <n v="12.3"/>
    <n v="44"/>
    <n v="51"/>
    <n v="14.6"/>
    <x v="0"/>
    <n v="50000"/>
    <n v="64"/>
    <x v="0"/>
    <x v="1"/>
    <x v="2"/>
    <x v="0"/>
    <x v="1"/>
    <x v="1"/>
  </r>
  <r>
    <s v="T00226"/>
    <d v="2023-01-03T00:00:00"/>
    <d v="1899-12-30T13:30:00"/>
    <x v="2"/>
    <x v="16"/>
    <s v="Station_17"/>
    <s v="Station_39"/>
    <d v="1899-12-30T13:31:00"/>
    <d v="1899-12-30T14:17:00"/>
    <n v="17"/>
    <n v="-2"/>
    <x v="4"/>
    <n v="0"/>
    <n v="65"/>
    <n v="10"/>
    <n v="1.5"/>
    <x v="5"/>
    <n v="0"/>
    <n v="63"/>
    <x v="0"/>
    <x v="0"/>
    <x v="2"/>
    <x v="0"/>
    <x v="0"/>
    <x v="1"/>
  </r>
  <r>
    <s v="T00227"/>
    <d v="2023-01-03T00:00:00"/>
    <d v="1899-12-30T13:45:00"/>
    <x v="3"/>
    <x v="0"/>
    <s v="Station_26"/>
    <s v="Station_31"/>
    <d v="1899-12-30T13:45:00"/>
    <d v="1899-12-30T14:06:00"/>
    <n v="-1"/>
    <n v="29"/>
    <x v="4"/>
    <n v="12.5"/>
    <n v="58"/>
    <n v="56"/>
    <n v="15.9"/>
    <x v="0"/>
    <n v="2000"/>
    <n v="24"/>
    <x v="0"/>
    <x v="1"/>
    <x v="2"/>
    <x v="0"/>
    <x v="1"/>
    <x v="2"/>
  </r>
  <r>
    <s v="T00228"/>
    <d v="2023-01-03T00:00:00"/>
    <d v="1899-12-30T14:00:00"/>
    <x v="2"/>
    <x v="6"/>
    <s v="Station_44"/>
    <s v="Station_43"/>
    <d v="1899-12-30T14:02:00"/>
    <d v="1899-12-30T14:29:00"/>
    <n v="9"/>
    <n v="22"/>
    <x v="4"/>
    <n v="24.3"/>
    <n v="81"/>
    <n v="13"/>
    <n v="18.399999999999999"/>
    <x v="0"/>
    <n v="10000"/>
    <n v="36"/>
    <x v="0"/>
    <x v="1"/>
    <x v="2"/>
    <x v="1"/>
    <x v="1"/>
    <x v="1"/>
  </r>
  <r>
    <s v="T00229"/>
    <d v="2023-01-03T00:00:00"/>
    <d v="1899-12-30T14:15:00"/>
    <x v="2"/>
    <x v="18"/>
    <s v="Station_7"/>
    <s v="Station_24"/>
    <d v="1899-12-30T14:18:00"/>
    <d v="1899-12-30T14:56:00"/>
    <n v="-2"/>
    <n v="24"/>
    <x v="0"/>
    <n v="22.3"/>
    <n v="75"/>
    <n v="2"/>
    <n v="1.2"/>
    <x v="0"/>
    <n v="0"/>
    <n v="74"/>
    <x v="0"/>
    <x v="0"/>
    <x v="2"/>
    <x v="1"/>
    <x v="1"/>
    <x v="0"/>
  </r>
  <r>
    <s v="T00230"/>
    <d v="2023-01-03T00:00:00"/>
    <d v="1899-12-30T14:30:00"/>
    <x v="3"/>
    <x v="14"/>
    <s v="Station_42"/>
    <s v="Station_1"/>
    <d v="1899-12-30T14:31:00"/>
    <d v="1899-12-30T15:02:00"/>
    <n v="17"/>
    <n v="15"/>
    <x v="5"/>
    <n v="6.2"/>
    <n v="98"/>
    <n v="56"/>
    <n v="8"/>
    <x v="5"/>
    <n v="10000"/>
    <n v="72"/>
    <x v="0"/>
    <x v="0"/>
    <x v="2"/>
    <x v="1"/>
    <x v="1"/>
    <x v="0"/>
  </r>
  <r>
    <s v="T00231"/>
    <d v="2023-01-03T00:00:00"/>
    <d v="1899-12-30T14:45:00"/>
    <x v="1"/>
    <x v="18"/>
    <s v="Station_26"/>
    <s v="Station_11"/>
    <d v="1899-12-30T14:45:00"/>
    <d v="1899-12-30T15:13:00"/>
    <n v="2"/>
    <n v="1"/>
    <x v="1"/>
    <n v="22"/>
    <n v="58"/>
    <n v="32"/>
    <n v="19.8"/>
    <x v="0"/>
    <n v="2000"/>
    <n v="70"/>
    <x v="0"/>
    <x v="1"/>
    <x v="2"/>
    <x v="1"/>
    <x v="0"/>
    <x v="0"/>
  </r>
  <r>
    <s v="T00232"/>
    <d v="2023-01-03T00:00:00"/>
    <d v="1899-12-30T15:00:00"/>
    <x v="1"/>
    <x v="8"/>
    <s v="Station_25"/>
    <s v="Station_21"/>
    <d v="1899-12-30T15:02:00"/>
    <d v="1899-12-30T15:52:00"/>
    <n v="3"/>
    <n v="29"/>
    <x v="1"/>
    <n v="32.1"/>
    <n v="76"/>
    <n v="6"/>
    <n v="12"/>
    <x v="5"/>
    <n v="50000"/>
    <n v="13"/>
    <x v="0"/>
    <x v="1"/>
    <x v="2"/>
    <x v="3"/>
    <x v="1"/>
    <x v="2"/>
  </r>
  <r>
    <s v="T00233"/>
    <d v="2023-01-03T00:00:00"/>
    <d v="1899-12-30T15:15:00"/>
    <x v="1"/>
    <x v="18"/>
    <s v="Station_10"/>
    <s v="Station_4"/>
    <d v="1899-12-30T15:17:00"/>
    <d v="1899-12-30T15:48:00"/>
    <n v="8"/>
    <n v="16"/>
    <x v="1"/>
    <n v="8.9"/>
    <n v="54"/>
    <n v="3"/>
    <n v="10.3"/>
    <x v="0"/>
    <n v="0"/>
    <n v="93"/>
    <x v="0"/>
    <x v="1"/>
    <x v="2"/>
    <x v="1"/>
    <x v="1"/>
    <x v="0"/>
  </r>
  <r>
    <s v="T00234"/>
    <d v="2023-01-03T00:00:00"/>
    <d v="1899-12-30T15:30:00"/>
    <x v="1"/>
    <x v="5"/>
    <s v="Station_45"/>
    <s v="Station_7"/>
    <d v="1899-12-30T15:30:00"/>
    <d v="1899-12-30T16:09:00"/>
    <n v="5"/>
    <n v="26"/>
    <x v="0"/>
    <n v="8.1999999999999993"/>
    <n v="45"/>
    <n v="38"/>
    <n v="3.5"/>
    <x v="0"/>
    <n v="50000"/>
    <n v="23"/>
    <x v="0"/>
    <x v="1"/>
    <x v="2"/>
    <x v="3"/>
    <x v="1"/>
    <x v="2"/>
  </r>
  <r>
    <s v="T00235"/>
    <d v="2023-01-03T00:00:00"/>
    <d v="1899-12-30T15:45:00"/>
    <x v="1"/>
    <x v="1"/>
    <s v="Station_19"/>
    <s v="Station_26"/>
    <d v="1899-12-30T15:45:00"/>
    <d v="1899-12-30T16:19:00"/>
    <n v="4"/>
    <n v="4"/>
    <x v="0"/>
    <n v="17.899999999999999"/>
    <n v="70"/>
    <n v="47"/>
    <n v="11.3"/>
    <x v="0"/>
    <n v="0"/>
    <n v="66"/>
    <x v="0"/>
    <x v="0"/>
    <x v="2"/>
    <x v="0"/>
    <x v="0"/>
    <x v="1"/>
  </r>
  <r>
    <s v="T00236"/>
    <d v="2023-01-03T00:00:00"/>
    <d v="1899-12-30T16:00:00"/>
    <x v="3"/>
    <x v="5"/>
    <s v="Station_11"/>
    <s v="Station_47"/>
    <d v="1899-12-30T16:03:00"/>
    <d v="1899-12-30T16:51:00"/>
    <n v="1"/>
    <n v="13"/>
    <x v="3"/>
    <n v="4.8"/>
    <n v="94"/>
    <n v="9"/>
    <n v="8.8000000000000007"/>
    <x v="2"/>
    <n v="2000"/>
    <n v="47"/>
    <x v="1"/>
    <x v="1"/>
    <x v="2"/>
    <x v="3"/>
    <x v="1"/>
    <x v="1"/>
  </r>
  <r>
    <s v="T00237"/>
    <d v="2023-01-03T00:00:00"/>
    <d v="1899-12-30T16:15:00"/>
    <x v="3"/>
    <x v="11"/>
    <s v="Station_13"/>
    <s v="Station_50"/>
    <d v="1899-12-30T16:15:00"/>
    <d v="1899-12-30T17:07:00"/>
    <n v="3"/>
    <n v="-3"/>
    <x v="4"/>
    <n v="21.1"/>
    <n v="98"/>
    <n v="14"/>
    <n v="2.5"/>
    <x v="1"/>
    <n v="0"/>
    <n v="90"/>
    <x v="0"/>
    <x v="1"/>
    <x v="2"/>
    <x v="0"/>
    <x v="0"/>
    <x v="0"/>
  </r>
  <r>
    <s v="T00238"/>
    <d v="2023-01-03T00:00:00"/>
    <d v="1899-12-30T16:30:00"/>
    <x v="0"/>
    <x v="19"/>
    <s v="Station_8"/>
    <s v="Station_12"/>
    <d v="1899-12-30T16:33:00"/>
    <d v="1899-12-30T17:06:00"/>
    <n v="13"/>
    <n v="-1"/>
    <x v="3"/>
    <n v="28.3"/>
    <n v="49"/>
    <n v="15"/>
    <n v="9.3000000000000007"/>
    <x v="0"/>
    <n v="0"/>
    <n v="64"/>
    <x v="0"/>
    <x v="0"/>
    <x v="2"/>
    <x v="1"/>
    <x v="0"/>
    <x v="1"/>
  </r>
  <r>
    <s v="T00239"/>
    <d v="2023-01-03T00:00:00"/>
    <d v="1899-12-30T16:45:00"/>
    <x v="1"/>
    <x v="8"/>
    <s v="Station_40"/>
    <s v="Station_31"/>
    <d v="1899-12-30T16:48:00"/>
    <d v="1899-12-30T17:28:00"/>
    <n v="17"/>
    <n v="22"/>
    <x v="3"/>
    <n v="13.4"/>
    <n v="98"/>
    <n v="37"/>
    <n v="3.3"/>
    <x v="0"/>
    <n v="0"/>
    <n v="37"/>
    <x v="0"/>
    <x v="1"/>
    <x v="2"/>
    <x v="0"/>
    <x v="1"/>
    <x v="1"/>
  </r>
  <r>
    <s v="T00240"/>
    <d v="2023-01-03T00:00:00"/>
    <d v="1899-12-30T17:00:00"/>
    <x v="3"/>
    <x v="8"/>
    <s v="Station_4"/>
    <s v="Station_17"/>
    <d v="1899-12-30T17:04:00"/>
    <d v="1899-12-30T17:49:00"/>
    <n v="12"/>
    <n v="27"/>
    <x v="0"/>
    <n v="22.2"/>
    <n v="65"/>
    <n v="3"/>
    <n v="14.6"/>
    <x v="0"/>
    <n v="0"/>
    <n v="89"/>
    <x v="0"/>
    <x v="1"/>
    <x v="2"/>
    <x v="0"/>
    <x v="1"/>
    <x v="0"/>
  </r>
  <r>
    <s v="T00241"/>
    <d v="2023-01-03T00:00:00"/>
    <d v="1899-12-30T17:15:00"/>
    <x v="0"/>
    <x v="13"/>
    <s v="Station_47"/>
    <s v="Station_33"/>
    <d v="1899-12-30T17:17:00"/>
    <d v="1899-12-30T17:47:00"/>
    <n v="11"/>
    <n v="4"/>
    <x v="4"/>
    <n v="21.1"/>
    <n v="87"/>
    <n v="3"/>
    <n v="19.5"/>
    <x v="0"/>
    <n v="0"/>
    <n v="69"/>
    <x v="0"/>
    <x v="1"/>
    <x v="2"/>
    <x v="3"/>
    <x v="0"/>
    <x v="0"/>
  </r>
  <r>
    <s v="T00242"/>
    <d v="2023-01-03T00:00:00"/>
    <d v="1899-12-30T17:30:00"/>
    <x v="1"/>
    <x v="0"/>
    <s v="Station_31"/>
    <s v="Station_11"/>
    <d v="1899-12-30T17:32:00"/>
    <d v="1899-12-30T18:05:00"/>
    <n v="9"/>
    <n v="4"/>
    <x v="4"/>
    <n v="-3.5"/>
    <n v="77"/>
    <n v="55"/>
    <n v="9.4"/>
    <x v="0"/>
    <n v="0"/>
    <n v="58"/>
    <x v="0"/>
    <x v="0"/>
    <x v="2"/>
    <x v="0"/>
    <x v="0"/>
    <x v="1"/>
  </r>
  <r>
    <s v="T00243"/>
    <d v="2023-01-03T00:00:00"/>
    <d v="1899-12-30T17:45:00"/>
    <x v="2"/>
    <x v="1"/>
    <s v="Station_28"/>
    <s v="Station_28"/>
    <d v="1899-12-30T17:47:00"/>
    <d v="1899-12-30T18:06:00"/>
    <n v="9"/>
    <n v="24"/>
    <x v="1"/>
    <n v="2.2999999999999998"/>
    <n v="31"/>
    <n v="54"/>
    <n v="12.6"/>
    <x v="5"/>
    <n v="0"/>
    <n v="11"/>
    <x v="0"/>
    <x v="1"/>
    <x v="2"/>
    <x v="2"/>
    <x v="1"/>
    <x v="2"/>
  </r>
  <r>
    <s v="T00244"/>
    <d v="2023-01-03T00:00:00"/>
    <d v="1899-12-30T18:00:00"/>
    <x v="0"/>
    <x v="18"/>
    <s v="Station_11"/>
    <s v="Station_32"/>
    <d v="1899-12-30T18:04:00"/>
    <d v="1899-12-30T18:36:00"/>
    <n v="13"/>
    <n v="0"/>
    <x v="0"/>
    <n v="30.7"/>
    <n v="58"/>
    <n v="35"/>
    <n v="8.6"/>
    <x v="1"/>
    <n v="0"/>
    <n v="53"/>
    <x v="0"/>
    <x v="1"/>
    <x v="2"/>
    <x v="0"/>
    <x v="0"/>
    <x v="1"/>
  </r>
  <r>
    <s v="T00245"/>
    <d v="2023-01-03T00:00:00"/>
    <d v="1899-12-30T18:15:00"/>
    <x v="3"/>
    <x v="15"/>
    <s v="Station_43"/>
    <s v="Station_1"/>
    <d v="1899-12-30T18:18:00"/>
    <d v="1899-12-30T19:06:00"/>
    <n v="12"/>
    <n v="12"/>
    <x v="4"/>
    <n v="32.6"/>
    <n v="45"/>
    <n v="26"/>
    <n v="2.8"/>
    <x v="0"/>
    <n v="0"/>
    <n v="50"/>
    <x v="0"/>
    <x v="1"/>
    <x v="2"/>
    <x v="1"/>
    <x v="1"/>
    <x v="1"/>
  </r>
  <r>
    <s v="T00246"/>
    <d v="2023-01-03T00:00:00"/>
    <d v="1899-12-30T18:30:00"/>
    <x v="2"/>
    <x v="14"/>
    <s v="Station_1"/>
    <s v="Station_47"/>
    <d v="1899-12-30T18:33:00"/>
    <d v="1899-12-30T18:57:00"/>
    <n v="10"/>
    <n v="9"/>
    <x v="3"/>
    <n v="26.2"/>
    <n v="64"/>
    <n v="21"/>
    <n v="19.399999999999999"/>
    <x v="3"/>
    <n v="0"/>
    <n v="37"/>
    <x v="0"/>
    <x v="0"/>
    <x v="2"/>
    <x v="0"/>
    <x v="1"/>
    <x v="1"/>
  </r>
  <r>
    <s v="T00247"/>
    <d v="2023-01-03T00:00:00"/>
    <d v="1899-12-30T18:45:00"/>
    <x v="2"/>
    <x v="1"/>
    <s v="Station_49"/>
    <s v="Station_28"/>
    <d v="1899-12-30T18:45:00"/>
    <d v="1899-12-30T19:07:00"/>
    <n v="8"/>
    <n v="16"/>
    <x v="5"/>
    <n v="31.8"/>
    <n v="91"/>
    <n v="21"/>
    <n v="2.6"/>
    <x v="5"/>
    <n v="10000"/>
    <n v="45"/>
    <x v="0"/>
    <x v="1"/>
    <x v="2"/>
    <x v="2"/>
    <x v="1"/>
    <x v="1"/>
  </r>
  <r>
    <s v="T00248"/>
    <d v="2023-01-03T00:00:00"/>
    <d v="1899-12-30T19:00:00"/>
    <x v="2"/>
    <x v="12"/>
    <s v="Station_47"/>
    <s v="Station_42"/>
    <d v="1899-12-30T19:04:00"/>
    <d v="1899-12-30T19:31:00"/>
    <n v="14"/>
    <n v="1"/>
    <x v="5"/>
    <n v="7.2"/>
    <n v="33"/>
    <n v="16"/>
    <n v="2.2000000000000002"/>
    <x v="0"/>
    <n v="500"/>
    <n v="98"/>
    <x v="0"/>
    <x v="1"/>
    <x v="2"/>
    <x v="3"/>
    <x v="0"/>
    <x v="0"/>
  </r>
  <r>
    <s v="T00249"/>
    <d v="2023-01-03T00:00:00"/>
    <d v="1899-12-30T19:15:00"/>
    <x v="0"/>
    <x v="17"/>
    <s v="Station_38"/>
    <s v="Station_7"/>
    <d v="1899-12-30T19:15:00"/>
    <d v="1899-12-30T19:54:00"/>
    <n v="18"/>
    <n v="16"/>
    <x v="0"/>
    <n v="4.9000000000000004"/>
    <n v="97"/>
    <n v="44"/>
    <n v="9.1999999999999993"/>
    <x v="0"/>
    <n v="0"/>
    <n v="9"/>
    <x v="0"/>
    <x v="0"/>
    <x v="2"/>
    <x v="0"/>
    <x v="1"/>
    <x v="2"/>
  </r>
  <r>
    <s v="T00250"/>
    <d v="2023-01-03T00:00:00"/>
    <d v="1899-12-30T19:30:00"/>
    <x v="3"/>
    <x v="19"/>
    <s v="Station_24"/>
    <s v="Station_2"/>
    <d v="1899-12-30T19:34:00"/>
    <d v="1899-12-30T20:05:00"/>
    <n v="12"/>
    <n v="20"/>
    <x v="1"/>
    <n v="10.4"/>
    <n v="80"/>
    <n v="33"/>
    <n v="13.2"/>
    <x v="5"/>
    <n v="0"/>
    <n v="8"/>
    <x v="0"/>
    <x v="0"/>
    <x v="2"/>
    <x v="2"/>
    <x v="1"/>
    <x v="2"/>
  </r>
  <r>
    <s v="T00251"/>
    <d v="2023-01-03T00:00:00"/>
    <d v="1899-12-30T19:45:00"/>
    <x v="2"/>
    <x v="7"/>
    <s v="Station_47"/>
    <s v="Station_42"/>
    <d v="1899-12-30T19:45:00"/>
    <d v="1899-12-30T20:18:00"/>
    <n v="11"/>
    <n v="15"/>
    <x v="1"/>
    <n v="-2.8"/>
    <n v="62"/>
    <n v="31"/>
    <n v="7.1"/>
    <x v="4"/>
    <n v="2000"/>
    <n v="86"/>
    <x v="0"/>
    <x v="0"/>
    <x v="2"/>
    <x v="1"/>
    <x v="1"/>
    <x v="0"/>
  </r>
  <r>
    <s v="T00252"/>
    <d v="2023-01-03T00:00:00"/>
    <d v="1899-12-30T20:00:00"/>
    <x v="1"/>
    <x v="0"/>
    <s v="Station_31"/>
    <s v="Station_24"/>
    <d v="1899-12-30T20:01:00"/>
    <d v="1899-12-30T20:35:00"/>
    <n v="7"/>
    <n v="13"/>
    <x v="4"/>
    <n v="27.4"/>
    <n v="53"/>
    <n v="51"/>
    <n v="3.9"/>
    <x v="0"/>
    <n v="0"/>
    <n v="93"/>
    <x v="0"/>
    <x v="1"/>
    <x v="2"/>
    <x v="1"/>
    <x v="1"/>
    <x v="0"/>
  </r>
  <r>
    <s v="T00253"/>
    <d v="2023-01-03T00:00:00"/>
    <d v="1899-12-30T20:15:00"/>
    <x v="2"/>
    <x v="0"/>
    <s v="Station_41"/>
    <s v="Station_4"/>
    <d v="1899-12-30T20:17:00"/>
    <d v="1899-12-30T21:07:00"/>
    <n v="9"/>
    <n v="1"/>
    <x v="0"/>
    <n v="34.4"/>
    <n v="54"/>
    <n v="5"/>
    <n v="16.399999999999999"/>
    <x v="1"/>
    <n v="0"/>
    <n v="51"/>
    <x v="1"/>
    <x v="0"/>
    <x v="2"/>
    <x v="3"/>
    <x v="0"/>
    <x v="1"/>
  </r>
  <r>
    <s v="T00254"/>
    <d v="2023-01-03T00:00:00"/>
    <d v="1899-12-30T20:30:00"/>
    <x v="2"/>
    <x v="3"/>
    <s v="Station_46"/>
    <s v="Station_44"/>
    <d v="1899-12-30T20:32:00"/>
    <d v="1899-12-30T21:19:00"/>
    <n v="13"/>
    <n v="21"/>
    <x v="5"/>
    <n v="28"/>
    <n v="57"/>
    <n v="53"/>
    <n v="7.3"/>
    <x v="0"/>
    <n v="0"/>
    <n v="50"/>
    <x v="0"/>
    <x v="1"/>
    <x v="2"/>
    <x v="1"/>
    <x v="1"/>
    <x v="1"/>
  </r>
  <r>
    <s v="T00255"/>
    <d v="2023-01-03T00:00:00"/>
    <d v="1899-12-30T20:45:00"/>
    <x v="0"/>
    <x v="17"/>
    <s v="Station_50"/>
    <s v="Station_19"/>
    <d v="1899-12-30T20:48:00"/>
    <d v="1899-12-30T21:16:00"/>
    <n v="12"/>
    <n v="14"/>
    <x v="3"/>
    <n v="17.2"/>
    <n v="36"/>
    <n v="32"/>
    <n v="3.9"/>
    <x v="5"/>
    <n v="50000"/>
    <n v="21"/>
    <x v="0"/>
    <x v="1"/>
    <x v="2"/>
    <x v="2"/>
    <x v="1"/>
    <x v="2"/>
  </r>
  <r>
    <s v="T00256"/>
    <d v="2023-01-03T00:00:00"/>
    <d v="1899-12-30T21:00:00"/>
    <x v="0"/>
    <x v="16"/>
    <s v="Station_26"/>
    <s v="Station_26"/>
    <d v="1899-12-30T21:01:00"/>
    <d v="1899-12-30T21:34:00"/>
    <n v="7"/>
    <n v="4"/>
    <x v="4"/>
    <n v="6.8"/>
    <n v="65"/>
    <n v="7"/>
    <n v="7.3"/>
    <x v="0"/>
    <n v="0"/>
    <n v="72"/>
    <x v="0"/>
    <x v="1"/>
    <x v="2"/>
    <x v="0"/>
    <x v="0"/>
    <x v="0"/>
  </r>
  <r>
    <s v="T00257"/>
    <d v="2023-01-03T00:00:00"/>
    <d v="1899-12-30T21:15:00"/>
    <x v="3"/>
    <x v="13"/>
    <s v="Station_49"/>
    <s v="Station_11"/>
    <d v="1899-12-30T21:17:00"/>
    <d v="1899-12-30T21:52:00"/>
    <n v="1"/>
    <n v="23"/>
    <x v="3"/>
    <n v="2.9"/>
    <n v="39"/>
    <n v="49"/>
    <n v="4.3"/>
    <x v="4"/>
    <n v="2000"/>
    <n v="82"/>
    <x v="0"/>
    <x v="1"/>
    <x v="2"/>
    <x v="2"/>
    <x v="1"/>
    <x v="0"/>
  </r>
  <r>
    <s v="T00258"/>
    <d v="2023-01-03T00:00:00"/>
    <d v="1899-12-30T21:30:00"/>
    <x v="1"/>
    <x v="16"/>
    <s v="Station_50"/>
    <s v="Station_40"/>
    <d v="1899-12-30T21:33:00"/>
    <d v="1899-12-30T22:17:00"/>
    <n v="6"/>
    <n v="11"/>
    <x v="4"/>
    <n v="9.6"/>
    <n v="65"/>
    <n v="52"/>
    <n v="10.4"/>
    <x v="0"/>
    <n v="0"/>
    <n v="71"/>
    <x v="0"/>
    <x v="1"/>
    <x v="2"/>
    <x v="3"/>
    <x v="1"/>
    <x v="0"/>
  </r>
  <r>
    <s v="T00259"/>
    <d v="2023-01-03T00:00:00"/>
    <d v="1899-12-30T21:45:00"/>
    <x v="0"/>
    <x v="18"/>
    <s v="Station_5"/>
    <s v="Station_50"/>
    <d v="1899-12-30T21:46:00"/>
    <d v="1899-12-30T22:27:00"/>
    <n v="18"/>
    <n v="9"/>
    <x v="2"/>
    <n v="21.7"/>
    <n v="47"/>
    <n v="35"/>
    <n v="13.4"/>
    <x v="0"/>
    <n v="2000"/>
    <n v="67"/>
    <x v="0"/>
    <x v="1"/>
    <x v="2"/>
    <x v="0"/>
    <x v="1"/>
    <x v="0"/>
  </r>
  <r>
    <s v="T00260"/>
    <d v="2023-01-03T00:00:00"/>
    <d v="1899-12-30T22:00:00"/>
    <x v="2"/>
    <x v="5"/>
    <s v="Station_20"/>
    <s v="Station_43"/>
    <d v="1899-12-30T22:02:00"/>
    <d v="1899-12-30T22:33:00"/>
    <n v="17"/>
    <n v="12"/>
    <x v="3"/>
    <n v="12.9"/>
    <n v="35"/>
    <n v="4"/>
    <n v="16"/>
    <x v="0"/>
    <n v="0"/>
    <n v="4"/>
    <x v="0"/>
    <x v="0"/>
    <x v="2"/>
    <x v="2"/>
    <x v="1"/>
    <x v="2"/>
  </r>
  <r>
    <s v="T00261"/>
    <d v="2023-01-03T00:00:00"/>
    <d v="1899-12-30T22:15:00"/>
    <x v="3"/>
    <x v="15"/>
    <s v="Station_41"/>
    <s v="Station_11"/>
    <d v="1899-12-30T22:15:00"/>
    <d v="1899-12-30T23:04:00"/>
    <n v="6"/>
    <n v="18"/>
    <x v="0"/>
    <n v="32.4"/>
    <n v="36"/>
    <n v="4"/>
    <n v="4.5999999999999996"/>
    <x v="0"/>
    <n v="0"/>
    <n v="82"/>
    <x v="0"/>
    <x v="1"/>
    <x v="2"/>
    <x v="3"/>
    <x v="1"/>
    <x v="0"/>
  </r>
  <r>
    <s v="T00262"/>
    <d v="2023-01-03T00:00:00"/>
    <d v="1899-12-30T22:30:00"/>
    <x v="2"/>
    <x v="10"/>
    <s v="Station_11"/>
    <s v="Station_45"/>
    <d v="1899-12-30T22:34:00"/>
    <d v="1899-12-30T23:22:00"/>
    <n v="18"/>
    <n v="16"/>
    <x v="3"/>
    <n v="29.2"/>
    <n v="41"/>
    <n v="46"/>
    <n v="3.3"/>
    <x v="1"/>
    <n v="0"/>
    <n v="81"/>
    <x v="0"/>
    <x v="1"/>
    <x v="2"/>
    <x v="3"/>
    <x v="1"/>
    <x v="0"/>
  </r>
  <r>
    <s v="T00263"/>
    <d v="2023-01-03T00:00:00"/>
    <d v="1899-12-30T22:45:00"/>
    <x v="2"/>
    <x v="9"/>
    <s v="Station_33"/>
    <s v="Station_3"/>
    <d v="1899-12-30T22:46:00"/>
    <d v="1899-12-30T23:19:00"/>
    <n v="17"/>
    <n v="9"/>
    <x v="3"/>
    <n v="-0.9"/>
    <n v="70"/>
    <n v="9"/>
    <n v="0.4"/>
    <x v="0"/>
    <n v="50000"/>
    <n v="28"/>
    <x v="0"/>
    <x v="1"/>
    <x v="2"/>
    <x v="0"/>
    <x v="1"/>
    <x v="2"/>
  </r>
  <r>
    <s v="T00264"/>
    <d v="2023-01-03T00:00:00"/>
    <d v="1899-12-30T23:00:00"/>
    <x v="0"/>
    <x v="12"/>
    <s v="Station_50"/>
    <s v="Station_12"/>
    <d v="1899-12-30T23:03:00"/>
    <d v="1899-12-30T23:26:00"/>
    <n v="8"/>
    <n v="16"/>
    <x v="4"/>
    <n v="0.3"/>
    <n v="92"/>
    <n v="39"/>
    <n v="4.5999999999999996"/>
    <x v="0"/>
    <n v="0"/>
    <n v="82"/>
    <x v="0"/>
    <x v="0"/>
    <x v="2"/>
    <x v="0"/>
    <x v="1"/>
    <x v="0"/>
  </r>
  <r>
    <s v="T00265"/>
    <d v="2023-01-03T00:00:00"/>
    <d v="1899-12-30T23:15:00"/>
    <x v="3"/>
    <x v="0"/>
    <s v="Station_38"/>
    <s v="Station_3"/>
    <d v="1899-12-30T23:16:00"/>
    <d v="1899-12-30T23:49:00"/>
    <n v="8"/>
    <n v="-2"/>
    <x v="5"/>
    <n v="22"/>
    <n v="54"/>
    <n v="57"/>
    <n v="0.5"/>
    <x v="0"/>
    <n v="0"/>
    <n v="5"/>
    <x v="0"/>
    <x v="1"/>
    <x v="2"/>
    <x v="1"/>
    <x v="0"/>
    <x v="2"/>
  </r>
  <r>
    <s v="T00266"/>
    <d v="2023-01-03T00:00:00"/>
    <d v="1899-12-30T23:30:00"/>
    <x v="1"/>
    <x v="17"/>
    <s v="Station_27"/>
    <s v="Station_42"/>
    <d v="1899-12-30T23:33:00"/>
    <d v="1899-12-30T00:27:00"/>
    <n v="4"/>
    <n v="15"/>
    <x v="2"/>
    <n v="4.2"/>
    <n v="82"/>
    <n v="6"/>
    <n v="6.9"/>
    <x v="4"/>
    <n v="2000"/>
    <n v="68"/>
    <x v="0"/>
    <x v="1"/>
    <x v="2"/>
    <x v="1"/>
    <x v="1"/>
    <x v="0"/>
  </r>
  <r>
    <s v="T00267"/>
    <d v="2023-01-03T00:00:00"/>
    <d v="1899-12-30T23:45:00"/>
    <x v="1"/>
    <x v="14"/>
    <s v="Station_34"/>
    <s v="Station_27"/>
    <d v="1899-12-30T23:46:00"/>
    <d v="1899-12-30T00:15:00"/>
    <n v="18"/>
    <n v="2"/>
    <x v="3"/>
    <n v="26.6"/>
    <n v="62"/>
    <n v="11"/>
    <n v="2.9"/>
    <x v="0"/>
    <n v="0"/>
    <n v="57"/>
    <x v="1"/>
    <x v="1"/>
    <x v="2"/>
    <x v="0"/>
    <x v="0"/>
    <x v="1"/>
  </r>
  <r>
    <s v="T00268"/>
    <d v="2023-01-04T00:00:00"/>
    <d v="1899-12-30T00:00:00"/>
    <x v="0"/>
    <x v="16"/>
    <s v="Station_15"/>
    <s v="Station_49"/>
    <d v="1899-12-30T00:03:00"/>
    <d v="1899-12-30T00:48:00"/>
    <n v="7"/>
    <n v="10"/>
    <x v="5"/>
    <n v="18.7"/>
    <n v="35"/>
    <n v="29"/>
    <n v="11.6"/>
    <x v="0"/>
    <n v="0"/>
    <n v="42"/>
    <x v="0"/>
    <x v="0"/>
    <x v="3"/>
    <x v="1"/>
    <x v="1"/>
    <x v="1"/>
  </r>
  <r>
    <s v="T00269"/>
    <d v="2023-01-04T00:00:00"/>
    <d v="1899-12-30T00:15:00"/>
    <x v="0"/>
    <x v="0"/>
    <s v="Station_32"/>
    <s v="Station_2"/>
    <d v="1899-12-30T00:17:00"/>
    <d v="1899-12-30T01:05:00"/>
    <n v="1"/>
    <n v="0"/>
    <x v="1"/>
    <n v="4.2"/>
    <n v="91"/>
    <n v="24"/>
    <n v="7.7"/>
    <x v="5"/>
    <n v="0"/>
    <n v="68"/>
    <x v="0"/>
    <x v="1"/>
    <x v="3"/>
    <x v="0"/>
    <x v="0"/>
    <x v="0"/>
  </r>
  <r>
    <s v="T00270"/>
    <d v="2023-01-04T00:00:00"/>
    <d v="1899-12-30T00:30:00"/>
    <x v="3"/>
    <x v="13"/>
    <s v="Station_21"/>
    <s v="Station_49"/>
    <d v="1899-12-30T00:30:00"/>
    <d v="1899-12-30T01:14:00"/>
    <n v="2"/>
    <n v="18"/>
    <x v="2"/>
    <n v="14.1"/>
    <n v="95"/>
    <n v="27"/>
    <n v="1.9"/>
    <x v="0"/>
    <n v="0"/>
    <n v="71"/>
    <x v="0"/>
    <x v="1"/>
    <x v="3"/>
    <x v="1"/>
    <x v="1"/>
    <x v="0"/>
  </r>
  <r>
    <s v="T00271"/>
    <d v="2023-01-04T00:00:00"/>
    <d v="1899-12-30T00:45:00"/>
    <x v="1"/>
    <x v="14"/>
    <s v="Station_46"/>
    <s v="Station_16"/>
    <d v="1899-12-30T00:47:00"/>
    <d v="1899-12-30T01:28:00"/>
    <n v="2"/>
    <n v="23"/>
    <x v="2"/>
    <n v="11.2"/>
    <n v="38"/>
    <n v="42"/>
    <n v="8"/>
    <x v="5"/>
    <n v="0"/>
    <n v="90"/>
    <x v="0"/>
    <x v="1"/>
    <x v="3"/>
    <x v="2"/>
    <x v="1"/>
    <x v="0"/>
  </r>
  <r>
    <s v="T00272"/>
    <d v="2023-01-04T00:00:00"/>
    <d v="1899-12-30T01:00:00"/>
    <x v="1"/>
    <x v="17"/>
    <s v="Station_5"/>
    <s v="Station_2"/>
    <d v="1899-12-30T01:00:00"/>
    <d v="1899-12-30T01:38:00"/>
    <n v="8"/>
    <n v="3"/>
    <x v="4"/>
    <n v="29.9"/>
    <n v="96"/>
    <n v="12"/>
    <n v="4.2"/>
    <x v="0"/>
    <n v="10000"/>
    <n v="36"/>
    <x v="0"/>
    <x v="0"/>
    <x v="3"/>
    <x v="3"/>
    <x v="0"/>
    <x v="1"/>
  </r>
  <r>
    <s v="T00273"/>
    <d v="2023-01-04T00:00:00"/>
    <d v="1899-12-30T01:15:00"/>
    <x v="1"/>
    <x v="15"/>
    <s v="Station_6"/>
    <s v="Station_30"/>
    <d v="1899-12-30T01:17:00"/>
    <d v="1899-12-30T01:36:00"/>
    <n v="6"/>
    <n v="-1"/>
    <x v="3"/>
    <n v="-3.7"/>
    <n v="45"/>
    <n v="46"/>
    <n v="13.6"/>
    <x v="4"/>
    <n v="0"/>
    <n v="57"/>
    <x v="0"/>
    <x v="1"/>
    <x v="3"/>
    <x v="0"/>
    <x v="0"/>
    <x v="1"/>
  </r>
  <r>
    <s v="T00274"/>
    <d v="2023-01-04T00:00:00"/>
    <d v="1899-12-30T01:30:00"/>
    <x v="2"/>
    <x v="5"/>
    <s v="Station_38"/>
    <s v="Station_20"/>
    <d v="1899-12-30T01:32:00"/>
    <d v="1899-12-30T02:11:00"/>
    <n v="13"/>
    <n v="29"/>
    <x v="1"/>
    <n v="30.8"/>
    <n v="84"/>
    <n v="48"/>
    <n v="7.3"/>
    <x v="0"/>
    <n v="10000"/>
    <n v="36"/>
    <x v="0"/>
    <x v="1"/>
    <x v="3"/>
    <x v="0"/>
    <x v="1"/>
    <x v="1"/>
  </r>
  <r>
    <s v="T00275"/>
    <d v="2023-01-04T00:00:00"/>
    <d v="1899-12-30T01:45:00"/>
    <x v="1"/>
    <x v="1"/>
    <s v="Station_22"/>
    <s v="Station_38"/>
    <d v="1899-12-30T01:46:00"/>
    <d v="1899-12-30T02:24:00"/>
    <n v="6"/>
    <n v="-2"/>
    <x v="4"/>
    <n v="21.1"/>
    <n v="69"/>
    <n v="21"/>
    <n v="2.9"/>
    <x v="2"/>
    <n v="0"/>
    <n v="81"/>
    <x v="0"/>
    <x v="1"/>
    <x v="3"/>
    <x v="0"/>
    <x v="0"/>
    <x v="0"/>
  </r>
  <r>
    <s v="T00276"/>
    <d v="2023-01-04T00:00:00"/>
    <d v="1899-12-30T02:00:00"/>
    <x v="2"/>
    <x v="0"/>
    <s v="Station_18"/>
    <s v="Station_28"/>
    <d v="1899-12-30T02:04:00"/>
    <d v="1899-12-30T02:52:00"/>
    <n v="19"/>
    <n v="12"/>
    <x v="0"/>
    <n v="24.5"/>
    <n v="55"/>
    <n v="53"/>
    <n v="7"/>
    <x v="0"/>
    <n v="0"/>
    <n v="25"/>
    <x v="0"/>
    <x v="0"/>
    <x v="3"/>
    <x v="2"/>
    <x v="1"/>
    <x v="2"/>
  </r>
  <r>
    <s v="T00277"/>
    <d v="2023-01-04T00:00:00"/>
    <d v="1899-12-30T02:15:00"/>
    <x v="3"/>
    <x v="2"/>
    <s v="Station_14"/>
    <s v="Station_25"/>
    <d v="1899-12-30T02:18:00"/>
    <d v="1899-12-30T02:42:00"/>
    <n v="1"/>
    <n v="21"/>
    <x v="5"/>
    <n v="-4.9000000000000004"/>
    <n v="67"/>
    <n v="17"/>
    <n v="4.5"/>
    <x v="0"/>
    <n v="0"/>
    <n v="41"/>
    <x v="0"/>
    <x v="1"/>
    <x v="3"/>
    <x v="3"/>
    <x v="1"/>
    <x v="1"/>
  </r>
  <r>
    <s v="T00278"/>
    <d v="2023-01-04T00:00:00"/>
    <d v="1899-12-30T02:30:00"/>
    <x v="2"/>
    <x v="6"/>
    <s v="Station_10"/>
    <s v="Station_32"/>
    <d v="1899-12-30T02:33:00"/>
    <d v="1899-12-30T03:14:00"/>
    <n v="-1"/>
    <n v="11"/>
    <x v="5"/>
    <n v="20.100000000000001"/>
    <n v="64"/>
    <n v="26"/>
    <n v="15.9"/>
    <x v="0"/>
    <n v="500"/>
    <n v="15"/>
    <x v="0"/>
    <x v="1"/>
    <x v="3"/>
    <x v="1"/>
    <x v="1"/>
    <x v="2"/>
  </r>
  <r>
    <s v="T00279"/>
    <d v="2023-01-04T00:00:00"/>
    <d v="1899-12-30T02:45:00"/>
    <x v="3"/>
    <x v="14"/>
    <s v="Station_46"/>
    <s v="Station_10"/>
    <d v="1899-12-30T02:48:00"/>
    <d v="1899-12-30T03:13:00"/>
    <n v="11"/>
    <n v="20"/>
    <x v="4"/>
    <n v="18.5"/>
    <n v="97"/>
    <n v="7"/>
    <n v="19.7"/>
    <x v="2"/>
    <n v="0"/>
    <n v="21"/>
    <x v="0"/>
    <x v="1"/>
    <x v="3"/>
    <x v="1"/>
    <x v="1"/>
    <x v="2"/>
  </r>
  <r>
    <s v="T00280"/>
    <d v="2023-01-04T00:00:00"/>
    <d v="1899-12-30T03:00:00"/>
    <x v="1"/>
    <x v="7"/>
    <s v="Station_13"/>
    <s v="Station_42"/>
    <d v="1899-12-30T03:00:00"/>
    <d v="1899-12-30T03:53:00"/>
    <n v="0"/>
    <n v="11"/>
    <x v="5"/>
    <n v="16.5"/>
    <n v="88"/>
    <n v="5"/>
    <n v="0.5"/>
    <x v="5"/>
    <n v="2000"/>
    <n v="22"/>
    <x v="0"/>
    <x v="1"/>
    <x v="3"/>
    <x v="3"/>
    <x v="1"/>
    <x v="2"/>
  </r>
  <r>
    <s v="T00281"/>
    <d v="2023-01-04T00:00:00"/>
    <d v="1899-12-30T03:15:00"/>
    <x v="1"/>
    <x v="3"/>
    <s v="Station_31"/>
    <s v="Station_40"/>
    <d v="1899-12-30T03:18:00"/>
    <d v="1899-12-30T03:57:00"/>
    <n v="15"/>
    <n v="27"/>
    <x v="3"/>
    <n v="26.4"/>
    <n v="43"/>
    <n v="10"/>
    <n v="13.8"/>
    <x v="0"/>
    <n v="2000"/>
    <n v="46"/>
    <x v="0"/>
    <x v="1"/>
    <x v="3"/>
    <x v="1"/>
    <x v="1"/>
    <x v="1"/>
  </r>
  <r>
    <s v="T00282"/>
    <d v="2023-01-04T00:00:00"/>
    <d v="1899-12-30T03:30:00"/>
    <x v="3"/>
    <x v="6"/>
    <s v="Station_30"/>
    <s v="Station_33"/>
    <d v="1899-12-30T03:33:00"/>
    <d v="1899-12-30T03:54:00"/>
    <n v="18"/>
    <n v="10"/>
    <x v="5"/>
    <n v="17.2"/>
    <n v="76"/>
    <n v="28"/>
    <n v="5.3"/>
    <x v="0"/>
    <n v="0"/>
    <n v="66"/>
    <x v="0"/>
    <x v="1"/>
    <x v="3"/>
    <x v="0"/>
    <x v="1"/>
    <x v="1"/>
  </r>
  <r>
    <s v="T00283"/>
    <d v="2023-01-04T00:00:00"/>
    <d v="1899-12-30T03:45:00"/>
    <x v="0"/>
    <x v="15"/>
    <s v="Station_3"/>
    <s v="Station_13"/>
    <d v="1899-12-30T03:46:00"/>
    <d v="1899-12-30T04:29:00"/>
    <n v="3"/>
    <n v="10"/>
    <x v="3"/>
    <n v="29.3"/>
    <n v="71"/>
    <n v="57"/>
    <n v="1.3"/>
    <x v="1"/>
    <n v="0"/>
    <n v="2"/>
    <x v="0"/>
    <x v="0"/>
    <x v="3"/>
    <x v="3"/>
    <x v="1"/>
    <x v="2"/>
  </r>
  <r>
    <s v="T00284"/>
    <d v="2023-01-04T00:00:00"/>
    <d v="1899-12-30T04:00:00"/>
    <x v="3"/>
    <x v="19"/>
    <s v="Station_30"/>
    <s v="Station_41"/>
    <d v="1899-12-30T04:02:00"/>
    <d v="1899-12-30T04:27:00"/>
    <n v="8"/>
    <n v="2"/>
    <x v="0"/>
    <n v="4.3"/>
    <n v="80"/>
    <n v="40"/>
    <n v="0.3"/>
    <x v="5"/>
    <n v="0"/>
    <n v="11"/>
    <x v="0"/>
    <x v="1"/>
    <x v="3"/>
    <x v="2"/>
    <x v="0"/>
    <x v="2"/>
  </r>
  <r>
    <s v="T00285"/>
    <d v="2023-01-04T00:00:00"/>
    <d v="1899-12-30T04:15:00"/>
    <x v="0"/>
    <x v="7"/>
    <s v="Station_6"/>
    <s v="Station_42"/>
    <d v="1899-12-30T04:18:00"/>
    <d v="1899-12-30T04:50:00"/>
    <n v="18"/>
    <n v="10"/>
    <x v="1"/>
    <n v="27.2"/>
    <n v="48"/>
    <n v="57"/>
    <n v="17.600000000000001"/>
    <x v="4"/>
    <n v="2000"/>
    <n v="22"/>
    <x v="0"/>
    <x v="0"/>
    <x v="3"/>
    <x v="3"/>
    <x v="1"/>
    <x v="2"/>
  </r>
  <r>
    <s v="T00286"/>
    <d v="2023-01-04T00:00:00"/>
    <d v="1899-12-30T04:30:00"/>
    <x v="2"/>
    <x v="0"/>
    <s v="Station_29"/>
    <s v="Station_47"/>
    <d v="1899-12-30T04:34:00"/>
    <d v="1899-12-30T05:04:00"/>
    <n v="15"/>
    <n v="13"/>
    <x v="2"/>
    <n v="2.2000000000000002"/>
    <n v="95"/>
    <n v="4"/>
    <n v="7.1"/>
    <x v="5"/>
    <n v="0"/>
    <n v="10"/>
    <x v="0"/>
    <x v="1"/>
    <x v="3"/>
    <x v="0"/>
    <x v="1"/>
    <x v="2"/>
  </r>
  <r>
    <s v="T00287"/>
    <d v="2023-01-04T00:00:00"/>
    <d v="1899-12-30T04:45:00"/>
    <x v="2"/>
    <x v="16"/>
    <s v="Station_8"/>
    <s v="Station_37"/>
    <d v="1899-12-30T04:48:00"/>
    <d v="1899-12-30T05:05:00"/>
    <n v="9"/>
    <n v="14"/>
    <x v="4"/>
    <n v="27.5"/>
    <n v="76"/>
    <n v="6"/>
    <n v="19.899999999999999"/>
    <x v="0"/>
    <n v="2000"/>
    <n v="51"/>
    <x v="0"/>
    <x v="0"/>
    <x v="3"/>
    <x v="3"/>
    <x v="1"/>
    <x v="1"/>
  </r>
  <r>
    <s v="T00288"/>
    <d v="2023-01-04T00:00:00"/>
    <d v="1899-12-30T05:00:00"/>
    <x v="2"/>
    <x v="15"/>
    <s v="Station_44"/>
    <s v="Station_16"/>
    <d v="1899-12-30T05:00:00"/>
    <d v="1899-12-30T05:41:00"/>
    <n v="2"/>
    <n v="16"/>
    <x v="4"/>
    <n v="32.6"/>
    <n v="94"/>
    <n v="21"/>
    <n v="8.8000000000000007"/>
    <x v="0"/>
    <n v="0"/>
    <n v="49"/>
    <x v="0"/>
    <x v="1"/>
    <x v="3"/>
    <x v="2"/>
    <x v="1"/>
    <x v="1"/>
  </r>
  <r>
    <s v="T00289"/>
    <d v="2023-01-04T00:00:00"/>
    <d v="1899-12-30T05:15:00"/>
    <x v="1"/>
    <x v="5"/>
    <s v="Station_45"/>
    <s v="Station_45"/>
    <d v="1899-12-30T05:15:00"/>
    <d v="1899-12-30T05:37:00"/>
    <n v="6"/>
    <n v="13"/>
    <x v="3"/>
    <n v="8.4"/>
    <n v="71"/>
    <n v="58"/>
    <n v="3.8"/>
    <x v="0"/>
    <n v="2000"/>
    <n v="56"/>
    <x v="0"/>
    <x v="1"/>
    <x v="3"/>
    <x v="2"/>
    <x v="1"/>
    <x v="1"/>
  </r>
  <r>
    <s v="T00290"/>
    <d v="2023-01-04T00:00:00"/>
    <d v="1899-12-30T05:30:00"/>
    <x v="2"/>
    <x v="1"/>
    <s v="Station_43"/>
    <s v="Station_22"/>
    <d v="1899-12-30T05:30:00"/>
    <d v="1899-12-30T06:27:00"/>
    <n v="17"/>
    <n v="12"/>
    <x v="0"/>
    <n v="16.2"/>
    <n v="67"/>
    <n v="46"/>
    <n v="15.5"/>
    <x v="4"/>
    <n v="0"/>
    <n v="63"/>
    <x v="0"/>
    <x v="1"/>
    <x v="3"/>
    <x v="3"/>
    <x v="1"/>
    <x v="1"/>
  </r>
  <r>
    <s v="T00291"/>
    <d v="2023-01-04T00:00:00"/>
    <d v="1899-12-30T05:45:00"/>
    <x v="0"/>
    <x v="8"/>
    <s v="Station_44"/>
    <s v="Station_20"/>
    <d v="1899-12-30T05:48:00"/>
    <d v="1899-12-30T06:18:00"/>
    <n v="15"/>
    <n v="28"/>
    <x v="0"/>
    <n v="21.3"/>
    <n v="42"/>
    <n v="52"/>
    <n v="18.5"/>
    <x v="0"/>
    <n v="0"/>
    <n v="45"/>
    <x v="0"/>
    <x v="0"/>
    <x v="3"/>
    <x v="3"/>
    <x v="1"/>
    <x v="1"/>
  </r>
  <r>
    <s v="T00292"/>
    <d v="2023-01-04T00:00:00"/>
    <d v="1899-12-30T06:00:00"/>
    <x v="2"/>
    <x v="0"/>
    <s v="Station_33"/>
    <s v="Station_50"/>
    <d v="1899-12-30T06:01:00"/>
    <d v="1899-12-30T06:55:00"/>
    <n v="16"/>
    <n v="5"/>
    <x v="2"/>
    <n v="-1.8"/>
    <n v="73"/>
    <n v="53"/>
    <n v="16.3"/>
    <x v="0"/>
    <n v="50000"/>
    <n v="28"/>
    <x v="0"/>
    <x v="0"/>
    <x v="3"/>
    <x v="1"/>
    <x v="0"/>
    <x v="2"/>
  </r>
  <r>
    <s v="T00293"/>
    <d v="2023-01-04T00:00:00"/>
    <d v="1899-12-30T06:15:00"/>
    <x v="3"/>
    <x v="1"/>
    <s v="Station_17"/>
    <s v="Station_43"/>
    <d v="1899-12-30T06:19:00"/>
    <d v="1899-12-30T06:52:00"/>
    <n v="0"/>
    <n v="23"/>
    <x v="1"/>
    <n v="14.8"/>
    <n v="53"/>
    <n v="3"/>
    <n v="14.9"/>
    <x v="0"/>
    <n v="2000"/>
    <n v="69"/>
    <x v="0"/>
    <x v="1"/>
    <x v="3"/>
    <x v="1"/>
    <x v="1"/>
    <x v="0"/>
  </r>
  <r>
    <s v="T00294"/>
    <d v="2023-01-04T00:00:00"/>
    <d v="1899-12-30T06:30:00"/>
    <x v="3"/>
    <x v="2"/>
    <s v="Station_48"/>
    <s v="Station_27"/>
    <d v="1899-12-30T06:33:00"/>
    <d v="1899-12-30T07:07:00"/>
    <n v="6"/>
    <n v="29"/>
    <x v="4"/>
    <n v="9.4"/>
    <n v="59"/>
    <n v="31"/>
    <n v="6.7"/>
    <x v="0"/>
    <n v="0"/>
    <n v="45"/>
    <x v="0"/>
    <x v="1"/>
    <x v="3"/>
    <x v="0"/>
    <x v="1"/>
    <x v="1"/>
  </r>
  <r>
    <s v="T00295"/>
    <d v="2023-01-04T00:00:00"/>
    <d v="1899-12-30T06:45:00"/>
    <x v="1"/>
    <x v="4"/>
    <s v="Station_11"/>
    <s v="Station_41"/>
    <d v="1899-12-30T06:46:00"/>
    <d v="1899-12-30T07:07:00"/>
    <n v="1"/>
    <n v="6"/>
    <x v="3"/>
    <n v="29.9"/>
    <n v="99"/>
    <n v="18"/>
    <n v="1.3"/>
    <x v="0"/>
    <n v="500"/>
    <n v="15"/>
    <x v="0"/>
    <x v="1"/>
    <x v="3"/>
    <x v="1"/>
    <x v="1"/>
    <x v="2"/>
  </r>
  <r>
    <s v="T00296"/>
    <d v="2023-01-04T00:00:00"/>
    <d v="1899-12-30T07:00:00"/>
    <x v="3"/>
    <x v="13"/>
    <s v="Station_13"/>
    <s v="Station_16"/>
    <d v="1899-12-30T07:01:00"/>
    <d v="1899-12-30T07:29:00"/>
    <n v="14"/>
    <n v="13"/>
    <x v="0"/>
    <n v="30.1"/>
    <n v="67"/>
    <n v="44"/>
    <n v="4"/>
    <x v="0"/>
    <n v="500"/>
    <n v="97"/>
    <x v="0"/>
    <x v="1"/>
    <x v="3"/>
    <x v="0"/>
    <x v="1"/>
    <x v="0"/>
  </r>
  <r>
    <s v="T00297"/>
    <d v="2023-01-04T00:00:00"/>
    <d v="1899-12-30T07:15:00"/>
    <x v="0"/>
    <x v="5"/>
    <s v="Station_50"/>
    <s v="Station_34"/>
    <d v="1899-12-30T07:18:00"/>
    <d v="1899-12-30T08:13:00"/>
    <n v="14"/>
    <n v="13"/>
    <x v="4"/>
    <n v="23"/>
    <n v="52"/>
    <n v="32"/>
    <n v="8.9"/>
    <x v="5"/>
    <n v="0"/>
    <n v="50"/>
    <x v="0"/>
    <x v="1"/>
    <x v="3"/>
    <x v="0"/>
    <x v="1"/>
    <x v="1"/>
  </r>
  <r>
    <s v="T00298"/>
    <d v="2023-01-04T00:00:00"/>
    <d v="1899-12-30T07:30:00"/>
    <x v="2"/>
    <x v="4"/>
    <s v="Station_11"/>
    <s v="Station_32"/>
    <d v="1899-12-30T07:33:00"/>
    <d v="1899-12-30T07:50:00"/>
    <n v="-1"/>
    <n v="14"/>
    <x v="3"/>
    <n v="21.2"/>
    <n v="86"/>
    <n v="0"/>
    <n v="19.100000000000001"/>
    <x v="0"/>
    <n v="0"/>
    <n v="10"/>
    <x v="1"/>
    <x v="1"/>
    <x v="3"/>
    <x v="3"/>
    <x v="1"/>
    <x v="2"/>
  </r>
  <r>
    <s v="T00299"/>
    <d v="2023-01-04T00:00:00"/>
    <d v="1899-12-30T07:45:00"/>
    <x v="1"/>
    <x v="0"/>
    <s v="Station_31"/>
    <s v="Station_26"/>
    <d v="1899-12-30T07:46:00"/>
    <d v="1899-12-30T08:31:00"/>
    <n v="6"/>
    <n v="19"/>
    <x v="5"/>
    <n v="24.3"/>
    <n v="52"/>
    <n v="53"/>
    <n v="14.5"/>
    <x v="0"/>
    <n v="0"/>
    <n v="10"/>
    <x v="0"/>
    <x v="1"/>
    <x v="3"/>
    <x v="1"/>
    <x v="1"/>
    <x v="2"/>
  </r>
  <r>
    <s v="T00300"/>
    <d v="2023-01-04T00:00:00"/>
    <d v="1899-12-30T08:00:00"/>
    <x v="2"/>
    <x v="13"/>
    <s v="Station_28"/>
    <s v="Station_25"/>
    <d v="1899-12-30T08:01:00"/>
    <d v="1899-12-30T08:46:00"/>
    <n v="6"/>
    <n v="4"/>
    <x v="4"/>
    <n v="9.6"/>
    <n v="65"/>
    <n v="45"/>
    <n v="16.600000000000001"/>
    <x v="4"/>
    <n v="50000"/>
    <n v="62"/>
    <x v="0"/>
    <x v="0"/>
    <x v="3"/>
    <x v="2"/>
    <x v="0"/>
    <x v="1"/>
  </r>
  <r>
    <s v="T00301"/>
    <d v="2023-01-04T00:00:00"/>
    <d v="1899-12-30T08:15:00"/>
    <x v="2"/>
    <x v="8"/>
    <s v="Station_44"/>
    <s v="Station_2"/>
    <d v="1899-12-30T08:16:00"/>
    <d v="1899-12-30T08:45:00"/>
    <n v="2"/>
    <n v="9"/>
    <x v="1"/>
    <n v="11.2"/>
    <n v="86"/>
    <n v="40"/>
    <n v="5.5"/>
    <x v="5"/>
    <n v="0"/>
    <n v="52"/>
    <x v="0"/>
    <x v="0"/>
    <x v="3"/>
    <x v="2"/>
    <x v="1"/>
    <x v="1"/>
  </r>
  <r>
    <s v="T00302"/>
    <d v="2023-01-04T00:00:00"/>
    <d v="1899-12-30T08:30:00"/>
    <x v="0"/>
    <x v="14"/>
    <s v="Station_6"/>
    <s v="Station_12"/>
    <d v="1899-12-30T08:33:00"/>
    <d v="1899-12-30T08:54:00"/>
    <n v="12"/>
    <n v="19"/>
    <x v="3"/>
    <n v="17.100000000000001"/>
    <n v="30"/>
    <n v="55"/>
    <n v="13.7"/>
    <x v="4"/>
    <n v="0"/>
    <n v="88"/>
    <x v="0"/>
    <x v="1"/>
    <x v="3"/>
    <x v="3"/>
    <x v="1"/>
    <x v="0"/>
  </r>
  <r>
    <s v="T00303"/>
    <d v="2023-01-04T00:00:00"/>
    <d v="1899-12-30T08:45:00"/>
    <x v="3"/>
    <x v="12"/>
    <s v="Station_41"/>
    <s v="Station_40"/>
    <d v="1899-12-30T08:46:00"/>
    <d v="1899-12-30T09:11:00"/>
    <n v="12"/>
    <n v="16"/>
    <x v="1"/>
    <n v="32.5"/>
    <n v="32"/>
    <n v="43"/>
    <n v="17.2"/>
    <x v="0"/>
    <n v="0"/>
    <n v="57"/>
    <x v="0"/>
    <x v="0"/>
    <x v="3"/>
    <x v="2"/>
    <x v="1"/>
    <x v="1"/>
  </r>
  <r>
    <s v="T00304"/>
    <d v="2023-01-04T00:00:00"/>
    <d v="1899-12-30T09:00:00"/>
    <x v="3"/>
    <x v="15"/>
    <s v="Station_16"/>
    <s v="Station_9"/>
    <d v="1899-12-30T09:00:00"/>
    <d v="1899-12-30T09:38:00"/>
    <n v="0"/>
    <n v="18"/>
    <x v="4"/>
    <n v="24"/>
    <n v="43"/>
    <n v="49"/>
    <n v="9.6"/>
    <x v="5"/>
    <n v="0"/>
    <n v="18"/>
    <x v="0"/>
    <x v="1"/>
    <x v="3"/>
    <x v="2"/>
    <x v="1"/>
    <x v="2"/>
  </r>
  <r>
    <s v="T00305"/>
    <d v="2023-01-04T00:00:00"/>
    <d v="1899-12-30T09:15:00"/>
    <x v="2"/>
    <x v="1"/>
    <s v="Station_4"/>
    <s v="Station_12"/>
    <d v="1899-12-30T09:18:00"/>
    <d v="1899-12-30T10:03:00"/>
    <n v="16"/>
    <n v="19"/>
    <x v="5"/>
    <n v="17"/>
    <n v="63"/>
    <n v="40"/>
    <n v="8.6"/>
    <x v="0"/>
    <n v="0"/>
    <n v="31"/>
    <x v="0"/>
    <x v="0"/>
    <x v="3"/>
    <x v="3"/>
    <x v="1"/>
    <x v="2"/>
  </r>
  <r>
    <s v="T00306"/>
    <d v="2023-01-04T00:00:00"/>
    <d v="1899-12-30T09:30:00"/>
    <x v="1"/>
    <x v="15"/>
    <s v="Station_35"/>
    <s v="Station_26"/>
    <d v="1899-12-30T09:30:00"/>
    <d v="1899-12-30T10:04:00"/>
    <n v="0"/>
    <n v="-1"/>
    <x v="1"/>
    <n v="25.8"/>
    <n v="99"/>
    <n v="7"/>
    <n v="14.4"/>
    <x v="0"/>
    <n v="0"/>
    <n v="49"/>
    <x v="0"/>
    <x v="1"/>
    <x v="3"/>
    <x v="2"/>
    <x v="0"/>
    <x v="1"/>
  </r>
  <r>
    <s v="T00307"/>
    <d v="2023-01-04T00:00:00"/>
    <d v="1899-12-30T09:45:00"/>
    <x v="3"/>
    <x v="14"/>
    <s v="Station_48"/>
    <s v="Station_9"/>
    <d v="1899-12-30T09:47:00"/>
    <d v="1899-12-30T10:39:00"/>
    <n v="3"/>
    <n v="29"/>
    <x v="0"/>
    <n v="9.8000000000000007"/>
    <n v="98"/>
    <n v="31"/>
    <n v="11.2"/>
    <x v="4"/>
    <n v="0"/>
    <n v="71"/>
    <x v="0"/>
    <x v="0"/>
    <x v="3"/>
    <x v="3"/>
    <x v="1"/>
    <x v="0"/>
  </r>
  <r>
    <s v="T00308"/>
    <d v="2023-01-04T00:00:00"/>
    <d v="1899-12-30T10:00:00"/>
    <x v="1"/>
    <x v="13"/>
    <s v="Station_26"/>
    <s v="Station_10"/>
    <d v="1899-12-30T10:03:00"/>
    <d v="1899-12-30T10:56:00"/>
    <n v="1"/>
    <n v="13"/>
    <x v="3"/>
    <n v="24.2"/>
    <n v="80"/>
    <n v="29"/>
    <n v="19.899999999999999"/>
    <x v="1"/>
    <n v="50000"/>
    <n v="54"/>
    <x v="0"/>
    <x v="1"/>
    <x v="3"/>
    <x v="0"/>
    <x v="1"/>
    <x v="1"/>
  </r>
  <r>
    <s v="T00309"/>
    <d v="2023-01-04T00:00:00"/>
    <d v="1899-12-30T10:15:00"/>
    <x v="3"/>
    <x v="0"/>
    <s v="Station_12"/>
    <s v="Station_32"/>
    <d v="1899-12-30T10:17:00"/>
    <d v="1899-12-30T10:46:00"/>
    <n v="10"/>
    <n v="15"/>
    <x v="4"/>
    <n v="11.4"/>
    <n v="58"/>
    <n v="45"/>
    <n v="8.5"/>
    <x v="0"/>
    <n v="50000"/>
    <n v="75"/>
    <x v="0"/>
    <x v="1"/>
    <x v="3"/>
    <x v="1"/>
    <x v="1"/>
    <x v="0"/>
  </r>
  <r>
    <s v="T00310"/>
    <d v="2023-01-04T00:00:00"/>
    <d v="1899-12-30T10:30:00"/>
    <x v="1"/>
    <x v="13"/>
    <s v="Station_11"/>
    <s v="Station_34"/>
    <d v="1899-12-30T10:31:00"/>
    <d v="1899-12-30T11:19:00"/>
    <n v="10"/>
    <n v="26"/>
    <x v="5"/>
    <n v="6.2"/>
    <n v="77"/>
    <n v="27"/>
    <n v="3.5"/>
    <x v="5"/>
    <n v="0"/>
    <n v="40"/>
    <x v="0"/>
    <x v="1"/>
    <x v="3"/>
    <x v="2"/>
    <x v="1"/>
    <x v="1"/>
  </r>
  <r>
    <s v="T00311"/>
    <d v="2023-01-04T00:00:00"/>
    <d v="1899-12-30T10:45:00"/>
    <x v="0"/>
    <x v="12"/>
    <s v="Station_37"/>
    <s v="Station_48"/>
    <d v="1899-12-30T10:46:00"/>
    <d v="1899-12-30T11:24:00"/>
    <n v="8"/>
    <n v="19"/>
    <x v="0"/>
    <n v="19.399999999999999"/>
    <n v="45"/>
    <n v="40"/>
    <n v="9.4"/>
    <x v="4"/>
    <n v="0"/>
    <n v="98"/>
    <x v="0"/>
    <x v="1"/>
    <x v="3"/>
    <x v="3"/>
    <x v="1"/>
    <x v="0"/>
  </r>
  <r>
    <s v="T00312"/>
    <d v="2023-01-04T00:00:00"/>
    <d v="1899-12-30T11:00:00"/>
    <x v="1"/>
    <x v="5"/>
    <s v="Station_25"/>
    <s v="Station_20"/>
    <d v="1899-12-30T11:04:00"/>
    <d v="1899-12-30T11:56:00"/>
    <n v="2"/>
    <n v="11"/>
    <x v="4"/>
    <n v="22.5"/>
    <n v="86"/>
    <n v="51"/>
    <n v="4.7"/>
    <x v="5"/>
    <n v="10000"/>
    <n v="69"/>
    <x v="0"/>
    <x v="1"/>
    <x v="3"/>
    <x v="2"/>
    <x v="1"/>
    <x v="0"/>
  </r>
  <r>
    <s v="T00313"/>
    <d v="2023-01-04T00:00:00"/>
    <d v="1899-12-30T11:15:00"/>
    <x v="0"/>
    <x v="1"/>
    <s v="Station_18"/>
    <s v="Station_39"/>
    <d v="1899-12-30T11:16:00"/>
    <d v="1899-12-30T11:37:00"/>
    <n v="-2"/>
    <n v="10"/>
    <x v="5"/>
    <n v="13.4"/>
    <n v="39"/>
    <n v="31"/>
    <n v="11.2"/>
    <x v="0"/>
    <n v="0"/>
    <n v="20"/>
    <x v="0"/>
    <x v="1"/>
    <x v="3"/>
    <x v="1"/>
    <x v="1"/>
    <x v="2"/>
  </r>
  <r>
    <s v="T00314"/>
    <d v="2023-01-04T00:00:00"/>
    <d v="1899-12-30T11:30:00"/>
    <x v="0"/>
    <x v="14"/>
    <s v="Station_19"/>
    <s v="Station_2"/>
    <d v="1899-12-30T11:32:00"/>
    <d v="1899-12-30T11:58:00"/>
    <n v="6"/>
    <n v="-2"/>
    <x v="0"/>
    <n v="17.600000000000001"/>
    <n v="48"/>
    <n v="24"/>
    <n v="2.5"/>
    <x v="0"/>
    <n v="2000"/>
    <n v="25"/>
    <x v="0"/>
    <x v="0"/>
    <x v="3"/>
    <x v="2"/>
    <x v="0"/>
    <x v="2"/>
  </r>
  <r>
    <s v="T00315"/>
    <d v="2023-01-04T00:00:00"/>
    <d v="1899-12-30T11:45:00"/>
    <x v="1"/>
    <x v="18"/>
    <s v="Station_23"/>
    <s v="Station_1"/>
    <d v="1899-12-30T11:46:00"/>
    <d v="1899-12-30T12:43:00"/>
    <n v="14"/>
    <n v="14"/>
    <x v="1"/>
    <n v="22.8"/>
    <n v="96"/>
    <n v="33"/>
    <n v="19"/>
    <x v="0"/>
    <n v="10000"/>
    <n v="0"/>
    <x v="0"/>
    <x v="1"/>
    <x v="3"/>
    <x v="0"/>
    <x v="1"/>
    <x v="2"/>
  </r>
  <r>
    <s v="T00316"/>
    <d v="2023-01-04T00:00:00"/>
    <d v="1899-12-30T12:00:00"/>
    <x v="0"/>
    <x v="9"/>
    <s v="Station_38"/>
    <s v="Station_36"/>
    <d v="1899-12-30T12:03:00"/>
    <d v="1899-12-30T12:45:00"/>
    <n v="19"/>
    <n v="2"/>
    <x v="4"/>
    <n v="25.7"/>
    <n v="65"/>
    <n v="32"/>
    <n v="17.2"/>
    <x v="0"/>
    <n v="500"/>
    <n v="80"/>
    <x v="0"/>
    <x v="1"/>
    <x v="3"/>
    <x v="3"/>
    <x v="0"/>
    <x v="0"/>
  </r>
  <r>
    <s v="T00317"/>
    <d v="2023-01-04T00:00:00"/>
    <d v="1899-12-30T12:15:00"/>
    <x v="2"/>
    <x v="7"/>
    <s v="Station_18"/>
    <s v="Station_24"/>
    <d v="1899-12-30T12:16:00"/>
    <d v="1899-12-30T12:36:00"/>
    <n v="-2"/>
    <n v="28"/>
    <x v="4"/>
    <n v="30.8"/>
    <n v="33"/>
    <n v="12"/>
    <n v="3.1"/>
    <x v="0"/>
    <n v="0"/>
    <n v="98"/>
    <x v="0"/>
    <x v="1"/>
    <x v="3"/>
    <x v="1"/>
    <x v="1"/>
    <x v="0"/>
  </r>
  <r>
    <s v="T00318"/>
    <d v="2023-01-04T00:00:00"/>
    <d v="1899-12-30T12:30:00"/>
    <x v="0"/>
    <x v="2"/>
    <s v="Station_26"/>
    <s v="Station_27"/>
    <d v="1899-12-30T12:34:00"/>
    <d v="1899-12-30T13:12:00"/>
    <n v="0"/>
    <n v="17"/>
    <x v="1"/>
    <n v="9.1999999999999993"/>
    <n v="62"/>
    <n v="24"/>
    <n v="3.4"/>
    <x v="1"/>
    <n v="50000"/>
    <n v="26"/>
    <x v="0"/>
    <x v="1"/>
    <x v="3"/>
    <x v="0"/>
    <x v="1"/>
    <x v="2"/>
  </r>
  <r>
    <s v="T00319"/>
    <d v="2023-01-04T00:00:00"/>
    <d v="1899-12-30T12:45:00"/>
    <x v="3"/>
    <x v="16"/>
    <s v="Station_6"/>
    <s v="Station_2"/>
    <d v="1899-12-30T12:46:00"/>
    <d v="1899-12-30T13:27:00"/>
    <n v="12"/>
    <n v="24"/>
    <x v="2"/>
    <n v="33.1"/>
    <n v="57"/>
    <n v="41"/>
    <n v="10.199999999999999"/>
    <x v="4"/>
    <n v="10000"/>
    <n v="49"/>
    <x v="0"/>
    <x v="1"/>
    <x v="3"/>
    <x v="2"/>
    <x v="1"/>
    <x v="1"/>
  </r>
  <r>
    <s v="T00320"/>
    <d v="2023-01-04T00:00:00"/>
    <d v="1899-12-30T13:00:00"/>
    <x v="1"/>
    <x v="4"/>
    <s v="Station_4"/>
    <s v="Station_31"/>
    <d v="1899-12-30T13:02:00"/>
    <d v="1899-12-30T13:40:00"/>
    <n v="18"/>
    <n v="23"/>
    <x v="0"/>
    <n v="20.5"/>
    <n v="38"/>
    <n v="39"/>
    <n v="15.5"/>
    <x v="0"/>
    <n v="2000"/>
    <n v="65"/>
    <x v="0"/>
    <x v="0"/>
    <x v="3"/>
    <x v="2"/>
    <x v="1"/>
    <x v="1"/>
  </r>
  <r>
    <s v="T00321"/>
    <d v="2023-01-04T00:00:00"/>
    <d v="1899-12-30T13:15:00"/>
    <x v="2"/>
    <x v="17"/>
    <s v="Station_44"/>
    <s v="Station_14"/>
    <d v="1899-12-30T13:17:00"/>
    <d v="1899-12-30T13:50:00"/>
    <n v="7"/>
    <n v="-2"/>
    <x v="1"/>
    <n v="26.5"/>
    <n v="35"/>
    <n v="38"/>
    <n v="4.4000000000000004"/>
    <x v="0"/>
    <n v="0"/>
    <n v="99"/>
    <x v="0"/>
    <x v="1"/>
    <x v="3"/>
    <x v="2"/>
    <x v="0"/>
    <x v="0"/>
  </r>
  <r>
    <s v="T00322"/>
    <d v="2023-01-04T00:00:00"/>
    <d v="1899-12-30T13:30:00"/>
    <x v="1"/>
    <x v="10"/>
    <s v="Station_29"/>
    <s v="Station_2"/>
    <d v="1899-12-30T13:31:00"/>
    <d v="1899-12-30T13:58:00"/>
    <n v="5"/>
    <n v="29"/>
    <x v="4"/>
    <n v="23"/>
    <n v="78"/>
    <n v="55"/>
    <n v="1.2"/>
    <x v="0"/>
    <n v="2000"/>
    <n v="64"/>
    <x v="0"/>
    <x v="1"/>
    <x v="3"/>
    <x v="1"/>
    <x v="1"/>
    <x v="1"/>
  </r>
  <r>
    <s v="T00323"/>
    <d v="2023-01-04T00:00:00"/>
    <d v="1899-12-30T13:45:00"/>
    <x v="3"/>
    <x v="5"/>
    <s v="Station_34"/>
    <s v="Station_29"/>
    <d v="1899-12-30T13:47:00"/>
    <d v="1899-12-30T14:17:00"/>
    <n v="9"/>
    <n v="12"/>
    <x v="0"/>
    <n v="3.2"/>
    <n v="51"/>
    <n v="43"/>
    <n v="10.9"/>
    <x v="5"/>
    <n v="0"/>
    <n v="9"/>
    <x v="0"/>
    <x v="1"/>
    <x v="3"/>
    <x v="3"/>
    <x v="1"/>
    <x v="2"/>
  </r>
  <r>
    <s v="T00324"/>
    <d v="2023-01-04T00:00:00"/>
    <d v="1899-12-30T14:00:00"/>
    <x v="3"/>
    <x v="4"/>
    <s v="Station_17"/>
    <s v="Station_15"/>
    <d v="1899-12-30T14:02:00"/>
    <d v="1899-12-30T14:47:00"/>
    <n v="19"/>
    <n v="18"/>
    <x v="0"/>
    <n v="-2.1"/>
    <n v="77"/>
    <n v="48"/>
    <n v="13.8"/>
    <x v="0"/>
    <n v="0"/>
    <n v="94"/>
    <x v="0"/>
    <x v="1"/>
    <x v="3"/>
    <x v="1"/>
    <x v="1"/>
    <x v="0"/>
  </r>
  <r>
    <s v="T00325"/>
    <d v="2023-01-04T00:00:00"/>
    <d v="1899-12-30T14:15:00"/>
    <x v="3"/>
    <x v="8"/>
    <s v="Station_43"/>
    <s v="Station_12"/>
    <d v="1899-12-30T14:19:00"/>
    <d v="1899-12-30T15:01:00"/>
    <n v="12"/>
    <n v="9"/>
    <x v="2"/>
    <n v="24.1"/>
    <n v="50"/>
    <n v="56"/>
    <n v="4.9000000000000004"/>
    <x v="4"/>
    <n v="0"/>
    <n v="36"/>
    <x v="0"/>
    <x v="1"/>
    <x v="3"/>
    <x v="0"/>
    <x v="1"/>
    <x v="1"/>
  </r>
  <r>
    <s v="T00326"/>
    <d v="2023-01-04T00:00:00"/>
    <d v="1899-12-30T14:30:00"/>
    <x v="0"/>
    <x v="8"/>
    <s v="Station_43"/>
    <s v="Station_37"/>
    <d v="1899-12-30T14:33:00"/>
    <d v="1899-12-30T15:06:00"/>
    <n v="6"/>
    <n v="-2"/>
    <x v="4"/>
    <n v="15.4"/>
    <n v="62"/>
    <n v="43"/>
    <n v="14.8"/>
    <x v="4"/>
    <n v="50000"/>
    <n v="68"/>
    <x v="0"/>
    <x v="1"/>
    <x v="3"/>
    <x v="3"/>
    <x v="0"/>
    <x v="0"/>
  </r>
  <r>
    <s v="T00327"/>
    <d v="2023-01-04T00:00:00"/>
    <d v="1899-12-30T14:45:00"/>
    <x v="0"/>
    <x v="13"/>
    <s v="Station_16"/>
    <s v="Station_28"/>
    <d v="1899-12-30T14:49:00"/>
    <d v="1899-12-30T15:42:00"/>
    <n v="7"/>
    <n v="10"/>
    <x v="5"/>
    <n v="23.1"/>
    <n v="85"/>
    <n v="47"/>
    <n v="19"/>
    <x v="0"/>
    <n v="10000"/>
    <n v="40"/>
    <x v="0"/>
    <x v="0"/>
    <x v="3"/>
    <x v="1"/>
    <x v="1"/>
    <x v="1"/>
  </r>
  <r>
    <s v="T00328"/>
    <d v="2023-01-04T00:00:00"/>
    <d v="1899-12-30T15:00:00"/>
    <x v="1"/>
    <x v="0"/>
    <s v="Station_2"/>
    <s v="Station_20"/>
    <d v="1899-12-30T15:00:00"/>
    <d v="1899-12-30T15:55:00"/>
    <n v="17"/>
    <n v="24"/>
    <x v="2"/>
    <n v="14.1"/>
    <n v="58"/>
    <n v="9"/>
    <n v="2.7"/>
    <x v="0"/>
    <n v="2000"/>
    <n v="45"/>
    <x v="0"/>
    <x v="1"/>
    <x v="3"/>
    <x v="2"/>
    <x v="1"/>
    <x v="1"/>
  </r>
  <r>
    <s v="T00329"/>
    <d v="2023-01-04T00:00:00"/>
    <d v="1899-12-30T15:15:00"/>
    <x v="1"/>
    <x v="7"/>
    <s v="Station_34"/>
    <s v="Station_39"/>
    <d v="1899-12-30T15:19:00"/>
    <d v="1899-12-30T15:35:00"/>
    <n v="6"/>
    <n v="3"/>
    <x v="2"/>
    <n v="7.5"/>
    <n v="82"/>
    <n v="58"/>
    <n v="10.199999999999999"/>
    <x v="0"/>
    <n v="0"/>
    <n v="76"/>
    <x v="0"/>
    <x v="1"/>
    <x v="3"/>
    <x v="0"/>
    <x v="0"/>
    <x v="0"/>
  </r>
  <r>
    <s v="T00330"/>
    <d v="2023-01-04T00:00:00"/>
    <d v="1899-12-30T15:30:00"/>
    <x v="2"/>
    <x v="17"/>
    <s v="Station_8"/>
    <s v="Station_24"/>
    <d v="1899-12-30T15:31:00"/>
    <d v="1899-12-30T16:07:00"/>
    <n v="12"/>
    <n v="14"/>
    <x v="5"/>
    <n v="6.4"/>
    <n v="69"/>
    <n v="56"/>
    <n v="1.1000000000000001"/>
    <x v="2"/>
    <n v="0"/>
    <n v="44"/>
    <x v="1"/>
    <x v="1"/>
    <x v="3"/>
    <x v="2"/>
    <x v="1"/>
    <x v="1"/>
  </r>
  <r>
    <s v="T00331"/>
    <d v="2023-01-04T00:00:00"/>
    <d v="1899-12-30T15:45:00"/>
    <x v="2"/>
    <x v="10"/>
    <s v="Station_13"/>
    <s v="Station_21"/>
    <d v="1899-12-30T15:48:00"/>
    <d v="1899-12-30T16:13:00"/>
    <n v="18"/>
    <n v="0"/>
    <x v="5"/>
    <n v="24.2"/>
    <n v="47"/>
    <n v="30"/>
    <n v="4.0999999999999996"/>
    <x v="1"/>
    <n v="10000"/>
    <n v="87"/>
    <x v="0"/>
    <x v="0"/>
    <x v="3"/>
    <x v="1"/>
    <x v="0"/>
    <x v="0"/>
  </r>
  <r>
    <s v="T00332"/>
    <d v="2023-01-04T00:00:00"/>
    <d v="1899-12-30T16:00:00"/>
    <x v="1"/>
    <x v="19"/>
    <s v="Station_42"/>
    <s v="Station_10"/>
    <d v="1899-12-30T16:01:00"/>
    <d v="1899-12-30T16:32:00"/>
    <n v="18"/>
    <n v="26"/>
    <x v="2"/>
    <n v="6.1"/>
    <n v="76"/>
    <n v="43"/>
    <n v="1.8"/>
    <x v="1"/>
    <n v="0"/>
    <n v="26"/>
    <x v="0"/>
    <x v="0"/>
    <x v="3"/>
    <x v="0"/>
    <x v="1"/>
    <x v="2"/>
  </r>
  <r>
    <s v="T00333"/>
    <d v="2023-01-04T00:00:00"/>
    <d v="1899-12-30T16:15:00"/>
    <x v="0"/>
    <x v="7"/>
    <s v="Station_8"/>
    <s v="Station_46"/>
    <d v="1899-12-30T16:15:00"/>
    <d v="1899-12-30T17:14:00"/>
    <n v="-2"/>
    <n v="20"/>
    <x v="0"/>
    <n v="23.6"/>
    <n v="42"/>
    <n v="10"/>
    <n v="8.1"/>
    <x v="1"/>
    <n v="10000"/>
    <n v="64"/>
    <x v="0"/>
    <x v="1"/>
    <x v="3"/>
    <x v="3"/>
    <x v="1"/>
    <x v="1"/>
  </r>
  <r>
    <s v="T00334"/>
    <d v="2023-01-04T00:00:00"/>
    <d v="1899-12-30T16:30:00"/>
    <x v="3"/>
    <x v="9"/>
    <s v="Station_30"/>
    <s v="Station_14"/>
    <d v="1899-12-30T16:33:00"/>
    <d v="1899-12-30T17:04:00"/>
    <n v="-1"/>
    <n v="16"/>
    <x v="1"/>
    <n v="10.4"/>
    <n v="56"/>
    <n v="24"/>
    <n v="16.399999999999999"/>
    <x v="0"/>
    <n v="0"/>
    <n v="83"/>
    <x v="0"/>
    <x v="0"/>
    <x v="3"/>
    <x v="3"/>
    <x v="1"/>
    <x v="0"/>
  </r>
  <r>
    <s v="T00335"/>
    <d v="2023-01-04T00:00:00"/>
    <d v="1899-12-30T16:45:00"/>
    <x v="1"/>
    <x v="4"/>
    <s v="Station_32"/>
    <s v="Station_37"/>
    <d v="1899-12-30T16:47:00"/>
    <d v="1899-12-30T17:08:00"/>
    <n v="16"/>
    <n v="27"/>
    <x v="1"/>
    <n v="25.8"/>
    <n v="91"/>
    <n v="45"/>
    <n v="11.5"/>
    <x v="0"/>
    <n v="2000"/>
    <n v="7"/>
    <x v="0"/>
    <x v="1"/>
    <x v="3"/>
    <x v="1"/>
    <x v="1"/>
    <x v="2"/>
  </r>
  <r>
    <s v="T00336"/>
    <d v="2023-01-04T00:00:00"/>
    <d v="1899-12-30T17:00:00"/>
    <x v="2"/>
    <x v="17"/>
    <s v="Station_36"/>
    <s v="Station_18"/>
    <d v="1899-12-30T17:04:00"/>
    <d v="1899-12-30T17:52:00"/>
    <n v="11"/>
    <n v="20"/>
    <x v="2"/>
    <n v="0.7"/>
    <n v="74"/>
    <n v="53"/>
    <n v="4.5"/>
    <x v="5"/>
    <n v="10000"/>
    <n v="66"/>
    <x v="1"/>
    <x v="1"/>
    <x v="3"/>
    <x v="1"/>
    <x v="1"/>
    <x v="1"/>
  </r>
  <r>
    <s v="T00337"/>
    <d v="2023-01-04T00:00:00"/>
    <d v="1899-12-30T17:15:00"/>
    <x v="0"/>
    <x v="3"/>
    <s v="Station_47"/>
    <s v="Station_24"/>
    <d v="1899-12-30T17:16:00"/>
    <d v="1899-12-30T17:58:00"/>
    <n v="5"/>
    <n v="3"/>
    <x v="0"/>
    <n v="3.2"/>
    <n v="32"/>
    <n v="51"/>
    <n v="0.8"/>
    <x v="2"/>
    <n v="0"/>
    <n v="48"/>
    <x v="0"/>
    <x v="0"/>
    <x v="3"/>
    <x v="3"/>
    <x v="0"/>
    <x v="1"/>
  </r>
  <r>
    <s v="T00338"/>
    <d v="2023-01-04T00:00:00"/>
    <d v="1899-12-30T17:30:00"/>
    <x v="1"/>
    <x v="9"/>
    <s v="Station_30"/>
    <s v="Station_14"/>
    <d v="1899-12-30T17:30:00"/>
    <d v="1899-12-30T18:25:00"/>
    <n v="3"/>
    <n v="22"/>
    <x v="5"/>
    <n v="22.4"/>
    <n v="51"/>
    <n v="44"/>
    <n v="11.1"/>
    <x v="4"/>
    <n v="0"/>
    <n v="95"/>
    <x v="0"/>
    <x v="0"/>
    <x v="3"/>
    <x v="3"/>
    <x v="1"/>
    <x v="0"/>
  </r>
  <r>
    <s v="T00339"/>
    <d v="2023-01-04T00:00:00"/>
    <d v="1899-12-30T17:45:00"/>
    <x v="1"/>
    <x v="5"/>
    <s v="Station_1"/>
    <s v="Station_34"/>
    <d v="1899-12-30T17:47:00"/>
    <d v="1899-12-30T18:14:00"/>
    <n v="9"/>
    <n v="9"/>
    <x v="3"/>
    <n v="17.399999999999999"/>
    <n v="56"/>
    <n v="33"/>
    <n v="2.7"/>
    <x v="4"/>
    <n v="0"/>
    <n v="88"/>
    <x v="0"/>
    <x v="0"/>
    <x v="3"/>
    <x v="1"/>
    <x v="1"/>
    <x v="0"/>
  </r>
  <r>
    <s v="T00340"/>
    <d v="2023-01-04T00:00:00"/>
    <d v="1899-12-30T18:00:00"/>
    <x v="0"/>
    <x v="1"/>
    <s v="Station_43"/>
    <s v="Station_12"/>
    <d v="1899-12-30T18:04:00"/>
    <d v="1899-12-30T18:55:00"/>
    <n v="12"/>
    <n v="4"/>
    <x v="2"/>
    <n v="3.2"/>
    <n v="84"/>
    <n v="58"/>
    <n v="6.9"/>
    <x v="0"/>
    <n v="50000"/>
    <n v="88"/>
    <x v="0"/>
    <x v="0"/>
    <x v="3"/>
    <x v="3"/>
    <x v="0"/>
    <x v="0"/>
  </r>
  <r>
    <s v="T00341"/>
    <d v="2023-01-04T00:00:00"/>
    <d v="1899-12-30T18:15:00"/>
    <x v="1"/>
    <x v="13"/>
    <s v="Station_39"/>
    <s v="Station_22"/>
    <d v="1899-12-30T18:17:00"/>
    <d v="1899-12-30T18:54:00"/>
    <n v="11"/>
    <n v="1"/>
    <x v="4"/>
    <n v="31.1"/>
    <n v="96"/>
    <n v="19"/>
    <n v="10.199999999999999"/>
    <x v="0"/>
    <n v="500"/>
    <n v="13"/>
    <x v="1"/>
    <x v="0"/>
    <x v="3"/>
    <x v="0"/>
    <x v="0"/>
    <x v="2"/>
  </r>
  <r>
    <s v="T00342"/>
    <d v="2023-01-04T00:00:00"/>
    <d v="1899-12-30T18:30:00"/>
    <x v="0"/>
    <x v="0"/>
    <s v="Station_17"/>
    <s v="Station_6"/>
    <d v="1899-12-30T18:34:00"/>
    <d v="1899-12-30T19:00:00"/>
    <n v="18"/>
    <n v="9"/>
    <x v="0"/>
    <n v="6"/>
    <n v="62"/>
    <n v="6"/>
    <n v="18.100000000000001"/>
    <x v="4"/>
    <n v="2000"/>
    <n v="61"/>
    <x v="0"/>
    <x v="1"/>
    <x v="3"/>
    <x v="1"/>
    <x v="1"/>
    <x v="1"/>
  </r>
  <r>
    <s v="T00343"/>
    <d v="2023-01-04T00:00:00"/>
    <d v="1899-12-30T18:45:00"/>
    <x v="3"/>
    <x v="2"/>
    <s v="Station_20"/>
    <s v="Station_36"/>
    <d v="1899-12-30T18:48:00"/>
    <d v="1899-12-30T19:16:00"/>
    <n v="-2"/>
    <n v="25"/>
    <x v="4"/>
    <n v="11.8"/>
    <n v="31"/>
    <n v="32"/>
    <n v="1.6"/>
    <x v="5"/>
    <n v="0"/>
    <n v="42"/>
    <x v="0"/>
    <x v="1"/>
    <x v="3"/>
    <x v="0"/>
    <x v="1"/>
    <x v="1"/>
  </r>
  <r>
    <s v="T00344"/>
    <d v="2023-01-04T00:00:00"/>
    <d v="1899-12-30T19:00:00"/>
    <x v="0"/>
    <x v="14"/>
    <s v="Station_24"/>
    <s v="Station_45"/>
    <d v="1899-12-30T19:02:00"/>
    <d v="1899-12-30T19:37:00"/>
    <n v="8"/>
    <n v="16"/>
    <x v="4"/>
    <n v="3.1"/>
    <n v="75"/>
    <n v="56"/>
    <n v="13.4"/>
    <x v="0"/>
    <n v="2000"/>
    <n v="26"/>
    <x v="0"/>
    <x v="1"/>
    <x v="3"/>
    <x v="2"/>
    <x v="1"/>
    <x v="2"/>
  </r>
  <r>
    <s v="T00345"/>
    <d v="2023-01-04T00:00:00"/>
    <d v="1899-12-30T19:15:00"/>
    <x v="0"/>
    <x v="19"/>
    <s v="Station_50"/>
    <s v="Station_36"/>
    <d v="1899-12-30T19:17:00"/>
    <d v="1899-12-30T20:04:00"/>
    <n v="0"/>
    <n v="10"/>
    <x v="2"/>
    <n v="10.5"/>
    <n v="62"/>
    <n v="34"/>
    <n v="0.3"/>
    <x v="0"/>
    <n v="500"/>
    <n v="95"/>
    <x v="0"/>
    <x v="0"/>
    <x v="3"/>
    <x v="0"/>
    <x v="1"/>
    <x v="0"/>
  </r>
  <r>
    <s v="T00346"/>
    <d v="2023-01-04T00:00:00"/>
    <d v="1899-12-30T19:30:00"/>
    <x v="0"/>
    <x v="11"/>
    <s v="Station_22"/>
    <s v="Station_22"/>
    <d v="1899-12-30T19:32:00"/>
    <d v="1899-12-30T20:26:00"/>
    <n v="16"/>
    <n v="28"/>
    <x v="0"/>
    <n v="14.7"/>
    <n v="87"/>
    <n v="28"/>
    <n v="12.6"/>
    <x v="0"/>
    <n v="0"/>
    <n v="26"/>
    <x v="0"/>
    <x v="1"/>
    <x v="3"/>
    <x v="1"/>
    <x v="1"/>
    <x v="2"/>
  </r>
  <r>
    <s v="T00347"/>
    <d v="2023-01-04T00:00:00"/>
    <d v="1899-12-30T19:45:00"/>
    <x v="1"/>
    <x v="4"/>
    <s v="Station_29"/>
    <s v="Station_14"/>
    <d v="1899-12-30T19:48:00"/>
    <d v="1899-12-30T20:24:00"/>
    <n v="15"/>
    <n v="23"/>
    <x v="4"/>
    <n v="6.8"/>
    <n v="36"/>
    <n v="51"/>
    <n v="11"/>
    <x v="0"/>
    <n v="50000"/>
    <n v="67"/>
    <x v="0"/>
    <x v="1"/>
    <x v="3"/>
    <x v="2"/>
    <x v="1"/>
    <x v="0"/>
  </r>
  <r>
    <s v="T00348"/>
    <d v="2023-01-04T00:00:00"/>
    <d v="1899-12-30T20:00:00"/>
    <x v="1"/>
    <x v="8"/>
    <s v="Station_22"/>
    <s v="Station_16"/>
    <d v="1899-12-30T20:00:00"/>
    <d v="1899-12-30T20:44:00"/>
    <n v="17"/>
    <n v="21"/>
    <x v="0"/>
    <n v="25.8"/>
    <n v="44"/>
    <n v="11"/>
    <n v="16.2"/>
    <x v="0"/>
    <n v="0"/>
    <n v="74"/>
    <x v="0"/>
    <x v="0"/>
    <x v="3"/>
    <x v="3"/>
    <x v="1"/>
    <x v="0"/>
  </r>
  <r>
    <s v="T00349"/>
    <d v="2023-01-04T00:00:00"/>
    <d v="1899-12-30T20:15:00"/>
    <x v="0"/>
    <x v="19"/>
    <s v="Station_44"/>
    <s v="Station_36"/>
    <d v="1899-12-30T20:19:00"/>
    <d v="1899-12-30T20:46:00"/>
    <n v="-1"/>
    <n v="0"/>
    <x v="1"/>
    <n v="10.8"/>
    <n v="55"/>
    <n v="4"/>
    <n v="10.6"/>
    <x v="3"/>
    <n v="0"/>
    <n v="47"/>
    <x v="0"/>
    <x v="0"/>
    <x v="3"/>
    <x v="0"/>
    <x v="0"/>
    <x v="1"/>
  </r>
  <r>
    <s v="T00350"/>
    <d v="2023-01-04T00:00:00"/>
    <d v="1899-12-30T20:30:00"/>
    <x v="1"/>
    <x v="16"/>
    <s v="Station_9"/>
    <s v="Station_25"/>
    <d v="1899-12-30T20:32:00"/>
    <d v="1899-12-30T21:10:00"/>
    <n v="4"/>
    <n v="17"/>
    <x v="3"/>
    <n v="24.2"/>
    <n v="40"/>
    <n v="11"/>
    <n v="7.1"/>
    <x v="2"/>
    <n v="0"/>
    <n v="66"/>
    <x v="0"/>
    <x v="1"/>
    <x v="3"/>
    <x v="0"/>
    <x v="1"/>
    <x v="1"/>
  </r>
  <r>
    <s v="T00351"/>
    <d v="2023-01-04T00:00:00"/>
    <d v="1899-12-30T20:45:00"/>
    <x v="2"/>
    <x v="19"/>
    <s v="Station_37"/>
    <s v="Station_32"/>
    <d v="1899-12-30T20:48:00"/>
    <d v="1899-12-30T21:29:00"/>
    <n v="5"/>
    <n v="14"/>
    <x v="4"/>
    <n v="3.3"/>
    <n v="67"/>
    <n v="28"/>
    <n v="4.9000000000000004"/>
    <x v="5"/>
    <n v="0"/>
    <n v="24"/>
    <x v="0"/>
    <x v="1"/>
    <x v="3"/>
    <x v="1"/>
    <x v="1"/>
    <x v="2"/>
  </r>
  <r>
    <s v="T00352"/>
    <d v="2023-01-04T00:00:00"/>
    <d v="1899-12-30T21:00:00"/>
    <x v="2"/>
    <x v="19"/>
    <s v="Station_10"/>
    <s v="Station_33"/>
    <d v="1899-12-30T21:00:00"/>
    <d v="1899-12-30T21:30:00"/>
    <n v="16"/>
    <n v="11"/>
    <x v="4"/>
    <n v="10.1"/>
    <n v="56"/>
    <n v="34"/>
    <n v="1.7"/>
    <x v="4"/>
    <n v="500"/>
    <n v="63"/>
    <x v="0"/>
    <x v="1"/>
    <x v="3"/>
    <x v="3"/>
    <x v="1"/>
    <x v="1"/>
  </r>
  <r>
    <s v="T00353"/>
    <d v="2023-01-04T00:00:00"/>
    <d v="1899-12-30T21:15:00"/>
    <x v="1"/>
    <x v="9"/>
    <s v="Station_36"/>
    <s v="Station_45"/>
    <d v="1899-12-30T21:19:00"/>
    <d v="1899-12-30T21:43:00"/>
    <n v="19"/>
    <n v="20"/>
    <x v="0"/>
    <n v="-4.7"/>
    <n v="36"/>
    <n v="19"/>
    <n v="10.7"/>
    <x v="0"/>
    <n v="0"/>
    <n v="23"/>
    <x v="0"/>
    <x v="1"/>
    <x v="3"/>
    <x v="1"/>
    <x v="1"/>
    <x v="2"/>
  </r>
  <r>
    <s v="T00354"/>
    <d v="2023-01-04T00:00:00"/>
    <d v="1899-12-30T21:30:00"/>
    <x v="1"/>
    <x v="10"/>
    <s v="Station_37"/>
    <s v="Station_36"/>
    <d v="1899-12-30T21:33:00"/>
    <d v="1899-12-30T22:14:00"/>
    <n v="12"/>
    <n v="4"/>
    <x v="3"/>
    <n v="25.3"/>
    <n v="30"/>
    <n v="36"/>
    <n v="17.8"/>
    <x v="3"/>
    <n v="10000"/>
    <n v="8"/>
    <x v="0"/>
    <x v="1"/>
    <x v="3"/>
    <x v="3"/>
    <x v="0"/>
    <x v="2"/>
  </r>
  <r>
    <s v="T00355"/>
    <d v="2023-01-04T00:00:00"/>
    <d v="1899-12-30T21:45:00"/>
    <x v="0"/>
    <x v="19"/>
    <s v="Station_28"/>
    <s v="Station_20"/>
    <d v="1899-12-30T21:49:00"/>
    <d v="1899-12-30T22:39:00"/>
    <n v="7"/>
    <n v="24"/>
    <x v="1"/>
    <n v="20"/>
    <n v="50"/>
    <n v="59"/>
    <n v="10.3"/>
    <x v="0"/>
    <n v="0"/>
    <n v="7"/>
    <x v="0"/>
    <x v="0"/>
    <x v="3"/>
    <x v="1"/>
    <x v="1"/>
    <x v="2"/>
  </r>
  <r>
    <s v="T00356"/>
    <d v="2023-01-04T00:00:00"/>
    <d v="1899-12-30T22:00:00"/>
    <x v="3"/>
    <x v="10"/>
    <s v="Station_28"/>
    <s v="Station_18"/>
    <d v="1899-12-30T22:02:00"/>
    <d v="1899-12-30T22:51:00"/>
    <n v="19"/>
    <n v="17"/>
    <x v="4"/>
    <n v="27.7"/>
    <n v="59"/>
    <n v="0"/>
    <n v="14.8"/>
    <x v="5"/>
    <n v="0"/>
    <n v="94"/>
    <x v="0"/>
    <x v="1"/>
    <x v="3"/>
    <x v="3"/>
    <x v="1"/>
    <x v="0"/>
  </r>
  <r>
    <s v="T00357"/>
    <d v="2023-01-04T00:00:00"/>
    <d v="1899-12-30T22:15:00"/>
    <x v="1"/>
    <x v="14"/>
    <s v="Station_42"/>
    <s v="Station_38"/>
    <d v="1899-12-30T22:15:00"/>
    <d v="1899-12-30T22:48:00"/>
    <n v="-2"/>
    <n v="12"/>
    <x v="2"/>
    <n v="13.2"/>
    <n v="37"/>
    <n v="15"/>
    <n v="6"/>
    <x v="1"/>
    <n v="500"/>
    <n v="58"/>
    <x v="1"/>
    <x v="1"/>
    <x v="3"/>
    <x v="2"/>
    <x v="1"/>
    <x v="1"/>
  </r>
  <r>
    <s v="T00358"/>
    <d v="2023-01-04T00:00:00"/>
    <d v="1899-12-30T22:30:00"/>
    <x v="2"/>
    <x v="12"/>
    <s v="Station_43"/>
    <s v="Station_3"/>
    <d v="1899-12-30T22:33:00"/>
    <d v="1899-12-30T22:50:00"/>
    <n v="3"/>
    <n v="12"/>
    <x v="0"/>
    <n v="27"/>
    <n v="32"/>
    <n v="29"/>
    <n v="9"/>
    <x v="0"/>
    <n v="2000"/>
    <n v="16"/>
    <x v="0"/>
    <x v="1"/>
    <x v="3"/>
    <x v="1"/>
    <x v="1"/>
    <x v="2"/>
  </r>
  <r>
    <s v="T00359"/>
    <d v="2023-01-04T00:00:00"/>
    <d v="1899-12-30T22:45:00"/>
    <x v="0"/>
    <x v="16"/>
    <s v="Station_21"/>
    <s v="Station_23"/>
    <d v="1899-12-30T22:45:00"/>
    <d v="1899-12-30T23:21:00"/>
    <n v="10"/>
    <n v="13"/>
    <x v="0"/>
    <n v="20.9"/>
    <n v="84"/>
    <n v="8"/>
    <n v="6.5"/>
    <x v="0"/>
    <n v="0"/>
    <n v="42"/>
    <x v="0"/>
    <x v="1"/>
    <x v="3"/>
    <x v="2"/>
    <x v="1"/>
    <x v="1"/>
  </r>
  <r>
    <s v="T00360"/>
    <d v="2023-01-04T00:00:00"/>
    <d v="1899-12-30T23:00:00"/>
    <x v="1"/>
    <x v="7"/>
    <s v="Station_24"/>
    <s v="Station_32"/>
    <d v="1899-12-30T23:02:00"/>
    <d v="1899-12-30T23:44:00"/>
    <n v="11"/>
    <n v="5"/>
    <x v="4"/>
    <n v="-4.9000000000000004"/>
    <n v="44"/>
    <n v="41"/>
    <n v="2.2000000000000002"/>
    <x v="0"/>
    <n v="50000"/>
    <n v="94"/>
    <x v="0"/>
    <x v="1"/>
    <x v="3"/>
    <x v="1"/>
    <x v="0"/>
    <x v="0"/>
  </r>
  <r>
    <s v="T00361"/>
    <d v="2023-01-04T00:00:00"/>
    <d v="1899-12-30T23:15:00"/>
    <x v="2"/>
    <x v="12"/>
    <s v="Station_42"/>
    <s v="Station_45"/>
    <d v="1899-12-30T23:15:00"/>
    <d v="1899-12-30T23:42:00"/>
    <n v="0"/>
    <n v="25"/>
    <x v="1"/>
    <n v="5.0999999999999996"/>
    <n v="65"/>
    <n v="9"/>
    <n v="8.3000000000000007"/>
    <x v="0"/>
    <n v="500"/>
    <n v="67"/>
    <x v="0"/>
    <x v="0"/>
    <x v="3"/>
    <x v="1"/>
    <x v="1"/>
    <x v="0"/>
  </r>
  <r>
    <s v="T00362"/>
    <d v="2023-01-04T00:00:00"/>
    <d v="1899-12-30T23:30:00"/>
    <x v="2"/>
    <x v="13"/>
    <s v="Station_40"/>
    <s v="Station_16"/>
    <d v="1899-12-30T23:30:00"/>
    <d v="1899-12-30T23:54:00"/>
    <n v="8"/>
    <n v="14"/>
    <x v="4"/>
    <n v="14.8"/>
    <n v="35"/>
    <n v="12"/>
    <n v="15.3"/>
    <x v="0"/>
    <n v="0"/>
    <n v="3"/>
    <x v="0"/>
    <x v="0"/>
    <x v="3"/>
    <x v="1"/>
    <x v="1"/>
    <x v="2"/>
  </r>
  <r>
    <s v="T00363"/>
    <d v="2023-01-04T00:00:00"/>
    <d v="1899-12-30T23:45:00"/>
    <x v="3"/>
    <x v="8"/>
    <s v="Station_2"/>
    <s v="Station_5"/>
    <d v="1899-12-30T23:46:00"/>
    <d v="1899-12-30T00:09:00"/>
    <n v="0"/>
    <n v="8"/>
    <x v="5"/>
    <n v="19.7"/>
    <n v="71"/>
    <n v="47"/>
    <n v="7.9"/>
    <x v="5"/>
    <n v="0"/>
    <n v="7"/>
    <x v="0"/>
    <x v="1"/>
    <x v="3"/>
    <x v="0"/>
    <x v="1"/>
    <x v="2"/>
  </r>
  <r>
    <s v="T00364"/>
    <d v="2023-01-05T00:00:00"/>
    <d v="1899-12-30T00:00:00"/>
    <x v="0"/>
    <x v="0"/>
    <s v="Station_8"/>
    <s v="Station_4"/>
    <d v="1899-12-30T00:00:00"/>
    <d v="1899-12-30T00:54:00"/>
    <n v="16"/>
    <n v="15"/>
    <x v="4"/>
    <n v="-2.4"/>
    <n v="79"/>
    <n v="19"/>
    <n v="13"/>
    <x v="1"/>
    <n v="0"/>
    <n v="41"/>
    <x v="0"/>
    <x v="0"/>
    <x v="4"/>
    <x v="1"/>
    <x v="1"/>
    <x v="1"/>
  </r>
  <r>
    <s v="T00365"/>
    <d v="2023-01-05T00:00:00"/>
    <d v="1899-12-30T00:15:00"/>
    <x v="0"/>
    <x v="16"/>
    <s v="Station_48"/>
    <s v="Station_21"/>
    <d v="1899-12-30T00:19:00"/>
    <d v="1899-12-30T00:53:00"/>
    <n v="7"/>
    <n v="18"/>
    <x v="3"/>
    <n v="23.2"/>
    <n v="47"/>
    <n v="28"/>
    <n v="15.2"/>
    <x v="0"/>
    <n v="10000"/>
    <n v="48"/>
    <x v="0"/>
    <x v="1"/>
    <x v="4"/>
    <x v="3"/>
    <x v="1"/>
    <x v="1"/>
  </r>
  <r>
    <s v="T00366"/>
    <d v="2023-01-05T00:00:00"/>
    <d v="1899-12-30T00:30:00"/>
    <x v="3"/>
    <x v="11"/>
    <s v="Station_27"/>
    <s v="Station_40"/>
    <d v="1899-12-30T00:33:00"/>
    <d v="1899-12-30T01:12:00"/>
    <n v="12"/>
    <n v="11"/>
    <x v="3"/>
    <n v="16.7"/>
    <n v="79"/>
    <n v="56"/>
    <n v="6.5"/>
    <x v="0"/>
    <n v="0"/>
    <n v="5"/>
    <x v="0"/>
    <x v="1"/>
    <x v="4"/>
    <x v="0"/>
    <x v="1"/>
    <x v="2"/>
  </r>
  <r>
    <s v="T00367"/>
    <d v="2023-01-05T00:00:00"/>
    <d v="1899-12-30T00:45:00"/>
    <x v="3"/>
    <x v="1"/>
    <s v="Station_22"/>
    <s v="Station_14"/>
    <d v="1899-12-30T00:46:00"/>
    <d v="1899-12-30T01:13:00"/>
    <n v="8"/>
    <n v="-3"/>
    <x v="5"/>
    <n v="16"/>
    <n v="59"/>
    <n v="3"/>
    <n v="16"/>
    <x v="4"/>
    <n v="0"/>
    <n v="72"/>
    <x v="0"/>
    <x v="1"/>
    <x v="4"/>
    <x v="3"/>
    <x v="0"/>
    <x v="0"/>
  </r>
  <r>
    <s v="T00368"/>
    <d v="2023-01-05T00:00:00"/>
    <d v="1899-12-30T01:00:00"/>
    <x v="0"/>
    <x v="5"/>
    <s v="Station_37"/>
    <s v="Station_39"/>
    <d v="1899-12-30T01:03:00"/>
    <d v="1899-12-30T01:49:00"/>
    <n v="12"/>
    <n v="-2"/>
    <x v="3"/>
    <n v="6.7"/>
    <n v="68"/>
    <n v="45"/>
    <n v="6.8"/>
    <x v="0"/>
    <n v="0"/>
    <n v="41"/>
    <x v="0"/>
    <x v="1"/>
    <x v="4"/>
    <x v="3"/>
    <x v="0"/>
    <x v="1"/>
  </r>
  <r>
    <s v="T00369"/>
    <d v="2023-01-05T00:00:00"/>
    <d v="1899-12-30T01:15:00"/>
    <x v="0"/>
    <x v="4"/>
    <s v="Station_27"/>
    <s v="Station_31"/>
    <d v="1899-12-30T01:18:00"/>
    <d v="1899-12-30T01:50:00"/>
    <n v="10"/>
    <n v="4"/>
    <x v="3"/>
    <n v="18.8"/>
    <n v="41"/>
    <n v="48"/>
    <n v="5.0999999999999996"/>
    <x v="0"/>
    <n v="0"/>
    <n v="71"/>
    <x v="0"/>
    <x v="1"/>
    <x v="4"/>
    <x v="3"/>
    <x v="0"/>
    <x v="0"/>
  </r>
  <r>
    <s v="T00370"/>
    <d v="2023-01-05T00:00:00"/>
    <d v="1899-12-30T01:30:00"/>
    <x v="1"/>
    <x v="17"/>
    <s v="Station_29"/>
    <s v="Station_14"/>
    <d v="1899-12-30T01:32:00"/>
    <d v="1899-12-30T02:22:00"/>
    <n v="2"/>
    <n v="18"/>
    <x v="2"/>
    <n v="-3.9"/>
    <n v="88"/>
    <n v="27"/>
    <n v="4.4000000000000004"/>
    <x v="4"/>
    <n v="2000"/>
    <n v="31"/>
    <x v="0"/>
    <x v="1"/>
    <x v="4"/>
    <x v="3"/>
    <x v="1"/>
    <x v="2"/>
  </r>
  <r>
    <s v="T00371"/>
    <d v="2023-01-05T00:00:00"/>
    <d v="1899-12-30T01:45:00"/>
    <x v="1"/>
    <x v="15"/>
    <s v="Station_3"/>
    <s v="Station_6"/>
    <d v="1899-12-30T01:47:00"/>
    <d v="1899-12-30T02:06:00"/>
    <n v="1"/>
    <n v="21"/>
    <x v="0"/>
    <n v="-2.4"/>
    <n v="73"/>
    <n v="36"/>
    <n v="4"/>
    <x v="0"/>
    <n v="500"/>
    <n v="14"/>
    <x v="0"/>
    <x v="1"/>
    <x v="4"/>
    <x v="3"/>
    <x v="1"/>
    <x v="2"/>
  </r>
  <r>
    <s v="T00372"/>
    <d v="2023-01-05T00:00:00"/>
    <d v="1899-12-30T02:00:00"/>
    <x v="3"/>
    <x v="7"/>
    <s v="Station_44"/>
    <s v="Station_12"/>
    <d v="1899-12-30T02:01:00"/>
    <d v="1899-12-30T02:33:00"/>
    <n v="10"/>
    <n v="-2"/>
    <x v="3"/>
    <n v="24.4"/>
    <n v="33"/>
    <n v="12"/>
    <n v="14.7"/>
    <x v="0"/>
    <n v="0"/>
    <n v="81"/>
    <x v="0"/>
    <x v="1"/>
    <x v="4"/>
    <x v="2"/>
    <x v="0"/>
    <x v="0"/>
  </r>
  <r>
    <s v="T00373"/>
    <d v="2023-01-05T00:00:00"/>
    <d v="1899-12-30T02:15:00"/>
    <x v="1"/>
    <x v="9"/>
    <s v="Station_13"/>
    <s v="Station_16"/>
    <d v="1899-12-30T02:17:00"/>
    <d v="1899-12-30T02:35:00"/>
    <n v="6"/>
    <n v="5"/>
    <x v="0"/>
    <n v="7.9"/>
    <n v="65"/>
    <n v="56"/>
    <n v="17.8"/>
    <x v="0"/>
    <n v="0"/>
    <n v="86"/>
    <x v="0"/>
    <x v="1"/>
    <x v="4"/>
    <x v="0"/>
    <x v="0"/>
    <x v="0"/>
  </r>
  <r>
    <s v="T00374"/>
    <d v="2023-01-05T00:00:00"/>
    <d v="1899-12-30T02:30:00"/>
    <x v="2"/>
    <x v="7"/>
    <s v="Station_45"/>
    <s v="Station_17"/>
    <d v="1899-12-30T02:32:00"/>
    <d v="1899-12-30T03:15:00"/>
    <n v="14"/>
    <n v="5"/>
    <x v="1"/>
    <n v="8.9"/>
    <n v="77"/>
    <n v="2"/>
    <n v="4.5999999999999996"/>
    <x v="0"/>
    <n v="0"/>
    <n v="68"/>
    <x v="0"/>
    <x v="1"/>
    <x v="4"/>
    <x v="3"/>
    <x v="0"/>
    <x v="0"/>
  </r>
  <r>
    <s v="T00375"/>
    <d v="2023-01-05T00:00:00"/>
    <d v="1899-12-30T02:45:00"/>
    <x v="1"/>
    <x v="9"/>
    <s v="Station_10"/>
    <s v="Station_45"/>
    <d v="1899-12-30T02:47:00"/>
    <d v="1899-12-30T03:29:00"/>
    <n v="-1"/>
    <n v="9"/>
    <x v="4"/>
    <n v="3.3"/>
    <n v="43"/>
    <n v="36"/>
    <n v="1.7"/>
    <x v="0"/>
    <n v="2000"/>
    <n v="26"/>
    <x v="0"/>
    <x v="1"/>
    <x v="4"/>
    <x v="2"/>
    <x v="1"/>
    <x v="2"/>
  </r>
  <r>
    <s v="T00376"/>
    <d v="2023-01-05T00:00:00"/>
    <d v="1899-12-30T03:00:00"/>
    <x v="1"/>
    <x v="12"/>
    <s v="Station_36"/>
    <s v="Station_23"/>
    <d v="1899-12-30T03:03:00"/>
    <d v="1899-12-30T03:35:00"/>
    <n v="2"/>
    <n v="2"/>
    <x v="2"/>
    <n v="12.8"/>
    <n v="78"/>
    <n v="47"/>
    <n v="6.3"/>
    <x v="0"/>
    <n v="10000"/>
    <n v="96"/>
    <x v="0"/>
    <x v="1"/>
    <x v="4"/>
    <x v="2"/>
    <x v="0"/>
    <x v="0"/>
  </r>
  <r>
    <s v="T00377"/>
    <d v="2023-01-05T00:00:00"/>
    <d v="1899-12-30T03:15:00"/>
    <x v="2"/>
    <x v="9"/>
    <s v="Station_9"/>
    <s v="Station_14"/>
    <d v="1899-12-30T03:16:00"/>
    <d v="1899-12-30T03:49:00"/>
    <n v="13"/>
    <n v="26"/>
    <x v="5"/>
    <n v="-2.9"/>
    <n v="96"/>
    <n v="18"/>
    <n v="13.2"/>
    <x v="0"/>
    <n v="0"/>
    <n v="65"/>
    <x v="0"/>
    <x v="1"/>
    <x v="4"/>
    <x v="3"/>
    <x v="1"/>
    <x v="1"/>
  </r>
  <r>
    <s v="T00378"/>
    <d v="2023-01-05T00:00:00"/>
    <d v="1899-12-30T03:30:00"/>
    <x v="3"/>
    <x v="8"/>
    <s v="Station_27"/>
    <s v="Station_7"/>
    <d v="1899-12-30T03:33:00"/>
    <d v="1899-12-30T04:15:00"/>
    <n v="4"/>
    <n v="11"/>
    <x v="1"/>
    <n v="7"/>
    <n v="38"/>
    <n v="27"/>
    <n v="7.4"/>
    <x v="5"/>
    <n v="0"/>
    <n v="58"/>
    <x v="0"/>
    <x v="0"/>
    <x v="4"/>
    <x v="1"/>
    <x v="1"/>
    <x v="1"/>
  </r>
  <r>
    <s v="T00379"/>
    <d v="2023-01-05T00:00:00"/>
    <d v="1899-12-30T03:45:00"/>
    <x v="2"/>
    <x v="1"/>
    <s v="Station_34"/>
    <s v="Station_46"/>
    <d v="1899-12-30T03:49:00"/>
    <d v="1899-12-30T04:20:00"/>
    <n v="-2"/>
    <n v="11"/>
    <x v="2"/>
    <n v="16.100000000000001"/>
    <n v="50"/>
    <n v="18"/>
    <n v="11"/>
    <x v="1"/>
    <n v="0"/>
    <n v="27"/>
    <x v="0"/>
    <x v="1"/>
    <x v="4"/>
    <x v="3"/>
    <x v="1"/>
    <x v="2"/>
  </r>
  <r>
    <s v="T00380"/>
    <d v="2023-01-05T00:00:00"/>
    <d v="1899-12-30T04:00:00"/>
    <x v="1"/>
    <x v="4"/>
    <s v="Station_1"/>
    <s v="Station_32"/>
    <d v="1899-12-30T04:03:00"/>
    <d v="1899-12-30T04:33:00"/>
    <n v="9"/>
    <n v="3"/>
    <x v="2"/>
    <n v="13.6"/>
    <n v="45"/>
    <n v="16"/>
    <n v="14.9"/>
    <x v="4"/>
    <n v="50000"/>
    <n v="23"/>
    <x v="0"/>
    <x v="1"/>
    <x v="4"/>
    <x v="2"/>
    <x v="0"/>
    <x v="2"/>
  </r>
  <r>
    <s v="T00381"/>
    <d v="2023-01-05T00:00:00"/>
    <d v="1899-12-30T04:15:00"/>
    <x v="3"/>
    <x v="4"/>
    <s v="Station_32"/>
    <s v="Station_15"/>
    <d v="1899-12-30T04:19:00"/>
    <d v="1899-12-30T05:03:00"/>
    <n v="18"/>
    <n v="7"/>
    <x v="5"/>
    <n v="35"/>
    <n v="45"/>
    <n v="17"/>
    <n v="8.1999999999999993"/>
    <x v="0"/>
    <n v="0"/>
    <n v="50"/>
    <x v="0"/>
    <x v="1"/>
    <x v="4"/>
    <x v="3"/>
    <x v="1"/>
    <x v="1"/>
  </r>
  <r>
    <s v="T00382"/>
    <d v="2023-01-05T00:00:00"/>
    <d v="1899-12-30T04:30:00"/>
    <x v="1"/>
    <x v="8"/>
    <s v="Station_25"/>
    <s v="Station_44"/>
    <d v="1899-12-30T04:30:00"/>
    <d v="1899-12-30T05:13:00"/>
    <n v="8"/>
    <n v="-2"/>
    <x v="5"/>
    <n v="10.6"/>
    <n v="57"/>
    <n v="17"/>
    <n v="20"/>
    <x v="0"/>
    <n v="0"/>
    <n v="20"/>
    <x v="0"/>
    <x v="1"/>
    <x v="4"/>
    <x v="2"/>
    <x v="0"/>
    <x v="2"/>
  </r>
  <r>
    <s v="T00383"/>
    <d v="2023-01-05T00:00:00"/>
    <d v="1899-12-30T04:45:00"/>
    <x v="2"/>
    <x v="14"/>
    <s v="Station_29"/>
    <s v="Station_17"/>
    <d v="1899-12-30T04:45:00"/>
    <d v="1899-12-30T05:19:00"/>
    <n v="9"/>
    <n v="6"/>
    <x v="0"/>
    <n v="10.5"/>
    <n v="80"/>
    <n v="56"/>
    <n v="6"/>
    <x v="0"/>
    <n v="0"/>
    <n v="30"/>
    <x v="0"/>
    <x v="0"/>
    <x v="4"/>
    <x v="3"/>
    <x v="1"/>
    <x v="2"/>
  </r>
  <r>
    <s v="T00384"/>
    <d v="2023-01-05T00:00:00"/>
    <d v="1899-12-30T05:00:00"/>
    <x v="2"/>
    <x v="0"/>
    <s v="Station_7"/>
    <s v="Station_41"/>
    <d v="1899-12-30T05:04:00"/>
    <d v="1899-12-30T05:38:00"/>
    <n v="16"/>
    <n v="13"/>
    <x v="4"/>
    <n v="15.1"/>
    <n v="85"/>
    <n v="22"/>
    <n v="19.600000000000001"/>
    <x v="2"/>
    <n v="0"/>
    <n v="74"/>
    <x v="0"/>
    <x v="1"/>
    <x v="4"/>
    <x v="2"/>
    <x v="1"/>
    <x v="0"/>
  </r>
  <r>
    <s v="T00385"/>
    <d v="2023-01-05T00:00:00"/>
    <d v="1899-12-30T05:15:00"/>
    <x v="1"/>
    <x v="12"/>
    <s v="Station_49"/>
    <s v="Station_47"/>
    <d v="1899-12-30T05:19:00"/>
    <d v="1899-12-30T05:42:00"/>
    <n v="9"/>
    <n v="3"/>
    <x v="1"/>
    <n v="2.6"/>
    <n v="86"/>
    <n v="39"/>
    <n v="4.0999999999999996"/>
    <x v="0"/>
    <n v="500"/>
    <n v="49"/>
    <x v="0"/>
    <x v="1"/>
    <x v="4"/>
    <x v="3"/>
    <x v="0"/>
    <x v="1"/>
  </r>
  <r>
    <s v="T00386"/>
    <d v="2023-01-05T00:00:00"/>
    <d v="1899-12-30T05:30:00"/>
    <x v="0"/>
    <x v="17"/>
    <s v="Station_3"/>
    <s v="Station_44"/>
    <d v="1899-12-30T05:33:00"/>
    <d v="1899-12-30T06:23:00"/>
    <n v="9"/>
    <n v="0"/>
    <x v="4"/>
    <n v="30.1"/>
    <n v="81"/>
    <n v="49"/>
    <n v="2.2000000000000002"/>
    <x v="0"/>
    <n v="0"/>
    <n v="91"/>
    <x v="1"/>
    <x v="0"/>
    <x v="4"/>
    <x v="1"/>
    <x v="0"/>
    <x v="0"/>
  </r>
  <r>
    <s v="T00387"/>
    <d v="2023-01-05T00:00:00"/>
    <d v="1899-12-30T05:45:00"/>
    <x v="0"/>
    <x v="14"/>
    <s v="Station_20"/>
    <s v="Station_34"/>
    <d v="1899-12-30T05:49:00"/>
    <d v="1899-12-30T06:06:00"/>
    <n v="11"/>
    <n v="27"/>
    <x v="1"/>
    <n v="17.899999999999999"/>
    <n v="75"/>
    <n v="8"/>
    <n v="15"/>
    <x v="0"/>
    <n v="0"/>
    <n v="39"/>
    <x v="0"/>
    <x v="1"/>
    <x v="4"/>
    <x v="1"/>
    <x v="1"/>
    <x v="1"/>
  </r>
  <r>
    <s v="T00388"/>
    <d v="2023-01-05T00:00:00"/>
    <d v="1899-12-30T06:00:00"/>
    <x v="2"/>
    <x v="2"/>
    <s v="Station_20"/>
    <s v="Station_5"/>
    <d v="1899-12-30T06:01:00"/>
    <d v="1899-12-30T06:46:00"/>
    <n v="-1"/>
    <n v="21"/>
    <x v="2"/>
    <n v="2.7"/>
    <n v="67"/>
    <n v="28"/>
    <n v="14"/>
    <x v="5"/>
    <n v="500"/>
    <n v="67"/>
    <x v="1"/>
    <x v="1"/>
    <x v="4"/>
    <x v="2"/>
    <x v="1"/>
    <x v="0"/>
  </r>
  <r>
    <s v="T00389"/>
    <d v="2023-01-05T00:00:00"/>
    <d v="1899-12-30T06:15:00"/>
    <x v="2"/>
    <x v="18"/>
    <s v="Station_30"/>
    <s v="Station_45"/>
    <d v="1899-12-30T06:15:00"/>
    <d v="1899-12-30T06:44:00"/>
    <n v="-1"/>
    <n v="9"/>
    <x v="3"/>
    <n v="26.7"/>
    <n v="77"/>
    <n v="50"/>
    <n v="16.2"/>
    <x v="5"/>
    <n v="0"/>
    <n v="15"/>
    <x v="0"/>
    <x v="0"/>
    <x v="4"/>
    <x v="1"/>
    <x v="1"/>
    <x v="2"/>
  </r>
  <r>
    <s v="T00390"/>
    <d v="2023-01-05T00:00:00"/>
    <d v="1899-12-30T06:30:00"/>
    <x v="0"/>
    <x v="7"/>
    <s v="Station_35"/>
    <s v="Station_27"/>
    <d v="1899-12-30T06:30:00"/>
    <d v="1899-12-30T07:24:00"/>
    <n v="1"/>
    <n v="14"/>
    <x v="3"/>
    <n v="-3.6"/>
    <n v="70"/>
    <n v="41"/>
    <n v="6.9"/>
    <x v="0"/>
    <n v="0"/>
    <n v="75"/>
    <x v="0"/>
    <x v="0"/>
    <x v="4"/>
    <x v="1"/>
    <x v="1"/>
    <x v="0"/>
  </r>
  <r>
    <s v="T00391"/>
    <d v="2023-01-05T00:00:00"/>
    <d v="1899-12-30T06:45:00"/>
    <x v="0"/>
    <x v="15"/>
    <s v="Station_35"/>
    <s v="Station_23"/>
    <d v="1899-12-30T06:49:00"/>
    <d v="1899-12-30T07:27:00"/>
    <n v="17"/>
    <n v="17"/>
    <x v="5"/>
    <n v="34.299999999999997"/>
    <n v="88"/>
    <n v="28"/>
    <n v="18.600000000000001"/>
    <x v="1"/>
    <n v="0"/>
    <n v="85"/>
    <x v="0"/>
    <x v="1"/>
    <x v="4"/>
    <x v="0"/>
    <x v="1"/>
    <x v="0"/>
  </r>
  <r>
    <s v="T00392"/>
    <d v="2023-01-05T00:00:00"/>
    <d v="1899-12-30T07:00:00"/>
    <x v="1"/>
    <x v="9"/>
    <s v="Station_49"/>
    <s v="Station_40"/>
    <d v="1899-12-30T07:02:00"/>
    <d v="1899-12-30T07:27:00"/>
    <n v="13"/>
    <n v="-3"/>
    <x v="5"/>
    <n v="29.6"/>
    <n v="96"/>
    <n v="1"/>
    <n v="2.4"/>
    <x v="0"/>
    <n v="2000"/>
    <n v="98"/>
    <x v="0"/>
    <x v="1"/>
    <x v="4"/>
    <x v="3"/>
    <x v="0"/>
    <x v="0"/>
  </r>
  <r>
    <s v="T00393"/>
    <d v="2023-01-05T00:00:00"/>
    <d v="1899-12-30T07:15:00"/>
    <x v="1"/>
    <x v="11"/>
    <s v="Station_39"/>
    <s v="Station_14"/>
    <d v="1899-12-30T07:17:00"/>
    <d v="1899-12-30T08:02:00"/>
    <n v="7"/>
    <n v="4"/>
    <x v="2"/>
    <n v="18.2"/>
    <n v="95"/>
    <n v="59"/>
    <n v="0.6"/>
    <x v="0"/>
    <n v="0"/>
    <n v="62"/>
    <x v="0"/>
    <x v="0"/>
    <x v="4"/>
    <x v="3"/>
    <x v="0"/>
    <x v="1"/>
  </r>
  <r>
    <s v="T00394"/>
    <d v="2023-01-05T00:00:00"/>
    <d v="1899-12-30T07:30:00"/>
    <x v="0"/>
    <x v="13"/>
    <s v="Station_27"/>
    <s v="Station_15"/>
    <d v="1899-12-30T07:34:00"/>
    <d v="1899-12-30T08:12:00"/>
    <n v="10"/>
    <n v="17"/>
    <x v="2"/>
    <n v="-0.5"/>
    <n v="56"/>
    <n v="16"/>
    <n v="6"/>
    <x v="0"/>
    <n v="50000"/>
    <n v="55"/>
    <x v="0"/>
    <x v="1"/>
    <x v="4"/>
    <x v="1"/>
    <x v="1"/>
    <x v="1"/>
  </r>
  <r>
    <s v="T00395"/>
    <d v="2023-01-05T00:00:00"/>
    <d v="1899-12-30T07:45:00"/>
    <x v="1"/>
    <x v="17"/>
    <s v="Station_26"/>
    <s v="Station_43"/>
    <d v="1899-12-30T07:46:00"/>
    <d v="1899-12-30T08:08:00"/>
    <n v="-1"/>
    <n v="17"/>
    <x v="1"/>
    <n v="3.6"/>
    <n v="61"/>
    <n v="56"/>
    <n v="15.9"/>
    <x v="0"/>
    <n v="0"/>
    <n v="79"/>
    <x v="0"/>
    <x v="1"/>
    <x v="4"/>
    <x v="1"/>
    <x v="1"/>
    <x v="0"/>
  </r>
  <r>
    <s v="T00396"/>
    <d v="2023-01-05T00:00:00"/>
    <d v="1899-12-30T08:00:00"/>
    <x v="1"/>
    <x v="8"/>
    <s v="Station_14"/>
    <s v="Station_33"/>
    <d v="1899-12-30T08:02:00"/>
    <d v="1899-12-30T08:33:00"/>
    <n v="0"/>
    <n v="23"/>
    <x v="2"/>
    <n v="6.2"/>
    <n v="85"/>
    <n v="55"/>
    <n v="13.5"/>
    <x v="0"/>
    <n v="0"/>
    <n v="23"/>
    <x v="1"/>
    <x v="1"/>
    <x v="4"/>
    <x v="2"/>
    <x v="1"/>
    <x v="2"/>
  </r>
  <r>
    <s v="T00397"/>
    <d v="2023-01-05T00:00:00"/>
    <d v="1899-12-30T08:15:00"/>
    <x v="3"/>
    <x v="1"/>
    <s v="Station_17"/>
    <s v="Station_31"/>
    <d v="1899-12-30T08:19:00"/>
    <d v="1899-12-30T09:03:00"/>
    <n v="16"/>
    <n v="15"/>
    <x v="1"/>
    <n v="4.5999999999999996"/>
    <n v="39"/>
    <n v="44"/>
    <n v="8.6999999999999993"/>
    <x v="5"/>
    <n v="10000"/>
    <n v="98"/>
    <x v="1"/>
    <x v="1"/>
    <x v="4"/>
    <x v="3"/>
    <x v="1"/>
    <x v="0"/>
  </r>
  <r>
    <s v="T00398"/>
    <d v="2023-01-05T00:00:00"/>
    <d v="1899-12-30T08:30:00"/>
    <x v="1"/>
    <x v="1"/>
    <s v="Station_18"/>
    <s v="Station_35"/>
    <d v="1899-12-30T08:31:00"/>
    <d v="1899-12-30T08:50:00"/>
    <n v="3"/>
    <n v="19"/>
    <x v="4"/>
    <n v="14.9"/>
    <n v="69"/>
    <n v="30"/>
    <n v="5.0999999999999996"/>
    <x v="2"/>
    <n v="10000"/>
    <n v="27"/>
    <x v="0"/>
    <x v="1"/>
    <x v="4"/>
    <x v="0"/>
    <x v="1"/>
    <x v="2"/>
  </r>
  <r>
    <s v="T00399"/>
    <d v="2023-01-05T00:00:00"/>
    <d v="1899-12-30T08:45:00"/>
    <x v="2"/>
    <x v="10"/>
    <s v="Station_45"/>
    <s v="Station_17"/>
    <d v="1899-12-30T08:46:00"/>
    <d v="1899-12-30T09:08:00"/>
    <n v="16"/>
    <n v="1"/>
    <x v="5"/>
    <n v="32.799999999999997"/>
    <n v="46"/>
    <n v="27"/>
    <n v="1.2"/>
    <x v="0"/>
    <n v="0"/>
    <n v="92"/>
    <x v="0"/>
    <x v="1"/>
    <x v="4"/>
    <x v="0"/>
    <x v="0"/>
    <x v="0"/>
  </r>
  <r>
    <s v="T00400"/>
    <d v="2023-01-05T00:00:00"/>
    <d v="1899-12-30T09:00:00"/>
    <x v="1"/>
    <x v="10"/>
    <s v="Station_29"/>
    <s v="Station_28"/>
    <d v="1899-12-30T09:03:00"/>
    <d v="1899-12-30T09:51:00"/>
    <n v="18"/>
    <n v="4"/>
    <x v="5"/>
    <n v="12.8"/>
    <n v="87"/>
    <n v="42"/>
    <n v="6.8"/>
    <x v="0"/>
    <n v="50000"/>
    <n v="84"/>
    <x v="0"/>
    <x v="0"/>
    <x v="4"/>
    <x v="1"/>
    <x v="0"/>
    <x v="0"/>
  </r>
  <r>
    <s v="T00401"/>
    <d v="2023-01-05T00:00:00"/>
    <d v="1899-12-30T09:15:00"/>
    <x v="1"/>
    <x v="3"/>
    <s v="Station_20"/>
    <s v="Station_19"/>
    <d v="1899-12-30T09:16:00"/>
    <d v="1899-12-30T10:07:00"/>
    <n v="17"/>
    <n v="7"/>
    <x v="3"/>
    <n v="21.5"/>
    <n v="35"/>
    <n v="47"/>
    <n v="9.1999999999999993"/>
    <x v="0"/>
    <n v="0"/>
    <n v="88"/>
    <x v="0"/>
    <x v="1"/>
    <x v="4"/>
    <x v="2"/>
    <x v="1"/>
    <x v="0"/>
  </r>
  <r>
    <s v="T00402"/>
    <d v="2023-01-05T00:00:00"/>
    <d v="1899-12-30T09:30:00"/>
    <x v="0"/>
    <x v="3"/>
    <s v="Station_27"/>
    <s v="Station_46"/>
    <d v="1899-12-30T09:32:00"/>
    <d v="1899-12-30T10:15:00"/>
    <n v="16"/>
    <n v="12"/>
    <x v="3"/>
    <n v="22.5"/>
    <n v="68"/>
    <n v="51"/>
    <n v="13.7"/>
    <x v="0"/>
    <n v="500"/>
    <n v="30"/>
    <x v="0"/>
    <x v="1"/>
    <x v="4"/>
    <x v="2"/>
    <x v="1"/>
    <x v="2"/>
  </r>
  <r>
    <s v="T00403"/>
    <d v="2023-01-05T00:00:00"/>
    <d v="1899-12-30T09:45:00"/>
    <x v="2"/>
    <x v="13"/>
    <s v="Station_18"/>
    <s v="Station_23"/>
    <d v="1899-12-30T09:47:00"/>
    <d v="1899-12-30T10:21:00"/>
    <n v="5"/>
    <n v="20"/>
    <x v="5"/>
    <n v="29.9"/>
    <n v="47"/>
    <n v="38"/>
    <n v="12.9"/>
    <x v="5"/>
    <n v="0"/>
    <n v="14"/>
    <x v="0"/>
    <x v="1"/>
    <x v="4"/>
    <x v="3"/>
    <x v="1"/>
    <x v="2"/>
  </r>
  <r>
    <s v="T00404"/>
    <d v="2023-01-05T00:00:00"/>
    <d v="1899-12-30T10:00:00"/>
    <x v="1"/>
    <x v="18"/>
    <s v="Station_4"/>
    <s v="Station_32"/>
    <d v="1899-12-30T10:04:00"/>
    <d v="1899-12-30T10:58:00"/>
    <n v="11"/>
    <n v="17"/>
    <x v="4"/>
    <n v="-3.6"/>
    <n v="71"/>
    <n v="59"/>
    <n v="18.899999999999999"/>
    <x v="0"/>
    <n v="0"/>
    <n v="41"/>
    <x v="0"/>
    <x v="0"/>
    <x v="4"/>
    <x v="1"/>
    <x v="1"/>
    <x v="1"/>
  </r>
  <r>
    <s v="T00405"/>
    <d v="2023-01-05T00:00:00"/>
    <d v="1899-12-30T10:15:00"/>
    <x v="1"/>
    <x v="10"/>
    <s v="Station_1"/>
    <s v="Station_40"/>
    <d v="1899-12-30T10:19:00"/>
    <d v="1899-12-30T10:57:00"/>
    <n v="7"/>
    <n v="19"/>
    <x v="4"/>
    <n v="11.2"/>
    <n v="33"/>
    <n v="29"/>
    <n v="2"/>
    <x v="4"/>
    <n v="0"/>
    <n v="98"/>
    <x v="0"/>
    <x v="1"/>
    <x v="4"/>
    <x v="1"/>
    <x v="1"/>
    <x v="0"/>
  </r>
  <r>
    <s v="T00406"/>
    <d v="2023-01-05T00:00:00"/>
    <d v="1899-12-30T10:30:00"/>
    <x v="3"/>
    <x v="4"/>
    <s v="Station_50"/>
    <s v="Station_13"/>
    <d v="1899-12-30T10:31:00"/>
    <d v="1899-12-30T11:21:00"/>
    <n v="0"/>
    <n v="4"/>
    <x v="0"/>
    <n v="26.4"/>
    <n v="49"/>
    <n v="34"/>
    <n v="6.7"/>
    <x v="0"/>
    <n v="0"/>
    <n v="49"/>
    <x v="0"/>
    <x v="1"/>
    <x v="4"/>
    <x v="2"/>
    <x v="0"/>
    <x v="1"/>
  </r>
  <r>
    <s v="T00407"/>
    <d v="2023-01-05T00:00:00"/>
    <d v="1899-12-30T10:45:00"/>
    <x v="1"/>
    <x v="3"/>
    <s v="Station_1"/>
    <s v="Station_20"/>
    <d v="1899-12-30T10:45:00"/>
    <d v="1899-12-30T11:19:00"/>
    <n v="3"/>
    <n v="3"/>
    <x v="1"/>
    <n v="27.6"/>
    <n v="57"/>
    <n v="47"/>
    <n v="9.6"/>
    <x v="0"/>
    <n v="0"/>
    <n v="85"/>
    <x v="1"/>
    <x v="1"/>
    <x v="4"/>
    <x v="0"/>
    <x v="0"/>
    <x v="0"/>
  </r>
  <r>
    <s v="T00408"/>
    <d v="2023-01-05T00:00:00"/>
    <d v="1899-12-30T11:00:00"/>
    <x v="1"/>
    <x v="1"/>
    <s v="Station_26"/>
    <s v="Station_35"/>
    <d v="1899-12-30T11:03:00"/>
    <d v="1899-12-30T11:32:00"/>
    <n v="12"/>
    <n v="-2"/>
    <x v="3"/>
    <n v="32.1"/>
    <n v="69"/>
    <n v="50"/>
    <n v="13.4"/>
    <x v="0"/>
    <n v="0"/>
    <n v="4"/>
    <x v="0"/>
    <x v="1"/>
    <x v="4"/>
    <x v="0"/>
    <x v="0"/>
    <x v="2"/>
  </r>
  <r>
    <s v="T00409"/>
    <d v="2023-01-05T00:00:00"/>
    <d v="1899-12-30T11:15:00"/>
    <x v="3"/>
    <x v="8"/>
    <s v="Station_45"/>
    <s v="Station_5"/>
    <d v="1899-12-30T11:15:00"/>
    <d v="1899-12-30T11:36:00"/>
    <n v="15"/>
    <n v="26"/>
    <x v="1"/>
    <n v="23.1"/>
    <n v="94"/>
    <n v="19"/>
    <n v="9.9"/>
    <x v="5"/>
    <n v="50000"/>
    <n v="47"/>
    <x v="0"/>
    <x v="0"/>
    <x v="4"/>
    <x v="3"/>
    <x v="1"/>
    <x v="1"/>
  </r>
  <r>
    <s v="T00410"/>
    <d v="2023-01-05T00:00:00"/>
    <d v="1899-12-30T11:30:00"/>
    <x v="0"/>
    <x v="7"/>
    <s v="Station_20"/>
    <s v="Station_9"/>
    <d v="1899-12-30T11:31:00"/>
    <d v="1899-12-30T12:08:00"/>
    <n v="11"/>
    <n v="9"/>
    <x v="3"/>
    <n v="4.8"/>
    <n v="73"/>
    <n v="15"/>
    <n v="18.3"/>
    <x v="1"/>
    <n v="0"/>
    <n v="12"/>
    <x v="0"/>
    <x v="1"/>
    <x v="4"/>
    <x v="1"/>
    <x v="1"/>
    <x v="2"/>
  </r>
  <r>
    <s v="T00411"/>
    <d v="2023-01-05T00:00:00"/>
    <d v="1899-12-30T11:45:00"/>
    <x v="1"/>
    <x v="8"/>
    <s v="Station_23"/>
    <s v="Station_29"/>
    <d v="1899-12-30T11:46:00"/>
    <d v="1899-12-30T12:28:00"/>
    <n v="16"/>
    <n v="19"/>
    <x v="0"/>
    <n v="15.2"/>
    <n v="52"/>
    <n v="33"/>
    <n v="12.2"/>
    <x v="0"/>
    <n v="0"/>
    <n v="31"/>
    <x v="0"/>
    <x v="1"/>
    <x v="4"/>
    <x v="1"/>
    <x v="1"/>
    <x v="2"/>
  </r>
  <r>
    <s v="T00412"/>
    <d v="2023-01-05T00:00:00"/>
    <d v="1899-12-30T12:00:00"/>
    <x v="3"/>
    <x v="3"/>
    <s v="Station_10"/>
    <s v="Station_6"/>
    <d v="1899-12-30T12:00:00"/>
    <d v="1899-12-30T12:43:00"/>
    <n v="7"/>
    <n v="25"/>
    <x v="5"/>
    <n v="-3.7"/>
    <n v="86"/>
    <n v="13"/>
    <n v="0.8"/>
    <x v="2"/>
    <n v="2000"/>
    <n v="66"/>
    <x v="0"/>
    <x v="0"/>
    <x v="4"/>
    <x v="0"/>
    <x v="1"/>
    <x v="1"/>
  </r>
  <r>
    <s v="T00413"/>
    <d v="2023-01-05T00:00:00"/>
    <d v="1899-12-30T12:15:00"/>
    <x v="2"/>
    <x v="6"/>
    <s v="Station_11"/>
    <s v="Station_25"/>
    <d v="1899-12-30T12:18:00"/>
    <d v="1899-12-30T12:45:00"/>
    <n v="12"/>
    <n v="16"/>
    <x v="1"/>
    <n v="20.9"/>
    <n v="76"/>
    <n v="25"/>
    <n v="2.2999999999999998"/>
    <x v="5"/>
    <n v="0"/>
    <n v="78"/>
    <x v="0"/>
    <x v="1"/>
    <x v="4"/>
    <x v="1"/>
    <x v="1"/>
    <x v="0"/>
  </r>
  <r>
    <s v="T00414"/>
    <d v="2023-01-05T00:00:00"/>
    <d v="1899-12-30T12:30:00"/>
    <x v="0"/>
    <x v="9"/>
    <s v="Station_41"/>
    <s v="Station_31"/>
    <d v="1899-12-30T12:30:00"/>
    <d v="1899-12-30T13:11:00"/>
    <n v="1"/>
    <n v="29"/>
    <x v="3"/>
    <n v="17.2"/>
    <n v="42"/>
    <n v="19"/>
    <n v="15.1"/>
    <x v="0"/>
    <n v="0"/>
    <n v="90"/>
    <x v="0"/>
    <x v="1"/>
    <x v="4"/>
    <x v="1"/>
    <x v="1"/>
    <x v="0"/>
  </r>
  <r>
    <s v="T00415"/>
    <d v="2023-01-05T00:00:00"/>
    <d v="1899-12-30T12:45:00"/>
    <x v="2"/>
    <x v="15"/>
    <s v="Station_41"/>
    <s v="Station_22"/>
    <d v="1899-12-30T12:49:00"/>
    <d v="1899-12-30T13:19:00"/>
    <n v="-1"/>
    <n v="25"/>
    <x v="1"/>
    <n v="21.7"/>
    <n v="45"/>
    <n v="41"/>
    <n v="14.3"/>
    <x v="0"/>
    <n v="0"/>
    <n v="90"/>
    <x v="1"/>
    <x v="1"/>
    <x v="4"/>
    <x v="2"/>
    <x v="1"/>
    <x v="0"/>
  </r>
  <r>
    <s v="T00416"/>
    <d v="2023-01-05T00:00:00"/>
    <d v="1899-12-30T13:00:00"/>
    <x v="2"/>
    <x v="11"/>
    <s v="Station_5"/>
    <s v="Station_2"/>
    <d v="1899-12-30T13:02:00"/>
    <d v="1899-12-30T13:29:00"/>
    <n v="0"/>
    <n v="11"/>
    <x v="5"/>
    <n v="32.200000000000003"/>
    <n v="84"/>
    <n v="50"/>
    <n v="3.1"/>
    <x v="0"/>
    <n v="0"/>
    <n v="29"/>
    <x v="0"/>
    <x v="1"/>
    <x v="4"/>
    <x v="3"/>
    <x v="1"/>
    <x v="2"/>
  </r>
  <r>
    <s v="T00417"/>
    <d v="2023-01-05T00:00:00"/>
    <d v="1899-12-30T13:15:00"/>
    <x v="3"/>
    <x v="3"/>
    <s v="Station_1"/>
    <s v="Station_45"/>
    <d v="1899-12-30T13:19:00"/>
    <d v="1899-12-30T14:01:00"/>
    <n v="4"/>
    <n v="19"/>
    <x v="2"/>
    <n v="22.5"/>
    <n v="94"/>
    <n v="23"/>
    <n v="1.2"/>
    <x v="0"/>
    <n v="50000"/>
    <n v="5"/>
    <x v="0"/>
    <x v="1"/>
    <x v="4"/>
    <x v="3"/>
    <x v="1"/>
    <x v="2"/>
  </r>
  <r>
    <s v="T00418"/>
    <d v="2023-01-05T00:00:00"/>
    <d v="1899-12-30T13:30:00"/>
    <x v="1"/>
    <x v="15"/>
    <s v="Station_17"/>
    <s v="Station_5"/>
    <d v="1899-12-30T13:32:00"/>
    <d v="1899-12-30T13:58:00"/>
    <n v="13"/>
    <n v="-1"/>
    <x v="3"/>
    <n v="7.8"/>
    <n v="45"/>
    <n v="42"/>
    <n v="11.6"/>
    <x v="4"/>
    <n v="0"/>
    <n v="24"/>
    <x v="0"/>
    <x v="1"/>
    <x v="4"/>
    <x v="3"/>
    <x v="0"/>
    <x v="2"/>
  </r>
  <r>
    <s v="T00419"/>
    <d v="2023-01-05T00:00:00"/>
    <d v="1899-12-30T13:45:00"/>
    <x v="3"/>
    <x v="0"/>
    <s v="Station_22"/>
    <s v="Station_27"/>
    <d v="1899-12-30T13:46:00"/>
    <d v="1899-12-30T14:32:00"/>
    <n v="7"/>
    <n v="25"/>
    <x v="2"/>
    <n v="2.9"/>
    <n v="66"/>
    <n v="17"/>
    <n v="12.7"/>
    <x v="0"/>
    <n v="0"/>
    <n v="27"/>
    <x v="0"/>
    <x v="1"/>
    <x v="4"/>
    <x v="2"/>
    <x v="1"/>
    <x v="2"/>
  </r>
  <r>
    <s v="T00420"/>
    <d v="2023-01-05T00:00:00"/>
    <d v="1899-12-30T14:00:00"/>
    <x v="3"/>
    <x v="19"/>
    <s v="Station_34"/>
    <s v="Station_25"/>
    <d v="1899-12-30T14:03:00"/>
    <d v="1899-12-30T14:20:00"/>
    <n v="16"/>
    <n v="4"/>
    <x v="0"/>
    <n v="29.2"/>
    <n v="81"/>
    <n v="42"/>
    <n v="2.7"/>
    <x v="0"/>
    <n v="0"/>
    <n v="61"/>
    <x v="0"/>
    <x v="1"/>
    <x v="4"/>
    <x v="3"/>
    <x v="0"/>
    <x v="1"/>
  </r>
  <r>
    <s v="T00421"/>
    <d v="2023-01-05T00:00:00"/>
    <d v="1899-12-30T14:15:00"/>
    <x v="3"/>
    <x v="12"/>
    <s v="Station_45"/>
    <s v="Station_8"/>
    <d v="1899-12-30T14:15:00"/>
    <d v="1899-12-30T14:51:00"/>
    <n v="14"/>
    <n v="18"/>
    <x v="4"/>
    <n v="2.8"/>
    <n v="39"/>
    <n v="8"/>
    <n v="9.5"/>
    <x v="0"/>
    <n v="0"/>
    <n v="21"/>
    <x v="0"/>
    <x v="1"/>
    <x v="4"/>
    <x v="3"/>
    <x v="1"/>
    <x v="2"/>
  </r>
  <r>
    <s v="T00422"/>
    <d v="2023-01-05T00:00:00"/>
    <d v="1899-12-30T14:30:00"/>
    <x v="3"/>
    <x v="1"/>
    <s v="Station_41"/>
    <s v="Station_1"/>
    <d v="1899-12-30T14:33:00"/>
    <d v="1899-12-30T15:20:00"/>
    <n v="16"/>
    <n v="25"/>
    <x v="1"/>
    <n v="1.5"/>
    <n v="67"/>
    <n v="18"/>
    <n v="6.1"/>
    <x v="0"/>
    <n v="0"/>
    <n v="67"/>
    <x v="0"/>
    <x v="0"/>
    <x v="4"/>
    <x v="0"/>
    <x v="1"/>
    <x v="0"/>
  </r>
  <r>
    <s v="T00423"/>
    <d v="2023-01-05T00:00:00"/>
    <d v="1899-12-30T14:45:00"/>
    <x v="0"/>
    <x v="5"/>
    <s v="Station_29"/>
    <s v="Station_20"/>
    <d v="1899-12-30T14:45:00"/>
    <d v="1899-12-30T15:14:00"/>
    <n v="2"/>
    <n v="-2"/>
    <x v="3"/>
    <n v="3.3"/>
    <n v="73"/>
    <n v="19"/>
    <n v="18.600000000000001"/>
    <x v="0"/>
    <n v="500"/>
    <n v="14"/>
    <x v="0"/>
    <x v="0"/>
    <x v="4"/>
    <x v="0"/>
    <x v="0"/>
    <x v="2"/>
  </r>
  <r>
    <s v="T00424"/>
    <d v="2023-01-05T00:00:00"/>
    <d v="1899-12-30T15:00:00"/>
    <x v="1"/>
    <x v="14"/>
    <s v="Station_4"/>
    <s v="Station_44"/>
    <d v="1899-12-30T15:04:00"/>
    <d v="1899-12-30T15:56:00"/>
    <n v="17"/>
    <n v="-3"/>
    <x v="1"/>
    <n v="15.4"/>
    <n v="83"/>
    <n v="41"/>
    <n v="4.4000000000000004"/>
    <x v="4"/>
    <n v="2000"/>
    <n v="25"/>
    <x v="0"/>
    <x v="1"/>
    <x v="4"/>
    <x v="3"/>
    <x v="0"/>
    <x v="2"/>
  </r>
  <r>
    <s v="T00425"/>
    <d v="2023-01-05T00:00:00"/>
    <d v="1899-12-30T15:15:00"/>
    <x v="2"/>
    <x v="6"/>
    <s v="Station_5"/>
    <s v="Station_23"/>
    <d v="1899-12-30T15:19:00"/>
    <d v="1899-12-30T16:03:00"/>
    <n v="10"/>
    <n v="16"/>
    <x v="0"/>
    <n v="0"/>
    <n v="80"/>
    <n v="29"/>
    <n v="14.7"/>
    <x v="0"/>
    <n v="10000"/>
    <n v="62"/>
    <x v="0"/>
    <x v="0"/>
    <x v="4"/>
    <x v="2"/>
    <x v="1"/>
    <x v="1"/>
  </r>
  <r>
    <s v="T00426"/>
    <d v="2023-01-05T00:00:00"/>
    <d v="1899-12-30T15:30:00"/>
    <x v="2"/>
    <x v="18"/>
    <s v="Station_11"/>
    <s v="Station_32"/>
    <d v="1899-12-30T15:30:00"/>
    <d v="1899-12-30T16:07:00"/>
    <n v="10"/>
    <n v="17"/>
    <x v="0"/>
    <n v="32.5"/>
    <n v="81"/>
    <n v="25"/>
    <n v="10.4"/>
    <x v="0"/>
    <n v="0"/>
    <n v="17"/>
    <x v="0"/>
    <x v="1"/>
    <x v="4"/>
    <x v="2"/>
    <x v="1"/>
    <x v="2"/>
  </r>
  <r>
    <s v="T00427"/>
    <d v="2023-01-05T00:00:00"/>
    <d v="1899-12-30T15:45:00"/>
    <x v="1"/>
    <x v="1"/>
    <s v="Station_21"/>
    <s v="Station_11"/>
    <d v="1899-12-30T15:48:00"/>
    <d v="1899-12-30T16:42:00"/>
    <n v="8"/>
    <n v="4"/>
    <x v="1"/>
    <n v="33.700000000000003"/>
    <n v="99"/>
    <n v="30"/>
    <n v="0.2"/>
    <x v="0"/>
    <n v="0"/>
    <n v="72"/>
    <x v="0"/>
    <x v="1"/>
    <x v="4"/>
    <x v="2"/>
    <x v="0"/>
    <x v="0"/>
  </r>
  <r>
    <s v="T00428"/>
    <d v="2023-01-05T00:00:00"/>
    <d v="1899-12-30T16:00:00"/>
    <x v="2"/>
    <x v="14"/>
    <s v="Station_35"/>
    <s v="Station_39"/>
    <d v="1899-12-30T16:00:00"/>
    <d v="1899-12-30T16:58:00"/>
    <n v="8"/>
    <n v="23"/>
    <x v="3"/>
    <n v="34"/>
    <n v="88"/>
    <n v="34"/>
    <n v="10.3"/>
    <x v="5"/>
    <n v="50000"/>
    <n v="62"/>
    <x v="0"/>
    <x v="1"/>
    <x v="4"/>
    <x v="1"/>
    <x v="1"/>
    <x v="1"/>
  </r>
  <r>
    <s v="T00429"/>
    <d v="2023-01-05T00:00:00"/>
    <d v="1899-12-30T16:15:00"/>
    <x v="1"/>
    <x v="8"/>
    <s v="Station_12"/>
    <s v="Station_47"/>
    <d v="1899-12-30T16:16:00"/>
    <d v="1899-12-30T16:40:00"/>
    <n v="13"/>
    <n v="2"/>
    <x v="5"/>
    <n v="-3.4"/>
    <n v="42"/>
    <n v="2"/>
    <n v="2"/>
    <x v="0"/>
    <n v="0"/>
    <n v="61"/>
    <x v="0"/>
    <x v="1"/>
    <x v="4"/>
    <x v="1"/>
    <x v="0"/>
    <x v="1"/>
  </r>
  <r>
    <s v="T00430"/>
    <d v="2023-01-05T00:00:00"/>
    <d v="1899-12-30T16:30:00"/>
    <x v="2"/>
    <x v="5"/>
    <s v="Station_26"/>
    <s v="Station_24"/>
    <d v="1899-12-30T16:34:00"/>
    <d v="1899-12-30T17:29:00"/>
    <n v="12"/>
    <n v="15"/>
    <x v="5"/>
    <n v="32.799999999999997"/>
    <n v="70"/>
    <n v="55"/>
    <n v="13.2"/>
    <x v="0"/>
    <n v="50000"/>
    <n v="67"/>
    <x v="1"/>
    <x v="1"/>
    <x v="4"/>
    <x v="2"/>
    <x v="1"/>
    <x v="0"/>
  </r>
  <r>
    <s v="T00431"/>
    <d v="2023-01-05T00:00:00"/>
    <d v="1899-12-30T16:45:00"/>
    <x v="3"/>
    <x v="3"/>
    <s v="Station_19"/>
    <s v="Station_11"/>
    <d v="1899-12-30T16:46:00"/>
    <d v="1899-12-30T17:16:00"/>
    <n v="14"/>
    <n v="14"/>
    <x v="4"/>
    <n v="34.9"/>
    <n v="41"/>
    <n v="39"/>
    <n v="11.3"/>
    <x v="0"/>
    <n v="10000"/>
    <n v="47"/>
    <x v="0"/>
    <x v="1"/>
    <x v="4"/>
    <x v="0"/>
    <x v="1"/>
    <x v="1"/>
  </r>
  <r>
    <s v="T00432"/>
    <d v="2023-01-05T00:00:00"/>
    <d v="1899-12-30T17:00:00"/>
    <x v="2"/>
    <x v="9"/>
    <s v="Station_45"/>
    <s v="Station_29"/>
    <d v="1899-12-30T17:04:00"/>
    <d v="1899-12-30T17:33:00"/>
    <n v="19"/>
    <n v="-3"/>
    <x v="1"/>
    <n v="32.700000000000003"/>
    <n v="79"/>
    <n v="28"/>
    <n v="0.2"/>
    <x v="0"/>
    <n v="50000"/>
    <n v="49"/>
    <x v="0"/>
    <x v="1"/>
    <x v="4"/>
    <x v="1"/>
    <x v="0"/>
    <x v="1"/>
  </r>
  <r>
    <s v="T00433"/>
    <d v="2023-01-05T00:00:00"/>
    <d v="1899-12-30T17:15:00"/>
    <x v="1"/>
    <x v="18"/>
    <s v="Station_7"/>
    <s v="Station_26"/>
    <d v="1899-12-30T17:19:00"/>
    <d v="1899-12-30T17:44:00"/>
    <n v="15"/>
    <n v="21"/>
    <x v="1"/>
    <n v="21.8"/>
    <n v="86"/>
    <n v="5"/>
    <n v="4.0999999999999996"/>
    <x v="0"/>
    <n v="0"/>
    <n v="62"/>
    <x v="0"/>
    <x v="1"/>
    <x v="4"/>
    <x v="2"/>
    <x v="1"/>
    <x v="1"/>
  </r>
  <r>
    <s v="T00434"/>
    <d v="2023-01-05T00:00:00"/>
    <d v="1899-12-30T17:30:00"/>
    <x v="1"/>
    <x v="16"/>
    <s v="Station_47"/>
    <s v="Station_16"/>
    <d v="1899-12-30T17:32:00"/>
    <d v="1899-12-30T18:09:00"/>
    <n v="16"/>
    <n v="23"/>
    <x v="3"/>
    <n v="23"/>
    <n v="79"/>
    <n v="51"/>
    <n v="15.5"/>
    <x v="4"/>
    <n v="0"/>
    <n v="68"/>
    <x v="0"/>
    <x v="0"/>
    <x v="4"/>
    <x v="1"/>
    <x v="1"/>
    <x v="0"/>
  </r>
  <r>
    <s v="T00435"/>
    <d v="2023-01-05T00:00:00"/>
    <d v="1899-12-30T17:45:00"/>
    <x v="1"/>
    <x v="18"/>
    <s v="Station_7"/>
    <s v="Station_35"/>
    <d v="1899-12-30T17:46:00"/>
    <d v="1899-12-30T18:19:00"/>
    <n v="1"/>
    <n v="3"/>
    <x v="1"/>
    <n v="-0.1"/>
    <n v="86"/>
    <n v="0"/>
    <n v="5.5"/>
    <x v="2"/>
    <n v="500"/>
    <n v="5"/>
    <x v="0"/>
    <x v="1"/>
    <x v="4"/>
    <x v="1"/>
    <x v="0"/>
    <x v="2"/>
  </r>
  <r>
    <s v="T00436"/>
    <d v="2023-01-05T00:00:00"/>
    <d v="1899-12-30T18:00:00"/>
    <x v="1"/>
    <x v="16"/>
    <s v="Station_26"/>
    <s v="Station_20"/>
    <d v="1899-12-30T18:01:00"/>
    <d v="1899-12-30T18:50:00"/>
    <n v="19"/>
    <n v="25"/>
    <x v="3"/>
    <n v="30"/>
    <n v="83"/>
    <n v="51"/>
    <n v="10"/>
    <x v="0"/>
    <n v="2000"/>
    <n v="57"/>
    <x v="0"/>
    <x v="1"/>
    <x v="4"/>
    <x v="1"/>
    <x v="1"/>
    <x v="1"/>
  </r>
  <r>
    <s v="T00437"/>
    <d v="2023-01-05T00:00:00"/>
    <d v="1899-12-30T18:15:00"/>
    <x v="1"/>
    <x v="0"/>
    <s v="Station_40"/>
    <s v="Station_46"/>
    <d v="1899-12-30T18:17:00"/>
    <d v="1899-12-30T18:41:00"/>
    <n v="19"/>
    <n v="27"/>
    <x v="1"/>
    <n v="-2.6"/>
    <n v="95"/>
    <n v="23"/>
    <n v="6.2"/>
    <x v="0"/>
    <n v="0"/>
    <n v="50"/>
    <x v="0"/>
    <x v="0"/>
    <x v="4"/>
    <x v="1"/>
    <x v="1"/>
    <x v="1"/>
  </r>
  <r>
    <s v="T00438"/>
    <d v="2023-01-05T00:00:00"/>
    <d v="1899-12-30T18:30:00"/>
    <x v="0"/>
    <x v="16"/>
    <s v="Station_5"/>
    <s v="Station_3"/>
    <d v="1899-12-30T18:33:00"/>
    <d v="1899-12-30T18:59:00"/>
    <n v="2"/>
    <n v="15"/>
    <x v="0"/>
    <n v="7.7"/>
    <n v="37"/>
    <n v="37"/>
    <n v="18.399999999999999"/>
    <x v="1"/>
    <n v="2000"/>
    <n v="11"/>
    <x v="0"/>
    <x v="1"/>
    <x v="4"/>
    <x v="2"/>
    <x v="1"/>
    <x v="2"/>
  </r>
  <r>
    <s v="T00439"/>
    <d v="2023-01-05T00:00:00"/>
    <d v="1899-12-30T18:45:00"/>
    <x v="0"/>
    <x v="18"/>
    <s v="Station_21"/>
    <s v="Station_1"/>
    <d v="1899-12-30T18:46:00"/>
    <d v="1899-12-30T19:14:00"/>
    <n v="4"/>
    <n v="2"/>
    <x v="2"/>
    <n v="34.6"/>
    <n v="92"/>
    <n v="33"/>
    <n v="10.7"/>
    <x v="0"/>
    <n v="0"/>
    <n v="94"/>
    <x v="0"/>
    <x v="1"/>
    <x v="4"/>
    <x v="1"/>
    <x v="0"/>
    <x v="0"/>
  </r>
  <r>
    <s v="T00440"/>
    <d v="2023-01-05T00:00:00"/>
    <d v="1899-12-30T19:00:00"/>
    <x v="2"/>
    <x v="7"/>
    <s v="Station_14"/>
    <s v="Station_47"/>
    <d v="1899-12-30T19:00:00"/>
    <d v="1899-12-30T19:58:00"/>
    <n v="-1"/>
    <n v="21"/>
    <x v="1"/>
    <n v="11.9"/>
    <n v="38"/>
    <n v="50"/>
    <n v="13.9"/>
    <x v="0"/>
    <n v="0"/>
    <n v="46"/>
    <x v="0"/>
    <x v="1"/>
    <x v="4"/>
    <x v="3"/>
    <x v="1"/>
    <x v="1"/>
  </r>
  <r>
    <s v="T00441"/>
    <d v="2023-01-05T00:00:00"/>
    <d v="1899-12-30T19:15:00"/>
    <x v="1"/>
    <x v="12"/>
    <s v="Station_4"/>
    <s v="Station_1"/>
    <d v="1899-12-30T19:17:00"/>
    <d v="1899-12-30T20:02:00"/>
    <n v="-2"/>
    <n v="27"/>
    <x v="2"/>
    <n v="0.2"/>
    <n v="89"/>
    <n v="59"/>
    <n v="1.7"/>
    <x v="0"/>
    <n v="10000"/>
    <n v="8"/>
    <x v="0"/>
    <x v="0"/>
    <x v="4"/>
    <x v="2"/>
    <x v="1"/>
    <x v="2"/>
  </r>
  <r>
    <s v="T00442"/>
    <d v="2023-01-05T00:00:00"/>
    <d v="1899-12-30T19:30:00"/>
    <x v="2"/>
    <x v="11"/>
    <s v="Station_23"/>
    <s v="Station_17"/>
    <d v="1899-12-30T19:31:00"/>
    <d v="1899-12-30T20:19:00"/>
    <n v="9"/>
    <n v="5"/>
    <x v="5"/>
    <n v="33.799999999999997"/>
    <n v="92"/>
    <n v="6"/>
    <n v="0.8"/>
    <x v="5"/>
    <n v="0"/>
    <n v="6"/>
    <x v="0"/>
    <x v="0"/>
    <x v="4"/>
    <x v="2"/>
    <x v="0"/>
    <x v="2"/>
  </r>
  <r>
    <s v="T00443"/>
    <d v="2023-01-05T00:00:00"/>
    <d v="1899-12-30T19:45:00"/>
    <x v="1"/>
    <x v="3"/>
    <s v="Station_42"/>
    <s v="Station_2"/>
    <d v="1899-12-30T19:48:00"/>
    <d v="1899-12-30T20:41:00"/>
    <n v="7"/>
    <n v="16"/>
    <x v="4"/>
    <n v="34.4"/>
    <n v="32"/>
    <n v="10"/>
    <n v="5.2"/>
    <x v="2"/>
    <n v="0"/>
    <n v="28"/>
    <x v="1"/>
    <x v="1"/>
    <x v="4"/>
    <x v="2"/>
    <x v="1"/>
    <x v="2"/>
  </r>
  <r>
    <s v="T00444"/>
    <d v="2023-01-05T00:00:00"/>
    <d v="1899-12-30T20:00:00"/>
    <x v="1"/>
    <x v="3"/>
    <s v="Station_20"/>
    <s v="Station_29"/>
    <d v="1899-12-30T20:01:00"/>
    <d v="1899-12-30T20:22:00"/>
    <n v="5"/>
    <n v="6"/>
    <x v="5"/>
    <n v="2.5"/>
    <n v="42"/>
    <n v="10"/>
    <n v="6.2"/>
    <x v="0"/>
    <n v="0"/>
    <n v="77"/>
    <x v="0"/>
    <x v="1"/>
    <x v="4"/>
    <x v="1"/>
    <x v="1"/>
    <x v="0"/>
  </r>
  <r>
    <s v="T00445"/>
    <d v="2023-01-05T00:00:00"/>
    <d v="1899-12-30T20:15:00"/>
    <x v="0"/>
    <x v="1"/>
    <s v="Station_15"/>
    <s v="Station_20"/>
    <d v="1899-12-30T20:19:00"/>
    <d v="1899-12-30T20:49:00"/>
    <n v="-2"/>
    <n v="23"/>
    <x v="1"/>
    <n v="29.6"/>
    <n v="38"/>
    <n v="35"/>
    <n v="13.8"/>
    <x v="0"/>
    <n v="0"/>
    <n v="50"/>
    <x v="0"/>
    <x v="1"/>
    <x v="4"/>
    <x v="2"/>
    <x v="1"/>
    <x v="1"/>
  </r>
  <r>
    <s v="T00446"/>
    <d v="2023-01-05T00:00:00"/>
    <d v="1899-12-30T20:30:00"/>
    <x v="0"/>
    <x v="15"/>
    <s v="Station_50"/>
    <s v="Station_6"/>
    <d v="1899-12-30T20:30:00"/>
    <d v="1899-12-30T21:10:00"/>
    <n v="9"/>
    <n v="9"/>
    <x v="3"/>
    <n v="10.6"/>
    <n v="81"/>
    <n v="19"/>
    <n v="11.4"/>
    <x v="1"/>
    <n v="0"/>
    <n v="83"/>
    <x v="0"/>
    <x v="1"/>
    <x v="4"/>
    <x v="0"/>
    <x v="1"/>
    <x v="0"/>
  </r>
  <r>
    <s v="T00447"/>
    <d v="2023-01-05T00:00:00"/>
    <d v="1899-12-30T20:45:00"/>
    <x v="3"/>
    <x v="10"/>
    <s v="Station_45"/>
    <s v="Station_8"/>
    <d v="1899-12-30T20:47:00"/>
    <d v="1899-12-30T21:41:00"/>
    <n v="-1"/>
    <n v="-2"/>
    <x v="5"/>
    <n v="10.3"/>
    <n v="91"/>
    <n v="15"/>
    <n v="7.5"/>
    <x v="0"/>
    <n v="0"/>
    <n v="54"/>
    <x v="0"/>
    <x v="0"/>
    <x v="4"/>
    <x v="3"/>
    <x v="0"/>
    <x v="1"/>
  </r>
  <r>
    <s v="T00448"/>
    <d v="2023-01-05T00:00:00"/>
    <d v="1899-12-30T21:00:00"/>
    <x v="0"/>
    <x v="8"/>
    <s v="Station_29"/>
    <s v="Station_29"/>
    <d v="1899-12-30T21:04:00"/>
    <d v="1899-12-30T21:31:00"/>
    <n v="7"/>
    <n v="17"/>
    <x v="0"/>
    <n v="5.5"/>
    <n v="37"/>
    <n v="4"/>
    <n v="13.1"/>
    <x v="1"/>
    <n v="0"/>
    <n v="95"/>
    <x v="0"/>
    <x v="1"/>
    <x v="4"/>
    <x v="0"/>
    <x v="1"/>
    <x v="0"/>
  </r>
  <r>
    <s v="T00449"/>
    <d v="2023-01-05T00:00:00"/>
    <d v="1899-12-30T21:15:00"/>
    <x v="3"/>
    <x v="4"/>
    <s v="Station_8"/>
    <s v="Station_48"/>
    <d v="1899-12-30T21:18:00"/>
    <d v="1899-12-30T21:38:00"/>
    <n v="19"/>
    <n v="29"/>
    <x v="2"/>
    <n v="-3.2"/>
    <n v="74"/>
    <n v="23"/>
    <n v="3.3"/>
    <x v="0"/>
    <n v="10000"/>
    <n v="58"/>
    <x v="0"/>
    <x v="1"/>
    <x v="4"/>
    <x v="3"/>
    <x v="1"/>
    <x v="1"/>
  </r>
  <r>
    <s v="T00450"/>
    <d v="2023-01-05T00:00:00"/>
    <d v="1899-12-30T21:30:00"/>
    <x v="3"/>
    <x v="0"/>
    <s v="Station_41"/>
    <s v="Station_33"/>
    <d v="1899-12-30T21:34:00"/>
    <d v="1899-12-30T21:58:00"/>
    <n v="14"/>
    <n v="20"/>
    <x v="3"/>
    <n v="5.7"/>
    <n v="82"/>
    <n v="29"/>
    <n v="1.3"/>
    <x v="3"/>
    <n v="50000"/>
    <n v="55"/>
    <x v="0"/>
    <x v="1"/>
    <x v="4"/>
    <x v="3"/>
    <x v="1"/>
    <x v="1"/>
  </r>
  <r>
    <s v="T00451"/>
    <d v="2023-01-05T00:00:00"/>
    <d v="1899-12-30T21:45:00"/>
    <x v="3"/>
    <x v="19"/>
    <s v="Station_48"/>
    <s v="Station_3"/>
    <d v="1899-12-30T21:49:00"/>
    <d v="1899-12-30T22:43:00"/>
    <n v="0"/>
    <n v="5"/>
    <x v="3"/>
    <n v="-2.8"/>
    <n v="92"/>
    <n v="29"/>
    <n v="17.100000000000001"/>
    <x v="1"/>
    <n v="0"/>
    <n v="21"/>
    <x v="0"/>
    <x v="1"/>
    <x v="4"/>
    <x v="1"/>
    <x v="0"/>
    <x v="2"/>
  </r>
  <r>
    <s v="T00452"/>
    <d v="2023-01-05T00:00:00"/>
    <d v="1899-12-30T22:00:00"/>
    <x v="3"/>
    <x v="15"/>
    <s v="Station_19"/>
    <s v="Station_35"/>
    <d v="1899-12-30T22:03:00"/>
    <d v="1899-12-30T22:47:00"/>
    <n v="4"/>
    <n v="-2"/>
    <x v="1"/>
    <n v="32"/>
    <n v="86"/>
    <n v="38"/>
    <n v="11.3"/>
    <x v="0"/>
    <n v="0"/>
    <n v="99"/>
    <x v="0"/>
    <x v="0"/>
    <x v="4"/>
    <x v="3"/>
    <x v="0"/>
    <x v="0"/>
  </r>
  <r>
    <s v="T00453"/>
    <d v="2023-01-05T00:00:00"/>
    <d v="1899-12-30T22:15:00"/>
    <x v="3"/>
    <x v="4"/>
    <s v="Station_48"/>
    <s v="Station_5"/>
    <d v="1899-12-30T22:19:00"/>
    <d v="1899-12-30T22:57:00"/>
    <n v="9"/>
    <n v="26"/>
    <x v="0"/>
    <n v="21.5"/>
    <n v="83"/>
    <n v="56"/>
    <n v="13"/>
    <x v="0"/>
    <n v="0"/>
    <n v="17"/>
    <x v="0"/>
    <x v="0"/>
    <x v="4"/>
    <x v="3"/>
    <x v="1"/>
    <x v="2"/>
  </r>
  <r>
    <s v="T00454"/>
    <d v="2023-01-05T00:00:00"/>
    <d v="1899-12-30T22:30:00"/>
    <x v="2"/>
    <x v="18"/>
    <s v="Station_39"/>
    <s v="Station_27"/>
    <d v="1899-12-30T22:32:00"/>
    <d v="1899-12-30T23:29:00"/>
    <n v="5"/>
    <n v="18"/>
    <x v="2"/>
    <n v="30.5"/>
    <n v="48"/>
    <n v="47"/>
    <n v="6.1"/>
    <x v="0"/>
    <n v="2000"/>
    <n v="57"/>
    <x v="0"/>
    <x v="1"/>
    <x v="4"/>
    <x v="0"/>
    <x v="1"/>
    <x v="1"/>
  </r>
  <r>
    <s v="T00455"/>
    <d v="2023-01-05T00:00:00"/>
    <d v="1899-12-30T22:45:00"/>
    <x v="0"/>
    <x v="2"/>
    <s v="Station_46"/>
    <s v="Station_44"/>
    <d v="1899-12-30T22:46:00"/>
    <d v="1899-12-30T23:26:00"/>
    <n v="17"/>
    <n v="7"/>
    <x v="0"/>
    <n v="23.7"/>
    <n v="96"/>
    <n v="46"/>
    <n v="7.4"/>
    <x v="0"/>
    <n v="500"/>
    <n v="39"/>
    <x v="0"/>
    <x v="0"/>
    <x v="4"/>
    <x v="3"/>
    <x v="1"/>
    <x v="1"/>
  </r>
  <r>
    <s v="T00456"/>
    <d v="2023-01-05T00:00:00"/>
    <d v="1899-12-30T23:00:00"/>
    <x v="3"/>
    <x v="11"/>
    <s v="Station_28"/>
    <s v="Station_12"/>
    <d v="1899-12-30T23:04:00"/>
    <d v="1899-12-30T23:43:00"/>
    <n v="9"/>
    <n v="13"/>
    <x v="5"/>
    <n v="0.3"/>
    <n v="75"/>
    <n v="36"/>
    <n v="1.6"/>
    <x v="4"/>
    <n v="50000"/>
    <n v="88"/>
    <x v="0"/>
    <x v="1"/>
    <x v="4"/>
    <x v="2"/>
    <x v="1"/>
    <x v="0"/>
  </r>
  <r>
    <s v="T00457"/>
    <d v="2023-01-05T00:00:00"/>
    <d v="1899-12-30T23:15:00"/>
    <x v="1"/>
    <x v="1"/>
    <s v="Station_46"/>
    <s v="Station_20"/>
    <d v="1899-12-30T23:17:00"/>
    <d v="1899-12-30T00:00:00"/>
    <n v="0"/>
    <n v="9"/>
    <x v="1"/>
    <n v="32.6"/>
    <n v="39"/>
    <n v="32"/>
    <n v="17.100000000000001"/>
    <x v="0"/>
    <n v="0"/>
    <n v="30"/>
    <x v="0"/>
    <x v="1"/>
    <x v="4"/>
    <x v="2"/>
    <x v="1"/>
    <x v="2"/>
  </r>
  <r>
    <s v="T00458"/>
    <d v="2023-01-05T00:00:00"/>
    <d v="1899-12-30T23:30:00"/>
    <x v="0"/>
    <x v="13"/>
    <s v="Station_27"/>
    <s v="Station_45"/>
    <d v="1899-12-30T23:31:00"/>
    <d v="1899-12-30T00:19:00"/>
    <n v="14"/>
    <n v="3"/>
    <x v="3"/>
    <n v="31"/>
    <n v="47"/>
    <n v="19"/>
    <n v="11.8"/>
    <x v="4"/>
    <n v="2000"/>
    <n v="55"/>
    <x v="0"/>
    <x v="1"/>
    <x v="4"/>
    <x v="3"/>
    <x v="0"/>
    <x v="1"/>
  </r>
  <r>
    <s v="T00459"/>
    <d v="2023-01-05T00:00:00"/>
    <d v="1899-12-30T23:45:00"/>
    <x v="0"/>
    <x v="13"/>
    <s v="Station_4"/>
    <s v="Station_20"/>
    <d v="1899-12-30T23:46:00"/>
    <d v="1899-12-30T00:37:00"/>
    <n v="6"/>
    <n v="12"/>
    <x v="3"/>
    <n v="8.9"/>
    <n v="41"/>
    <n v="53"/>
    <n v="1.7"/>
    <x v="0"/>
    <n v="0"/>
    <n v="34"/>
    <x v="0"/>
    <x v="1"/>
    <x v="4"/>
    <x v="2"/>
    <x v="1"/>
    <x v="1"/>
  </r>
  <r>
    <s v="T00460"/>
    <d v="2023-01-06T00:00:00"/>
    <d v="1899-12-30T00:00:00"/>
    <x v="3"/>
    <x v="16"/>
    <s v="Station_15"/>
    <s v="Station_9"/>
    <d v="1899-12-30T00:04:00"/>
    <d v="1899-12-30T00:35:00"/>
    <n v="7"/>
    <n v="29"/>
    <x v="5"/>
    <n v="-0.5"/>
    <n v="78"/>
    <n v="21"/>
    <n v="16.100000000000001"/>
    <x v="1"/>
    <n v="50000"/>
    <n v="25"/>
    <x v="0"/>
    <x v="1"/>
    <x v="5"/>
    <x v="1"/>
    <x v="1"/>
    <x v="2"/>
  </r>
  <r>
    <s v="T00461"/>
    <d v="2023-01-06T00:00:00"/>
    <d v="1899-12-30T00:15:00"/>
    <x v="2"/>
    <x v="6"/>
    <s v="Station_35"/>
    <s v="Station_39"/>
    <d v="1899-12-30T00:17:00"/>
    <d v="1899-12-30T00:56:00"/>
    <n v="19"/>
    <n v="-3"/>
    <x v="3"/>
    <n v="23.2"/>
    <n v="52"/>
    <n v="40"/>
    <n v="8.9"/>
    <x v="0"/>
    <n v="0"/>
    <n v="67"/>
    <x v="0"/>
    <x v="1"/>
    <x v="5"/>
    <x v="2"/>
    <x v="0"/>
    <x v="0"/>
  </r>
  <r>
    <s v="T00462"/>
    <d v="2023-01-06T00:00:00"/>
    <d v="1899-12-30T00:30:00"/>
    <x v="3"/>
    <x v="6"/>
    <s v="Station_37"/>
    <s v="Station_4"/>
    <d v="1899-12-30T00:34:00"/>
    <d v="1899-12-30T01:07:00"/>
    <n v="3"/>
    <n v="7"/>
    <x v="4"/>
    <n v="24.1"/>
    <n v="91"/>
    <n v="57"/>
    <n v="15.3"/>
    <x v="1"/>
    <n v="0"/>
    <n v="83"/>
    <x v="0"/>
    <x v="1"/>
    <x v="5"/>
    <x v="1"/>
    <x v="1"/>
    <x v="0"/>
  </r>
  <r>
    <s v="T00463"/>
    <d v="2023-01-06T00:00:00"/>
    <d v="1899-12-30T00:45:00"/>
    <x v="2"/>
    <x v="7"/>
    <s v="Station_1"/>
    <s v="Station_19"/>
    <d v="1899-12-30T00:48:00"/>
    <d v="1899-12-30T01:11:00"/>
    <n v="-2"/>
    <n v="2"/>
    <x v="1"/>
    <n v="30.9"/>
    <n v="40"/>
    <n v="20"/>
    <n v="0.3"/>
    <x v="0"/>
    <n v="500"/>
    <n v="33"/>
    <x v="0"/>
    <x v="1"/>
    <x v="5"/>
    <x v="3"/>
    <x v="0"/>
    <x v="2"/>
  </r>
  <r>
    <s v="T00464"/>
    <d v="2023-01-06T00:00:00"/>
    <d v="1899-12-30T01:00:00"/>
    <x v="1"/>
    <x v="10"/>
    <s v="Station_3"/>
    <s v="Station_38"/>
    <d v="1899-12-30T01:01:00"/>
    <d v="1899-12-30T01:45:00"/>
    <n v="19"/>
    <n v="16"/>
    <x v="5"/>
    <n v="-2.9"/>
    <n v="85"/>
    <n v="36"/>
    <n v="0.6"/>
    <x v="0"/>
    <n v="10000"/>
    <n v="75"/>
    <x v="0"/>
    <x v="1"/>
    <x v="5"/>
    <x v="1"/>
    <x v="1"/>
    <x v="0"/>
  </r>
  <r>
    <s v="T00465"/>
    <d v="2023-01-06T00:00:00"/>
    <d v="1899-12-30T01:15:00"/>
    <x v="0"/>
    <x v="9"/>
    <s v="Station_47"/>
    <s v="Station_27"/>
    <d v="1899-12-30T01:19:00"/>
    <d v="1899-12-30T01:42:00"/>
    <n v="9"/>
    <n v="22"/>
    <x v="1"/>
    <n v="0.7"/>
    <n v="84"/>
    <n v="53"/>
    <n v="3.4"/>
    <x v="0"/>
    <n v="0"/>
    <n v="15"/>
    <x v="0"/>
    <x v="1"/>
    <x v="5"/>
    <x v="1"/>
    <x v="1"/>
    <x v="2"/>
  </r>
  <r>
    <s v="T00466"/>
    <d v="2023-01-06T00:00:00"/>
    <d v="1899-12-30T01:30:00"/>
    <x v="1"/>
    <x v="0"/>
    <s v="Station_24"/>
    <s v="Station_45"/>
    <d v="1899-12-30T01:31:00"/>
    <d v="1899-12-30T01:55:00"/>
    <n v="2"/>
    <n v="8"/>
    <x v="2"/>
    <n v="18.899999999999999"/>
    <n v="54"/>
    <n v="26"/>
    <n v="4.2"/>
    <x v="0"/>
    <n v="0"/>
    <n v="41"/>
    <x v="0"/>
    <x v="1"/>
    <x v="5"/>
    <x v="3"/>
    <x v="1"/>
    <x v="1"/>
  </r>
  <r>
    <s v="T00467"/>
    <d v="2023-01-06T00:00:00"/>
    <d v="1899-12-30T01:45:00"/>
    <x v="2"/>
    <x v="13"/>
    <s v="Station_27"/>
    <s v="Station_43"/>
    <d v="1899-12-30T01:47:00"/>
    <d v="1899-12-30T02:34:00"/>
    <n v="10"/>
    <n v="26"/>
    <x v="1"/>
    <n v="19.8"/>
    <n v="38"/>
    <n v="37"/>
    <n v="15.3"/>
    <x v="0"/>
    <n v="0"/>
    <n v="4"/>
    <x v="0"/>
    <x v="0"/>
    <x v="5"/>
    <x v="3"/>
    <x v="1"/>
    <x v="2"/>
  </r>
  <r>
    <s v="T00468"/>
    <d v="2023-01-06T00:00:00"/>
    <d v="1899-12-30T02:00:00"/>
    <x v="2"/>
    <x v="12"/>
    <s v="Station_40"/>
    <s v="Station_13"/>
    <d v="1899-12-30T02:00:00"/>
    <d v="1899-12-30T02:58:00"/>
    <n v="12"/>
    <n v="24"/>
    <x v="1"/>
    <n v="-3.7"/>
    <n v="41"/>
    <n v="34"/>
    <n v="14.1"/>
    <x v="0"/>
    <n v="0"/>
    <n v="60"/>
    <x v="0"/>
    <x v="1"/>
    <x v="5"/>
    <x v="1"/>
    <x v="1"/>
    <x v="1"/>
  </r>
  <r>
    <s v="T00469"/>
    <d v="2023-01-06T00:00:00"/>
    <d v="1899-12-30T02:15:00"/>
    <x v="1"/>
    <x v="14"/>
    <s v="Station_36"/>
    <s v="Station_13"/>
    <d v="1899-12-30T02:19:00"/>
    <d v="1899-12-30T02:57:00"/>
    <n v="19"/>
    <n v="23"/>
    <x v="2"/>
    <n v="10.9"/>
    <n v="40"/>
    <n v="37"/>
    <n v="12.3"/>
    <x v="3"/>
    <n v="0"/>
    <n v="43"/>
    <x v="0"/>
    <x v="1"/>
    <x v="5"/>
    <x v="0"/>
    <x v="1"/>
    <x v="1"/>
  </r>
  <r>
    <s v="T00470"/>
    <d v="2023-01-06T00:00:00"/>
    <d v="1899-12-30T02:30:00"/>
    <x v="2"/>
    <x v="16"/>
    <s v="Station_34"/>
    <s v="Station_22"/>
    <d v="1899-12-30T02:34:00"/>
    <d v="1899-12-30T03:21:00"/>
    <n v="8"/>
    <n v="15"/>
    <x v="5"/>
    <n v="18.399999999999999"/>
    <n v="67"/>
    <n v="39"/>
    <n v="17.7"/>
    <x v="0"/>
    <n v="50000"/>
    <n v="34"/>
    <x v="0"/>
    <x v="1"/>
    <x v="5"/>
    <x v="3"/>
    <x v="1"/>
    <x v="1"/>
  </r>
  <r>
    <s v="T00471"/>
    <d v="2023-01-06T00:00:00"/>
    <d v="1899-12-30T02:45:00"/>
    <x v="1"/>
    <x v="12"/>
    <s v="Station_29"/>
    <s v="Station_28"/>
    <d v="1899-12-30T02:46:00"/>
    <d v="1899-12-30T03:26:00"/>
    <n v="5"/>
    <n v="1"/>
    <x v="1"/>
    <n v="24.5"/>
    <n v="57"/>
    <n v="59"/>
    <n v="4.9000000000000004"/>
    <x v="1"/>
    <n v="0"/>
    <n v="90"/>
    <x v="0"/>
    <x v="1"/>
    <x v="5"/>
    <x v="3"/>
    <x v="0"/>
    <x v="0"/>
  </r>
  <r>
    <s v="T00472"/>
    <d v="2023-01-06T00:00:00"/>
    <d v="1899-12-30T03:00:00"/>
    <x v="0"/>
    <x v="7"/>
    <s v="Station_24"/>
    <s v="Station_47"/>
    <d v="1899-12-30T03:02:00"/>
    <d v="1899-12-30T03:28:00"/>
    <n v="2"/>
    <n v="1"/>
    <x v="0"/>
    <n v="7.6"/>
    <n v="37"/>
    <n v="5"/>
    <n v="18.100000000000001"/>
    <x v="0"/>
    <n v="500"/>
    <n v="0"/>
    <x v="0"/>
    <x v="1"/>
    <x v="5"/>
    <x v="0"/>
    <x v="0"/>
    <x v="2"/>
  </r>
  <r>
    <s v="T00473"/>
    <d v="2023-01-06T00:00:00"/>
    <d v="1899-12-30T03:15:00"/>
    <x v="1"/>
    <x v="5"/>
    <s v="Station_24"/>
    <s v="Station_45"/>
    <d v="1899-12-30T03:18:00"/>
    <d v="1899-12-30T04:05:00"/>
    <n v="-1"/>
    <n v="23"/>
    <x v="1"/>
    <n v="14.4"/>
    <n v="76"/>
    <n v="31"/>
    <n v="18.2"/>
    <x v="0"/>
    <n v="500"/>
    <n v="97"/>
    <x v="0"/>
    <x v="1"/>
    <x v="5"/>
    <x v="2"/>
    <x v="1"/>
    <x v="0"/>
  </r>
  <r>
    <s v="T00474"/>
    <d v="2023-01-06T00:00:00"/>
    <d v="1899-12-30T03:30:00"/>
    <x v="0"/>
    <x v="16"/>
    <s v="Station_42"/>
    <s v="Station_22"/>
    <d v="1899-12-30T03:32:00"/>
    <d v="1899-12-30T03:56:00"/>
    <n v="9"/>
    <n v="24"/>
    <x v="5"/>
    <n v="27.6"/>
    <n v="65"/>
    <n v="15"/>
    <n v="8.6999999999999993"/>
    <x v="4"/>
    <n v="10000"/>
    <n v="42"/>
    <x v="1"/>
    <x v="1"/>
    <x v="5"/>
    <x v="0"/>
    <x v="1"/>
    <x v="1"/>
  </r>
  <r>
    <s v="T00475"/>
    <d v="2023-01-06T00:00:00"/>
    <d v="1899-12-30T03:45:00"/>
    <x v="1"/>
    <x v="15"/>
    <s v="Station_4"/>
    <s v="Station_43"/>
    <d v="1899-12-30T03:49:00"/>
    <d v="1899-12-30T04:13:00"/>
    <n v="-1"/>
    <n v="22"/>
    <x v="3"/>
    <n v="33.200000000000003"/>
    <n v="79"/>
    <n v="27"/>
    <n v="1.9"/>
    <x v="5"/>
    <n v="50000"/>
    <n v="31"/>
    <x v="0"/>
    <x v="0"/>
    <x v="5"/>
    <x v="2"/>
    <x v="1"/>
    <x v="2"/>
  </r>
  <r>
    <s v="T00476"/>
    <d v="2023-01-06T00:00:00"/>
    <d v="1899-12-30T04:00:00"/>
    <x v="2"/>
    <x v="6"/>
    <s v="Station_3"/>
    <s v="Station_19"/>
    <d v="1899-12-30T04:03:00"/>
    <d v="1899-12-30T04:32:00"/>
    <n v="13"/>
    <n v="23"/>
    <x v="2"/>
    <n v="4.2"/>
    <n v="38"/>
    <n v="15"/>
    <n v="14.5"/>
    <x v="0"/>
    <n v="500"/>
    <n v="62"/>
    <x v="0"/>
    <x v="1"/>
    <x v="5"/>
    <x v="0"/>
    <x v="1"/>
    <x v="1"/>
  </r>
  <r>
    <s v="T00477"/>
    <d v="2023-01-06T00:00:00"/>
    <d v="1899-12-30T04:15:00"/>
    <x v="1"/>
    <x v="6"/>
    <s v="Station_34"/>
    <s v="Station_8"/>
    <d v="1899-12-30T04:17:00"/>
    <d v="1899-12-30T04:37:00"/>
    <n v="18"/>
    <n v="17"/>
    <x v="3"/>
    <n v="5.0999999999999996"/>
    <n v="89"/>
    <n v="26"/>
    <n v="6.7"/>
    <x v="5"/>
    <n v="0"/>
    <n v="32"/>
    <x v="0"/>
    <x v="1"/>
    <x v="5"/>
    <x v="1"/>
    <x v="1"/>
    <x v="2"/>
  </r>
  <r>
    <s v="T00478"/>
    <d v="2023-01-06T00:00:00"/>
    <d v="1899-12-30T04:30:00"/>
    <x v="2"/>
    <x v="19"/>
    <s v="Station_49"/>
    <s v="Station_8"/>
    <d v="1899-12-30T04:30:00"/>
    <d v="1899-12-30T05:24:00"/>
    <n v="0"/>
    <n v="-3"/>
    <x v="5"/>
    <n v="32.6"/>
    <n v="96"/>
    <n v="52"/>
    <n v="15.9"/>
    <x v="0"/>
    <n v="0"/>
    <n v="94"/>
    <x v="0"/>
    <x v="1"/>
    <x v="5"/>
    <x v="3"/>
    <x v="0"/>
    <x v="0"/>
  </r>
  <r>
    <s v="T00479"/>
    <d v="2023-01-06T00:00:00"/>
    <d v="1899-12-30T04:45:00"/>
    <x v="1"/>
    <x v="4"/>
    <s v="Station_23"/>
    <s v="Station_42"/>
    <d v="1899-12-30T04:46:00"/>
    <d v="1899-12-30T05:37:00"/>
    <n v="7"/>
    <n v="24"/>
    <x v="4"/>
    <n v="10.8"/>
    <n v="82"/>
    <n v="2"/>
    <n v="3.3"/>
    <x v="4"/>
    <n v="0"/>
    <n v="76"/>
    <x v="0"/>
    <x v="1"/>
    <x v="5"/>
    <x v="0"/>
    <x v="1"/>
    <x v="0"/>
  </r>
  <r>
    <s v="T00480"/>
    <d v="2023-01-06T00:00:00"/>
    <d v="1899-12-30T05:00:00"/>
    <x v="1"/>
    <x v="1"/>
    <s v="Station_23"/>
    <s v="Station_26"/>
    <d v="1899-12-30T05:02:00"/>
    <d v="1899-12-30T05:40:00"/>
    <n v="16"/>
    <n v="11"/>
    <x v="3"/>
    <n v="23.7"/>
    <n v="46"/>
    <n v="48"/>
    <n v="10.8"/>
    <x v="0"/>
    <n v="0"/>
    <n v="65"/>
    <x v="0"/>
    <x v="1"/>
    <x v="5"/>
    <x v="3"/>
    <x v="1"/>
    <x v="1"/>
  </r>
  <r>
    <s v="T00481"/>
    <d v="2023-01-06T00:00:00"/>
    <d v="1899-12-30T05:15:00"/>
    <x v="3"/>
    <x v="18"/>
    <s v="Station_45"/>
    <s v="Station_48"/>
    <d v="1899-12-30T05:17:00"/>
    <d v="1899-12-30T06:05:00"/>
    <n v="5"/>
    <n v="13"/>
    <x v="1"/>
    <n v="19.5"/>
    <n v="82"/>
    <n v="20"/>
    <n v="10.199999999999999"/>
    <x v="0"/>
    <n v="0"/>
    <n v="29"/>
    <x v="0"/>
    <x v="1"/>
    <x v="5"/>
    <x v="2"/>
    <x v="1"/>
    <x v="2"/>
  </r>
  <r>
    <s v="T00482"/>
    <d v="2023-01-06T00:00:00"/>
    <d v="1899-12-30T05:30:00"/>
    <x v="2"/>
    <x v="10"/>
    <s v="Station_5"/>
    <s v="Station_26"/>
    <d v="1899-12-30T05:30:00"/>
    <d v="1899-12-30T06:23:00"/>
    <n v="4"/>
    <n v="22"/>
    <x v="1"/>
    <n v="6.4"/>
    <n v="57"/>
    <n v="37"/>
    <n v="2"/>
    <x v="0"/>
    <n v="500"/>
    <n v="9"/>
    <x v="0"/>
    <x v="1"/>
    <x v="5"/>
    <x v="1"/>
    <x v="1"/>
    <x v="2"/>
  </r>
  <r>
    <s v="T00483"/>
    <d v="2023-01-06T00:00:00"/>
    <d v="1899-12-30T05:45:00"/>
    <x v="3"/>
    <x v="0"/>
    <s v="Station_31"/>
    <s v="Station_23"/>
    <d v="1899-12-30T05:49:00"/>
    <d v="1899-12-30T06:36:00"/>
    <n v="-2"/>
    <n v="16"/>
    <x v="2"/>
    <n v="21.1"/>
    <n v="92"/>
    <n v="37"/>
    <n v="7.3"/>
    <x v="0"/>
    <n v="0"/>
    <n v="22"/>
    <x v="0"/>
    <x v="0"/>
    <x v="5"/>
    <x v="3"/>
    <x v="1"/>
    <x v="2"/>
  </r>
  <r>
    <s v="T00484"/>
    <d v="2023-01-06T00:00:00"/>
    <d v="1899-12-30T06:00:00"/>
    <x v="2"/>
    <x v="17"/>
    <s v="Station_41"/>
    <s v="Station_43"/>
    <d v="1899-12-30T06:01:00"/>
    <d v="1899-12-30T06:54:00"/>
    <n v="9"/>
    <n v="21"/>
    <x v="1"/>
    <n v="21.2"/>
    <n v="44"/>
    <n v="29"/>
    <n v="1.7"/>
    <x v="0"/>
    <n v="0"/>
    <n v="96"/>
    <x v="0"/>
    <x v="1"/>
    <x v="5"/>
    <x v="0"/>
    <x v="1"/>
    <x v="0"/>
  </r>
  <r>
    <s v="T00485"/>
    <d v="2023-01-06T00:00:00"/>
    <d v="1899-12-30T06:15:00"/>
    <x v="3"/>
    <x v="11"/>
    <s v="Station_6"/>
    <s v="Station_13"/>
    <d v="1899-12-30T06:17:00"/>
    <d v="1899-12-30T06:49:00"/>
    <n v="2"/>
    <n v="9"/>
    <x v="0"/>
    <n v="18.7"/>
    <n v="48"/>
    <n v="21"/>
    <n v="9.3000000000000007"/>
    <x v="0"/>
    <n v="50000"/>
    <n v="38"/>
    <x v="0"/>
    <x v="0"/>
    <x v="5"/>
    <x v="0"/>
    <x v="1"/>
    <x v="1"/>
  </r>
  <r>
    <s v="T00486"/>
    <d v="2023-01-06T00:00:00"/>
    <d v="1899-12-30T06:30:00"/>
    <x v="0"/>
    <x v="15"/>
    <s v="Station_37"/>
    <s v="Station_28"/>
    <d v="1899-12-30T06:33:00"/>
    <d v="1899-12-30T07:21:00"/>
    <n v="13"/>
    <n v="29"/>
    <x v="0"/>
    <n v="-1"/>
    <n v="99"/>
    <n v="18"/>
    <n v="16.899999999999999"/>
    <x v="4"/>
    <n v="0"/>
    <n v="44"/>
    <x v="0"/>
    <x v="1"/>
    <x v="5"/>
    <x v="1"/>
    <x v="1"/>
    <x v="1"/>
  </r>
  <r>
    <s v="T00487"/>
    <d v="2023-01-06T00:00:00"/>
    <d v="1899-12-30T06:45:00"/>
    <x v="1"/>
    <x v="13"/>
    <s v="Station_10"/>
    <s v="Station_9"/>
    <d v="1899-12-30T06:47:00"/>
    <d v="1899-12-30T07:10:00"/>
    <n v="1"/>
    <n v="21"/>
    <x v="3"/>
    <n v="34.799999999999997"/>
    <n v="76"/>
    <n v="30"/>
    <n v="5.4"/>
    <x v="0"/>
    <n v="0"/>
    <n v="28"/>
    <x v="0"/>
    <x v="1"/>
    <x v="5"/>
    <x v="2"/>
    <x v="1"/>
    <x v="2"/>
  </r>
  <r>
    <s v="T00488"/>
    <d v="2023-01-06T00:00:00"/>
    <d v="1899-12-30T07:00:00"/>
    <x v="2"/>
    <x v="2"/>
    <s v="Station_40"/>
    <s v="Station_20"/>
    <d v="1899-12-30T07:01:00"/>
    <d v="1899-12-30T07:40:00"/>
    <n v="14"/>
    <n v="4"/>
    <x v="5"/>
    <n v="11"/>
    <n v="77"/>
    <n v="19"/>
    <n v="15.3"/>
    <x v="0"/>
    <n v="2000"/>
    <n v="29"/>
    <x v="0"/>
    <x v="1"/>
    <x v="5"/>
    <x v="1"/>
    <x v="0"/>
    <x v="2"/>
  </r>
  <r>
    <s v="T00489"/>
    <d v="2023-01-06T00:00:00"/>
    <d v="1899-12-30T07:15:00"/>
    <x v="2"/>
    <x v="11"/>
    <s v="Station_7"/>
    <s v="Station_19"/>
    <d v="1899-12-30T07:17:00"/>
    <d v="1899-12-30T08:07:00"/>
    <n v="18"/>
    <n v="1"/>
    <x v="2"/>
    <n v="20.5"/>
    <n v="49"/>
    <n v="46"/>
    <n v="3.7"/>
    <x v="0"/>
    <n v="500"/>
    <n v="33"/>
    <x v="0"/>
    <x v="1"/>
    <x v="5"/>
    <x v="1"/>
    <x v="0"/>
    <x v="2"/>
  </r>
  <r>
    <s v="T00490"/>
    <d v="2023-01-06T00:00:00"/>
    <d v="1899-12-30T07:30:00"/>
    <x v="1"/>
    <x v="11"/>
    <s v="Station_39"/>
    <s v="Station_48"/>
    <d v="1899-12-30T07:30:00"/>
    <d v="1899-12-30T08:21:00"/>
    <n v="-1"/>
    <n v="2"/>
    <x v="4"/>
    <n v="30.4"/>
    <n v="66"/>
    <n v="18"/>
    <n v="13.5"/>
    <x v="1"/>
    <n v="0"/>
    <n v="51"/>
    <x v="0"/>
    <x v="1"/>
    <x v="5"/>
    <x v="3"/>
    <x v="0"/>
    <x v="1"/>
  </r>
  <r>
    <s v="T00491"/>
    <d v="2023-01-06T00:00:00"/>
    <d v="1899-12-30T07:45:00"/>
    <x v="2"/>
    <x v="1"/>
    <s v="Station_38"/>
    <s v="Station_39"/>
    <d v="1899-12-30T07:47:00"/>
    <d v="1899-12-30T08:23:00"/>
    <n v="9"/>
    <n v="19"/>
    <x v="3"/>
    <n v="11.9"/>
    <n v="31"/>
    <n v="1"/>
    <n v="18.3"/>
    <x v="1"/>
    <n v="2000"/>
    <n v="80"/>
    <x v="0"/>
    <x v="0"/>
    <x v="5"/>
    <x v="2"/>
    <x v="1"/>
    <x v="0"/>
  </r>
  <r>
    <s v="T00492"/>
    <d v="2023-01-06T00:00:00"/>
    <d v="1899-12-30T08:00:00"/>
    <x v="2"/>
    <x v="9"/>
    <s v="Station_21"/>
    <s v="Station_12"/>
    <d v="1899-12-30T08:02:00"/>
    <d v="1899-12-30T08:52:00"/>
    <n v="-2"/>
    <n v="26"/>
    <x v="5"/>
    <n v="26"/>
    <n v="93"/>
    <n v="39"/>
    <n v="6.5"/>
    <x v="0"/>
    <n v="0"/>
    <n v="21"/>
    <x v="0"/>
    <x v="1"/>
    <x v="5"/>
    <x v="1"/>
    <x v="1"/>
    <x v="2"/>
  </r>
  <r>
    <s v="T00493"/>
    <d v="2023-01-06T00:00:00"/>
    <d v="1899-12-30T08:15:00"/>
    <x v="3"/>
    <x v="19"/>
    <s v="Station_20"/>
    <s v="Station_15"/>
    <d v="1899-12-30T08:18:00"/>
    <d v="1899-12-30T09:02:00"/>
    <n v="9"/>
    <n v="10"/>
    <x v="2"/>
    <n v="33.9"/>
    <n v="65"/>
    <n v="38"/>
    <n v="18"/>
    <x v="0"/>
    <n v="0"/>
    <n v="4"/>
    <x v="0"/>
    <x v="0"/>
    <x v="5"/>
    <x v="3"/>
    <x v="1"/>
    <x v="2"/>
  </r>
  <r>
    <s v="T00494"/>
    <d v="2023-01-06T00:00:00"/>
    <d v="1899-12-30T08:30:00"/>
    <x v="2"/>
    <x v="6"/>
    <s v="Station_3"/>
    <s v="Station_31"/>
    <d v="1899-12-30T08:30:00"/>
    <d v="1899-12-30T09:20:00"/>
    <n v="9"/>
    <n v="19"/>
    <x v="2"/>
    <n v="9.4"/>
    <n v="34"/>
    <n v="26"/>
    <n v="10.1"/>
    <x v="0"/>
    <n v="0"/>
    <n v="10"/>
    <x v="0"/>
    <x v="0"/>
    <x v="5"/>
    <x v="3"/>
    <x v="1"/>
    <x v="2"/>
  </r>
  <r>
    <s v="T00495"/>
    <d v="2023-01-06T00:00:00"/>
    <d v="1899-12-30T08:45:00"/>
    <x v="0"/>
    <x v="14"/>
    <s v="Station_22"/>
    <s v="Station_14"/>
    <d v="1899-12-30T08:45:00"/>
    <d v="1899-12-30T09:25:00"/>
    <n v="9"/>
    <n v="7"/>
    <x v="3"/>
    <n v="11.2"/>
    <n v="93"/>
    <n v="7"/>
    <n v="6.3"/>
    <x v="5"/>
    <n v="500"/>
    <n v="85"/>
    <x v="0"/>
    <x v="1"/>
    <x v="5"/>
    <x v="2"/>
    <x v="1"/>
    <x v="0"/>
  </r>
  <r>
    <s v="T00496"/>
    <d v="2023-01-06T00:00:00"/>
    <d v="1899-12-30T09:00:00"/>
    <x v="0"/>
    <x v="4"/>
    <s v="Station_47"/>
    <s v="Station_11"/>
    <d v="1899-12-30T09:02:00"/>
    <d v="1899-12-30T09:53:00"/>
    <n v="16"/>
    <n v="27"/>
    <x v="5"/>
    <n v="31.2"/>
    <n v="36"/>
    <n v="44"/>
    <n v="17.899999999999999"/>
    <x v="1"/>
    <n v="0"/>
    <n v="31"/>
    <x v="0"/>
    <x v="1"/>
    <x v="5"/>
    <x v="2"/>
    <x v="1"/>
    <x v="2"/>
  </r>
  <r>
    <s v="T00497"/>
    <d v="2023-01-06T00:00:00"/>
    <d v="1899-12-30T09:15:00"/>
    <x v="1"/>
    <x v="17"/>
    <s v="Station_4"/>
    <s v="Station_26"/>
    <d v="1899-12-30T09:18:00"/>
    <d v="1899-12-30T09:49:00"/>
    <n v="14"/>
    <n v="2"/>
    <x v="5"/>
    <n v="1.4"/>
    <n v="99"/>
    <n v="53"/>
    <n v="0.6"/>
    <x v="0"/>
    <n v="2000"/>
    <n v="23"/>
    <x v="0"/>
    <x v="1"/>
    <x v="5"/>
    <x v="3"/>
    <x v="0"/>
    <x v="2"/>
  </r>
  <r>
    <s v="T00498"/>
    <d v="2023-01-06T00:00:00"/>
    <d v="1899-12-30T09:30:00"/>
    <x v="2"/>
    <x v="1"/>
    <s v="Station_28"/>
    <s v="Station_42"/>
    <d v="1899-12-30T09:32:00"/>
    <d v="1899-12-30T10:03:00"/>
    <n v="17"/>
    <n v="7"/>
    <x v="1"/>
    <n v="-3.9"/>
    <n v="51"/>
    <n v="26"/>
    <n v="0.6"/>
    <x v="2"/>
    <n v="0"/>
    <n v="10"/>
    <x v="0"/>
    <x v="0"/>
    <x v="5"/>
    <x v="2"/>
    <x v="1"/>
    <x v="2"/>
  </r>
  <r>
    <s v="T00499"/>
    <d v="2023-01-06T00:00:00"/>
    <d v="1899-12-30T09:45:00"/>
    <x v="1"/>
    <x v="19"/>
    <s v="Station_12"/>
    <s v="Station_27"/>
    <d v="1899-12-30T09:47:00"/>
    <d v="1899-12-30T10:23:00"/>
    <n v="8"/>
    <n v="9"/>
    <x v="4"/>
    <n v="31.4"/>
    <n v="75"/>
    <n v="14"/>
    <n v="12"/>
    <x v="0"/>
    <n v="10000"/>
    <n v="10"/>
    <x v="1"/>
    <x v="0"/>
    <x v="5"/>
    <x v="3"/>
    <x v="1"/>
    <x v="2"/>
  </r>
  <r>
    <s v="T00500"/>
    <d v="2023-01-06T00:00:00"/>
    <d v="1899-12-30T10:00:00"/>
    <x v="0"/>
    <x v="14"/>
    <s v="Station_38"/>
    <s v="Station_11"/>
    <d v="1899-12-30T10:01:00"/>
    <d v="1899-12-30T10:34:00"/>
    <n v="10"/>
    <n v="8"/>
    <x v="0"/>
    <n v="27.9"/>
    <n v="69"/>
    <n v="11"/>
    <n v="15.9"/>
    <x v="0"/>
    <n v="10000"/>
    <n v="16"/>
    <x v="0"/>
    <x v="1"/>
    <x v="5"/>
    <x v="2"/>
    <x v="1"/>
    <x v="2"/>
  </r>
  <r>
    <s v="T00501"/>
    <d v="2023-01-06T00:00:00"/>
    <d v="1899-12-30T10:15:00"/>
    <x v="2"/>
    <x v="17"/>
    <s v="Station_36"/>
    <s v="Station_38"/>
    <d v="1899-12-30T10:16:00"/>
    <d v="1899-12-30T10:40:00"/>
    <n v="5"/>
    <n v="-2"/>
    <x v="1"/>
    <n v="33.9"/>
    <n v="90"/>
    <n v="46"/>
    <n v="15"/>
    <x v="5"/>
    <n v="0"/>
    <n v="31"/>
    <x v="0"/>
    <x v="1"/>
    <x v="5"/>
    <x v="2"/>
    <x v="0"/>
    <x v="2"/>
  </r>
  <r>
    <s v="T00502"/>
    <d v="2023-01-06T00:00:00"/>
    <d v="1899-12-30T10:30:00"/>
    <x v="2"/>
    <x v="6"/>
    <s v="Station_47"/>
    <s v="Station_34"/>
    <d v="1899-12-30T10:33:00"/>
    <d v="1899-12-30T10:58:00"/>
    <n v="7"/>
    <n v="13"/>
    <x v="2"/>
    <n v="-2.7"/>
    <n v="75"/>
    <n v="13"/>
    <n v="1.6"/>
    <x v="5"/>
    <n v="0"/>
    <n v="82"/>
    <x v="0"/>
    <x v="1"/>
    <x v="5"/>
    <x v="2"/>
    <x v="1"/>
    <x v="0"/>
  </r>
  <r>
    <s v="T00503"/>
    <d v="2023-01-06T00:00:00"/>
    <d v="1899-12-30T10:45:00"/>
    <x v="1"/>
    <x v="0"/>
    <s v="Station_41"/>
    <s v="Station_43"/>
    <d v="1899-12-30T10:49:00"/>
    <d v="1899-12-30T11:41:00"/>
    <n v="5"/>
    <n v="24"/>
    <x v="4"/>
    <n v="1.2"/>
    <n v="57"/>
    <n v="6"/>
    <n v="19"/>
    <x v="1"/>
    <n v="2000"/>
    <n v="26"/>
    <x v="1"/>
    <x v="0"/>
    <x v="5"/>
    <x v="0"/>
    <x v="1"/>
    <x v="2"/>
  </r>
  <r>
    <s v="T00504"/>
    <d v="2023-01-06T00:00:00"/>
    <d v="1899-12-30T11:00:00"/>
    <x v="0"/>
    <x v="6"/>
    <s v="Station_5"/>
    <s v="Station_19"/>
    <d v="1899-12-30T11:01:00"/>
    <d v="1899-12-30T11:39:00"/>
    <n v="17"/>
    <n v="24"/>
    <x v="4"/>
    <n v="-0.8"/>
    <n v="64"/>
    <n v="16"/>
    <n v="14.1"/>
    <x v="0"/>
    <n v="0"/>
    <n v="31"/>
    <x v="0"/>
    <x v="0"/>
    <x v="5"/>
    <x v="2"/>
    <x v="1"/>
    <x v="2"/>
  </r>
  <r>
    <s v="T00505"/>
    <d v="2023-01-06T00:00:00"/>
    <d v="1899-12-30T11:15:00"/>
    <x v="2"/>
    <x v="1"/>
    <s v="Station_13"/>
    <s v="Station_6"/>
    <d v="1899-12-30T11:19:00"/>
    <d v="1899-12-30T12:08:00"/>
    <n v="5"/>
    <n v="18"/>
    <x v="5"/>
    <n v="22.3"/>
    <n v="30"/>
    <n v="25"/>
    <n v="19"/>
    <x v="0"/>
    <n v="0"/>
    <n v="60"/>
    <x v="0"/>
    <x v="1"/>
    <x v="5"/>
    <x v="0"/>
    <x v="1"/>
    <x v="1"/>
  </r>
  <r>
    <s v="T00506"/>
    <d v="2023-01-06T00:00:00"/>
    <d v="1899-12-30T11:30:00"/>
    <x v="1"/>
    <x v="6"/>
    <s v="Station_23"/>
    <s v="Station_46"/>
    <d v="1899-12-30T11:30:00"/>
    <d v="1899-12-30T12:27:00"/>
    <n v="6"/>
    <n v="3"/>
    <x v="4"/>
    <n v="19.2"/>
    <n v="58"/>
    <n v="36"/>
    <n v="6.6"/>
    <x v="5"/>
    <n v="0"/>
    <n v="24"/>
    <x v="0"/>
    <x v="1"/>
    <x v="5"/>
    <x v="3"/>
    <x v="0"/>
    <x v="2"/>
  </r>
  <r>
    <s v="T00507"/>
    <d v="2023-01-06T00:00:00"/>
    <d v="1899-12-30T11:45:00"/>
    <x v="0"/>
    <x v="5"/>
    <s v="Station_50"/>
    <s v="Station_38"/>
    <d v="1899-12-30T11:46:00"/>
    <d v="1899-12-30T12:30:00"/>
    <n v="4"/>
    <n v="11"/>
    <x v="3"/>
    <n v="9.4"/>
    <n v="38"/>
    <n v="19"/>
    <n v="13.9"/>
    <x v="4"/>
    <n v="0"/>
    <n v="63"/>
    <x v="0"/>
    <x v="1"/>
    <x v="5"/>
    <x v="1"/>
    <x v="1"/>
    <x v="1"/>
  </r>
  <r>
    <s v="T00508"/>
    <d v="2023-01-06T00:00:00"/>
    <d v="1899-12-30T12:00:00"/>
    <x v="1"/>
    <x v="5"/>
    <s v="Station_30"/>
    <s v="Station_49"/>
    <d v="1899-12-30T12:01:00"/>
    <d v="1899-12-30T12:37:00"/>
    <n v="11"/>
    <n v="28"/>
    <x v="4"/>
    <n v="-2.7"/>
    <n v="38"/>
    <n v="9"/>
    <n v="17.2"/>
    <x v="0"/>
    <n v="0"/>
    <n v="63"/>
    <x v="0"/>
    <x v="1"/>
    <x v="5"/>
    <x v="1"/>
    <x v="1"/>
    <x v="1"/>
  </r>
  <r>
    <s v="T00509"/>
    <d v="2023-01-06T00:00:00"/>
    <d v="1899-12-30T12:15:00"/>
    <x v="3"/>
    <x v="1"/>
    <s v="Station_37"/>
    <s v="Station_42"/>
    <d v="1899-12-30T12:18:00"/>
    <d v="1899-12-30T13:02:00"/>
    <n v="-1"/>
    <n v="7"/>
    <x v="2"/>
    <n v="20.6"/>
    <n v="51"/>
    <n v="18"/>
    <n v="7.6"/>
    <x v="0"/>
    <n v="0"/>
    <n v="27"/>
    <x v="0"/>
    <x v="0"/>
    <x v="5"/>
    <x v="1"/>
    <x v="1"/>
    <x v="2"/>
  </r>
  <r>
    <s v="T00510"/>
    <d v="2023-01-06T00:00:00"/>
    <d v="1899-12-30T12:30:00"/>
    <x v="2"/>
    <x v="0"/>
    <s v="Station_25"/>
    <s v="Station_28"/>
    <d v="1899-12-30T12:34:00"/>
    <d v="1899-12-30T12:58:00"/>
    <n v="8"/>
    <n v="20"/>
    <x v="3"/>
    <n v="17.8"/>
    <n v="92"/>
    <n v="17"/>
    <n v="19.3"/>
    <x v="5"/>
    <n v="500"/>
    <n v="39"/>
    <x v="0"/>
    <x v="1"/>
    <x v="5"/>
    <x v="3"/>
    <x v="1"/>
    <x v="1"/>
  </r>
  <r>
    <s v="T00511"/>
    <d v="2023-01-06T00:00:00"/>
    <d v="1899-12-30T12:45:00"/>
    <x v="3"/>
    <x v="0"/>
    <s v="Station_48"/>
    <s v="Station_1"/>
    <d v="1899-12-30T12:46:00"/>
    <d v="1899-12-30T13:36:00"/>
    <n v="5"/>
    <n v="-1"/>
    <x v="3"/>
    <n v="-0.5"/>
    <n v="95"/>
    <n v="29"/>
    <n v="5.3"/>
    <x v="5"/>
    <n v="0"/>
    <n v="90"/>
    <x v="0"/>
    <x v="1"/>
    <x v="5"/>
    <x v="2"/>
    <x v="0"/>
    <x v="0"/>
  </r>
  <r>
    <s v="T00512"/>
    <d v="2023-01-06T00:00:00"/>
    <d v="1899-12-30T13:00:00"/>
    <x v="0"/>
    <x v="7"/>
    <s v="Station_27"/>
    <s v="Station_35"/>
    <d v="1899-12-30T13:01:00"/>
    <d v="1899-12-30T13:25:00"/>
    <n v="10"/>
    <n v="26"/>
    <x v="1"/>
    <n v="31.4"/>
    <n v="87"/>
    <n v="29"/>
    <n v="6.3"/>
    <x v="4"/>
    <n v="0"/>
    <n v="13"/>
    <x v="0"/>
    <x v="1"/>
    <x v="5"/>
    <x v="0"/>
    <x v="1"/>
    <x v="2"/>
  </r>
  <r>
    <s v="T00513"/>
    <d v="2023-01-06T00:00:00"/>
    <d v="1899-12-30T13:15:00"/>
    <x v="3"/>
    <x v="1"/>
    <s v="Station_14"/>
    <s v="Station_40"/>
    <d v="1899-12-30T13:18:00"/>
    <d v="1899-12-30T13:48:00"/>
    <n v="18"/>
    <n v="2"/>
    <x v="4"/>
    <n v="3"/>
    <n v="99"/>
    <n v="24"/>
    <n v="18.399999999999999"/>
    <x v="1"/>
    <n v="50000"/>
    <n v="41"/>
    <x v="0"/>
    <x v="1"/>
    <x v="5"/>
    <x v="3"/>
    <x v="0"/>
    <x v="1"/>
  </r>
  <r>
    <s v="T00514"/>
    <d v="2023-01-06T00:00:00"/>
    <d v="1899-12-30T13:30:00"/>
    <x v="3"/>
    <x v="14"/>
    <s v="Station_48"/>
    <s v="Station_8"/>
    <d v="1899-12-30T13:33:00"/>
    <d v="1899-12-30T14:17:00"/>
    <n v="12"/>
    <n v="-2"/>
    <x v="5"/>
    <n v="24.7"/>
    <n v="84"/>
    <n v="23"/>
    <n v="19.399999999999999"/>
    <x v="0"/>
    <n v="500"/>
    <n v="38"/>
    <x v="0"/>
    <x v="1"/>
    <x v="5"/>
    <x v="1"/>
    <x v="0"/>
    <x v="1"/>
  </r>
  <r>
    <s v="T00515"/>
    <d v="2023-01-06T00:00:00"/>
    <d v="1899-12-30T13:45:00"/>
    <x v="0"/>
    <x v="8"/>
    <s v="Station_47"/>
    <s v="Station_47"/>
    <d v="1899-12-30T13:49:00"/>
    <d v="1899-12-30T14:28:00"/>
    <n v="0"/>
    <n v="10"/>
    <x v="1"/>
    <n v="30.4"/>
    <n v="42"/>
    <n v="9"/>
    <n v="5.7"/>
    <x v="4"/>
    <n v="0"/>
    <n v="1"/>
    <x v="0"/>
    <x v="0"/>
    <x v="5"/>
    <x v="1"/>
    <x v="1"/>
    <x v="2"/>
  </r>
  <r>
    <s v="T00516"/>
    <d v="2023-01-06T00:00:00"/>
    <d v="1899-12-30T14:00:00"/>
    <x v="1"/>
    <x v="13"/>
    <s v="Station_36"/>
    <s v="Station_7"/>
    <d v="1899-12-30T14:00:00"/>
    <d v="1899-12-30T14:32:00"/>
    <n v="11"/>
    <n v="14"/>
    <x v="5"/>
    <n v="18.2"/>
    <n v="48"/>
    <n v="1"/>
    <n v="2.7"/>
    <x v="4"/>
    <n v="0"/>
    <n v="80"/>
    <x v="0"/>
    <x v="1"/>
    <x v="5"/>
    <x v="1"/>
    <x v="1"/>
    <x v="0"/>
  </r>
  <r>
    <s v="T00517"/>
    <d v="2023-01-06T00:00:00"/>
    <d v="1899-12-30T14:15:00"/>
    <x v="3"/>
    <x v="16"/>
    <s v="Station_39"/>
    <s v="Station_11"/>
    <d v="1899-12-30T14:15:00"/>
    <d v="1899-12-30T14:46:00"/>
    <n v="12"/>
    <n v="27"/>
    <x v="4"/>
    <n v="4.9000000000000004"/>
    <n v="62"/>
    <n v="37"/>
    <n v="15.2"/>
    <x v="0"/>
    <n v="0"/>
    <n v="0"/>
    <x v="0"/>
    <x v="1"/>
    <x v="5"/>
    <x v="1"/>
    <x v="1"/>
    <x v="2"/>
  </r>
  <r>
    <s v="T00518"/>
    <d v="2023-01-06T00:00:00"/>
    <d v="1899-12-30T14:30:00"/>
    <x v="1"/>
    <x v="9"/>
    <s v="Station_16"/>
    <s v="Station_39"/>
    <d v="1899-12-30T14:32:00"/>
    <d v="1899-12-30T15:08:00"/>
    <n v="-1"/>
    <n v="9"/>
    <x v="1"/>
    <n v="7.4"/>
    <n v="94"/>
    <n v="31"/>
    <n v="18.600000000000001"/>
    <x v="2"/>
    <n v="0"/>
    <n v="31"/>
    <x v="1"/>
    <x v="1"/>
    <x v="5"/>
    <x v="0"/>
    <x v="1"/>
    <x v="2"/>
  </r>
  <r>
    <s v="T00519"/>
    <d v="2023-01-06T00:00:00"/>
    <d v="1899-12-30T14:45:00"/>
    <x v="3"/>
    <x v="6"/>
    <s v="Station_22"/>
    <s v="Station_4"/>
    <d v="1899-12-30T14:46:00"/>
    <d v="1899-12-30T15:25:00"/>
    <n v="16"/>
    <n v="22"/>
    <x v="4"/>
    <n v="30.4"/>
    <n v="89"/>
    <n v="34"/>
    <n v="12"/>
    <x v="5"/>
    <n v="50000"/>
    <n v="82"/>
    <x v="0"/>
    <x v="1"/>
    <x v="5"/>
    <x v="1"/>
    <x v="1"/>
    <x v="0"/>
  </r>
  <r>
    <s v="T00520"/>
    <d v="2023-01-06T00:00:00"/>
    <d v="1899-12-30T15:00:00"/>
    <x v="1"/>
    <x v="14"/>
    <s v="Station_21"/>
    <s v="Station_25"/>
    <d v="1899-12-30T15:04:00"/>
    <d v="1899-12-30T15:46:00"/>
    <n v="9"/>
    <n v="8"/>
    <x v="2"/>
    <n v="6.9"/>
    <n v="41"/>
    <n v="50"/>
    <n v="12.7"/>
    <x v="0"/>
    <n v="500"/>
    <n v="63"/>
    <x v="0"/>
    <x v="1"/>
    <x v="5"/>
    <x v="0"/>
    <x v="1"/>
    <x v="1"/>
  </r>
  <r>
    <s v="T00521"/>
    <d v="2023-01-06T00:00:00"/>
    <d v="1899-12-30T15:15:00"/>
    <x v="0"/>
    <x v="19"/>
    <s v="Station_21"/>
    <s v="Station_12"/>
    <d v="1899-12-30T15:16:00"/>
    <d v="1899-12-30T15:53:00"/>
    <n v="17"/>
    <n v="14"/>
    <x v="1"/>
    <n v="24.8"/>
    <n v="72"/>
    <n v="36"/>
    <n v="15.3"/>
    <x v="2"/>
    <n v="50000"/>
    <n v="77"/>
    <x v="0"/>
    <x v="1"/>
    <x v="5"/>
    <x v="1"/>
    <x v="1"/>
    <x v="0"/>
  </r>
  <r>
    <s v="T00522"/>
    <d v="2023-01-06T00:00:00"/>
    <d v="1899-12-30T15:30:00"/>
    <x v="3"/>
    <x v="15"/>
    <s v="Station_8"/>
    <s v="Station_26"/>
    <d v="1899-12-30T15:34:00"/>
    <d v="1899-12-30T16:13:00"/>
    <n v="1"/>
    <n v="5"/>
    <x v="5"/>
    <n v="34.6"/>
    <n v="46"/>
    <n v="6"/>
    <n v="3.1"/>
    <x v="4"/>
    <n v="10000"/>
    <n v="30"/>
    <x v="0"/>
    <x v="1"/>
    <x v="5"/>
    <x v="3"/>
    <x v="0"/>
    <x v="2"/>
  </r>
  <r>
    <s v="T00523"/>
    <d v="2023-01-06T00:00:00"/>
    <d v="1899-12-30T15:45:00"/>
    <x v="0"/>
    <x v="7"/>
    <s v="Station_49"/>
    <s v="Station_38"/>
    <d v="1899-12-30T15:49:00"/>
    <d v="1899-12-30T16:30:00"/>
    <n v="0"/>
    <n v="17"/>
    <x v="2"/>
    <n v="35"/>
    <n v="97"/>
    <n v="6"/>
    <n v="19.5"/>
    <x v="0"/>
    <n v="0"/>
    <n v="57"/>
    <x v="0"/>
    <x v="1"/>
    <x v="5"/>
    <x v="0"/>
    <x v="1"/>
    <x v="1"/>
  </r>
  <r>
    <s v="T00524"/>
    <d v="2023-01-06T00:00:00"/>
    <d v="1899-12-30T16:00:00"/>
    <x v="3"/>
    <x v="6"/>
    <s v="Station_16"/>
    <s v="Station_46"/>
    <d v="1899-12-30T16:04:00"/>
    <d v="1899-12-30T16:47:00"/>
    <n v="2"/>
    <n v="20"/>
    <x v="0"/>
    <n v="16.3"/>
    <n v="58"/>
    <n v="26"/>
    <n v="7.3"/>
    <x v="2"/>
    <n v="500"/>
    <n v="81"/>
    <x v="0"/>
    <x v="0"/>
    <x v="5"/>
    <x v="0"/>
    <x v="1"/>
    <x v="0"/>
  </r>
  <r>
    <s v="T00525"/>
    <d v="2023-01-06T00:00:00"/>
    <d v="1899-12-30T16:15:00"/>
    <x v="0"/>
    <x v="6"/>
    <s v="Station_31"/>
    <s v="Station_12"/>
    <d v="1899-12-30T16:16:00"/>
    <d v="1899-12-30T16:52:00"/>
    <n v="0"/>
    <n v="4"/>
    <x v="5"/>
    <n v="28.1"/>
    <n v="84"/>
    <n v="9"/>
    <n v="12.6"/>
    <x v="0"/>
    <n v="10000"/>
    <n v="77"/>
    <x v="0"/>
    <x v="1"/>
    <x v="5"/>
    <x v="3"/>
    <x v="0"/>
    <x v="0"/>
  </r>
  <r>
    <s v="T00526"/>
    <d v="2023-01-06T00:00:00"/>
    <d v="1899-12-30T16:30:00"/>
    <x v="0"/>
    <x v="19"/>
    <s v="Station_42"/>
    <s v="Station_43"/>
    <d v="1899-12-30T16:33:00"/>
    <d v="1899-12-30T17:25:00"/>
    <n v="12"/>
    <n v="29"/>
    <x v="4"/>
    <n v="34.6"/>
    <n v="36"/>
    <n v="32"/>
    <n v="9.4"/>
    <x v="1"/>
    <n v="0"/>
    <n v="13"/>
    <x v="0"/>
    <x v="1"/>
    <x v="5"/>
    <x v="1"/>
    <x v="1"/>
    <x v="2"/>
  </r>
  <r>
    <s v="T00527"/>
    <d v="2023-01-06T00:00:00"/>
    <d v="1899-12-30T16:45:00"/>
    <x v="3"/>
    <x v="5"/>
    <s v="Station_10"/>
    <s v="Station_37"/>
    <d v="1899-12-30T16:46:00"/>
    <d v="1899-12-30T17:33:00"/>
    <n v="16"/>
    <n v="19"/>
    <x v="5"/>
    <n v="10"/>
    <n v="73"/>
    <n v="42"/>
    <n v="9.4"/>
    <x v="0"/>
    <n v="0"/>
    <n v="87"/>
    <x v="0"/>
    <x v="1"/>
    <x v="5"/>
    <x v="1"/>
    <x v="1"/>
    <x v="0"/>
  </r>
  <r>
    <s v="T00528"/>
    <d v="2023-01-06T00:00:00"/>
    <d v="1899-12-30T17:00:00"/>
    <x v="3"/>
    <x v="3"/>
    <s v="Station_32"/>
    <s v="Station_46"/>
    <d v="1899-12-30T17:04:00"/>
    <d v="1899-12-30T17:36:00"/>
    <n v="-1"/>
    <n v="9"/>
    <x v="0"/>
    <n v="5.0999999999999996"/>
    <n v="34"/>
    <n v="54"/>
    <n v="14.1"/>
    <x v="1"/>
    <n v="0"/>
    <n v="68"/>
    <x v="0"/>
    <x v="0"/>
    <x v="5"/>
    <x v="2"/>
    <x v="1"/>
    <x v="0"/>
  </r>
  <r>
    <s v="T00529"/>
    <d v="2023-01-06T00:00:00"/>
    <d v="1899-12-30T17:15:00"/>
    <x v="3"/>
    <x v="13"/>
    <s v="Station_34"/>
    <s v="Station_24"/>
    <d v="1899-12-30T17:17:00"/>
    <d v="1899-12-30T17:38:00"/>
    <n v="9"/>
    <n v="10"/>
    <x v="5"/>
    <n v="-0.4"/>
    <n v="89"/>
    <n v="6"/>
    <n v="19.899999999999999"/>
    <x v="0"/>
    <n v="0"/>
    <n v="15"/>
    <x v="0"/>
    <x v="1"/>
    <x v="5"/>
    <x v="2"/>
    <x v="1"/>
    <x v="2"/>
  </r>
  <r>
    <s v="T00530"/>
    <d v="2023-01-06T00:00:00"/>
    <d v="1899-12-30T17:30:00"/>
    <x v="2"/>
    <x v="1"/>
    <s v="Station_9"/>
    <s v="Station_16"/>
    <d v="1899-12-30T17:30:00"/>
    <d v="1899-12-30T18:18:00"/>
    <n v="2"/>
    <n v="10"/>
    <x v="2"/>
    <n v="0.6"/>
    <n v="35"/>
    <n v="5"/>
    <n v="13.2"/>
    <x v="0"/>
    <n v="2000"/>
    <n v="68"/>
    <x v="0"/>
    <x v="1"/>
    <x v="5"/>
    <x v="0"/>
    <x v="1"/>
    <x v="0"/>
  </r>
  <r>
    <s v="T00531"/>
    <d v="2023-01-06T00:00:00"/>
    <d v="1899-12-30T17:45:00"/>
    <x v="1"/>
    <x v="11"/>
    <s v="Station_17"/>
    <s v="Station_13"/>
    <d v="1899-12-30T17:49:00"/>
    <d v="1899-12-30T18:08:00"/>
    <n v="19"/>
    <n v="12"/>
    <x v="3"/>
    <n v="29.1"/>
    <n v="36"/>
    <n v="5"/>
    <n v="15.9"/>
    <x v="0"/>
    <n v="500"/>
    <n v="53"/>
    <x v="0"/>
    <x v="1"/>
    <x v="5"/>
    <x v="2"/>
    <x v="1"/>
    <x v="1"/>
  </r>
  <r>
    <s v="T00532"/>
    <d v="2023-01-06T00:00:00"/>
    <d v="1899-12-30T18:00:00"/>
    <x v="2"/>
    <x v="14"/>
    <s v="Station_11"/>
    <s v="Station_25"/>
    <d v="1899-12-30T18:02:00"/>
    <d v="1899-12-30T18:29:00"/>
    <n v="14"/>
    <n v="22"/>
    <x v="5"/>
    <n v="18.5"/>
    <n v="75"/>
    <n v="12"/>
    <n v="0.6"/>
    <x v="0"/>
    <n v="50000"/>
    <n v="12"/>
    <x v="0"/>
    <x v="1"/>
    <x v="5"/>
    <x v="3"/>
    <x v="1"/>
    <x v="2"/>
  </r>
  <r>
    <s v="T00533"/>
    <d v="2023-01-06T00:00:00"/>
    <d v="1899-12-30T18:15:00"/>
    <x v="2"/>
    <x v="8"/>
    <s v="Station_32"/>
    <s v="Station_4"/>
    <d v="1899-12-30T18:18:00"/>
    <d v="1899-12-30T18:59:00"/>
    <n v="11"/>
    <n v="22"/>
    <x v="1"/>
    <n v="29.9"/>
    <n v="86"/>
    <n v="47"/>
    <n v="16.2"/>
    <x v="0"/>
    <n v="500"/>
    <n v="79"/>
    <x v="0"/>
    <x v="0"/>
    <x v="5"/>
    <x v="3"/>
    <x v="1"/>
    <x v="0"/>
  </r>
  <r>
    <s v="T00534"/>
    <d v="2023-01-06T00:00:00"/>
    <d v="1899-12-30T18:30:00"/>
    <x v="0"/>
    <x v="17"/>
    <s v="Station_10"/>
    <s v="Station_11"/>
    <d v="1899-12-30T18:34:00"/>
    <d v="1899-12-30T19:20:00"/>
    <n v="19"/>
    <n v="-3"/>
    <x v="0"/>
    <n v="26.6"/>
    <n v="83"/>
    <n v="12"/>
    <n v="6"/>
    <x v="0"/>
    <n v="10000"/>
    <n v="78"/>
    <x v="1"/>
    <x v="0"/>
    <x v="5"/>
    <x v="3"/>
    <x v="0"/>
    <x v="0"/>
  </r>
  <r>
    <s v="T00535"/>
    <d v="2023-01-06T00:00:00"/>
    <d v="1899-12-30T18:45:00"/>
    <x v="3"/>
    <x v="16"/>
    <s v="Station_22"/>
    <s v="Station_32"/>
    <d v="1899-12-30T18:47:00"/>
    <d v="1899-12-30T19:07:00"/>
    <n v="7"/>
    <n v="28"/>
    <x v="5"/>
    <n v="21.9"/>
    <n v="75"/>
    <n v="1"/>
    <n v="2.5"/>
    <x v="1"/>
    <n v="0"/>
    <n v="30"/>
    <x v="0"/>
    <x v="1"/>
    <x v="5"/>
    <x v="0"/>
    <x v="1"/>
    <x v="2"/>
  </r>
  <r>
    <s v="T00536"/>
    <d v="2023-01-06T00:00:00"/>
    <d v="1899-12-30T19:00:00"/>
    <x v="1"/>
    <x v="8"/>
    <s v="Station_17"/>
    <s v="Station_49"/>
    <d v="1899-12-30T19:04:00"/>
    <d v="1899-12-30T19:21:00"/>
    <n v="0"/>
    <n v="11"/>
    <x v="0"/>
    <n v="19.399999999999999"/>
    <n v="39"/>
    <n v="18"/>
    <n v="2.2999999999999998"/>
    <x v="5"/>
    <n v="0"/>
    <n v="68"/>
    <x v="0"/>
    <x v="0"/>
    <x v="5"/>
    <x v="3"/>
    <x v="1"/>
    <x v="0"/>
  </r>
  <r>
    <s v="T00537"/>
    <d v="2023-01-06T00:00:00"/>
    <d v="1899-12-30T19:15:00"/>
    <x v="0"/>
    <x v="12"/>
    <s v="Station_4"/>
    <s v="Station_7"/>
    <d v="1899-12-30T19:16:00"/>
    <d v="1899-12-30T19:59:00"/>
    <n v="1"/>
    <n v="17"/>
    <x v="3"/>
    <n v="-3.1"/>
    <n v="33"/>
    <n v="50"/>
    <n v="13.6"/>
    <x v="5"/>
    <n v="50000"/>
    <n v="20"/>
    <x v="0"/>
    <x v="1"/>
    <x v="5"/>
    <x v="0"/>
    <x v="1"/>
    <x v="2"/>
  </r>
  <r>
    <s v="T00538"/>
    <d v="2023-01-06T00:00:00"/>
    <d v="1899-12-30T19:30:00"/>
    <x v="2"/>
    <x v="0"/>
    <s v="Station_48"/>
    <s v="Station_46"/>
    <d v="1899-12-30T19:32:00"/>
    <d v="1899-12-30T19:55:00"/>
    <n v="3"/>
    <n v="14"/>
    <x v="2"/>
    <n v="29.9"/>
    <n v="96"/>
    <n v="18"/>
    <n v="20"/>
    <x v="5"/>
    <n v="2000"/>
    <n v="29"/>
    <x v="0"/>
    <x v="1"/>
    <x v="5"/>
    <x v="0"/>
    <x v="1"/>
    <x v="2"/>
  </r>
  <r>
    <s v="T00539"/>
    <d v="2023-01-06T00:00:00"/>
    <d v="1899-12-30T19:45:00"/>
    <x v="3"/>
    <x v="17"/>
    <s v="Station_47"/>
    <s v="Station_11"/>
    <d v="1899-12-30T19:46:00"/>
    <d v="1899-12-30T20:30:00"/>
    <n v="19"/>
    <n v="26"/>
    <x v="1"/>
    <n v="11.7"/>
    <n v="54"/>
    <n v="49"/>
    <n v="13.3"/>
    <x v="2"/>
    <n v="500"/>
    <n v="22"/>
    <x v="0"/>
    <x v="0"/>
    <x v="5"/>
    <x v="3"/>
    <x v="1"/>
    <x v="2"/>
  </r>
  <r>
    <s v="T00540"/>
    <d v="2023-01-06T00:00:00"/>
    <d v="1899-12-30T20:00:00"/>
    <x v="0"/>
    <x v="8"/>
    <s v="Station_25"/>
    <s v="Station_28"/>
    <d v="1899-12-30T20:01:00"/>
    <d v="1899-12-30T20:27:00"/>
    <n v="13"/>
    <n v="9"/>
    <x v="4"/>
    <n v="17.399999999999999"/>
    <n v="90"/>
    <n v="56"/>
    <n v="5.2"/>
    <x v="0"/>
    <n v="0"/>
    <n v="37"/>
    <x v="0"/>
    <x v="1"/>
    <x v="5"/>
    <x v="3"/>
    <x v="1"/>
    <x v="1"/>
  </r>
  <r>
    <s v="T00541"/>
    <d v="2023-01-06T00:00:00"/>
    <d v="1899-12-30T20:15:00"/>
    <x v="3"/>
    <x v="1"/>
    <s v="Station_21"/>
    <s v="Station_41"/>
    <d v="1899-12-30T20:17:00"/>
    <d v="1899-12-30T21:09:00"/>
    <n v="4"/>
    <n v="20"/>
    <x v="5"/>
    <n v="-4.0999999999999996"/>
    <n v="67"/>
    <n v="37"/>
    <n v="4.0999999999999996"/>
    <x v="1"/>
    <n v="500"/>
    <n v="28"/>
    <x v="0"/>
    <x v="1"/>
    <x v="5"/>
    <x v="0"/>
    <x v="1"/>
    <x v="2"/>
  </r>
  <r>
    <s v="T00542"/>
    <d v="2023-01-06T00:00:00"/>
    <d v="1899-12-30T20:30:00"/>
    <x v="0"/>
    <x v="7"/>
    <s v="Station_37"/>
    <s v="Station_23"/>
    <d v="1899-12-30T20:30:00"/>
    <d v="1899-12-30T21:16:00"/>
    <n v="12"/>
    <n v="26"/>
    <x v="2"/>
    <n v="32.4"/>
    <n v="61"/>
    <n v="1"/>
    <n v="10.5"/>
    <x v="1"/>
    <n v="10000"/>
    <n v="76"/>
    <x v="0"/>
    <x v="0"/>
    <x v="5"/>
    <x v="3"/>
    <x v="1"/>
    <x v="0"/>
  </r>
  <r>
    <s v="T00543"/>
    <d v="2023-01-06T00:00:00"/>
    <d v="1899-12-30T20:45:00"/>
    <x v="3"/>
    <x v="14"/>
    <s v="Station_38"/>
    <s v="Station_45"/>
    <d v="1899-12-30T20:47:00"/>
    <d v="1899-12-30T21:29:00"/>
    <n v="18"/>
    <n v="-2"/>
    <x v="0"/>
    <n v="31.1"/>
    <n v="52"/>
    <n v="50"/>
    <n v="1.3"/>
    <x v="0"/>
    <n v="0"/>
    <n v="31"/>
    <x v="0"/>
    <x v="1"/>
    <x v="5"/>
    <x v="2"/>
    <x v="0"/>
    <x v="2"/>
  </r>
  <r>
    <s v="T00544"/>
    <d v="2023-01-06T00:00:00"/>
    <d v="1899-12-30T21:00:00"/>
    <x v="2"/>
    <x v="10"/>
    <s v="Station_49"/>
    <s v="Station_23"/>
    <d v="1899-12-30T21:00:00"/>
    <d v="1899-12-30T21:37:00"/>
    <n v="17"/>
    <n v="15"/>
    <x v="3"/>
    <n v="16.7"/>
    <n v="66"/>
    <n v="25"/>
    <n v="8"/>
    <x v="4"/>
    <n v="2000"/>
    <n v="61"/>
    <x v="0"/>
    <x v="1"/>
    <x v="5"/>
    <x v="0"/>
    <x v="1"/>
    <x v="1"/>
  </r>
  <r>
    <s v="T00545"/>
    <d v="2023-01-06T00:00:00"/>
    <d v="1899-12-30T21:15:00"/>
    <x v="1"/>
    <x v="14"/>
    <s v="Station_1"/>
    <s v="Station_50"/>
    <d v="1899-12-30T21:19:00"/>
    <d v="1899-12-30T21:35:00"/>
    <n v="8"/>
    <n v="21"/>
    <x v="0"/>
    <n v="18.100000000000001"/>
    <n v="32"/>
    <n v="5"/>
    <n v="13.3"/>
    <x v="0"/>
    <n v="0"/>
    <n v="90"/>
    <x v="0"/>
    <x v="1"/>
    <x v="5"/>
    <x v="1"/>
    <x v="1"/>
    <x v="0"/>
  </r>
  <r>
    <s v="T00546"/>
    <d v="2023-01-06T00:00:00"/>
    <d v="1899-12-30T21:30:00"/>
    <x v="2"/>
    <x v="2"/>
    <s v="Station_25"/>
    <s v="Station_28"/>
    <d v="1899-12-30T21:34:00"/>
    <d v="1899-12-30T22:28:00"/>
    <n v="19"/>
    <n v="10"/>
    <x v="3"/>
    <n v="23.2"/>
    <n v="42"/>
    <n v="19"/>
    <n v="19.399999999999999"/>
    <x v="5"/>
    <n v="0"/>
    <n v="97"/>
    <x v="0"/>
    <x v="0"/>
    <x v="5"/>
    <x v="0"/>
    <x v="1"/>
    <x v="0"/>
  </r>
  <r>
    <s v="T00547"/>
    <d v="2023-01-06T00:00:00"/>
    <d v="1899-12-30T21:45:00"/>
    <x v="1"/>
    <x v="8"/>
    <s v="Station_36"/>
    <s v="Station_43"/>
    <d v="1899-12-30T21:47:00"/>
    <d v="1899-12-30T22:07:00"/>
    <n v="18"/>
    <n v="2"/>
    <x v="3"/>
    <n v="5.6"/>
    <n v="63"/>
    <n v="22"/>
    <n v="8.5"/>
    <x v="4"/>
    <n v="2000"/>
    <n v="44"/>
    <x v="0"/>
    <x v="0"/>
    <x v="5"/>
    <x v="3"/>
    <x v="0"/>
    <x v="1"/>
  </r>
  <r>
    <s v="T00548"/>
    <d v="2023-01-06T00:00:00"/>
    <d v="1899-12-30T22:00:00"/>
    <x v="3"/>
    <x v="11"/>
    <s v="Station_17"/>
    <s v="Station_47"/>
    <d v="1899-12-30T22:04:00"/>
    <d v="1899-12-30T22:23:00"/>
    <n v="-2"/>
    <n v="8"/>
    <x v="2"/>
    <n v="3.9"/>
    <n v="94"/>
    <n v="53"/>
    <n v="4"/>
    <x v="3"/>
    <n v="0"/>
    <n v="48"/>
    <x v="0"/>
    <x v="1"/>
    <x v="5"/>
    <x v="3"/>
    <x v="1"/>
    <x v="1"/>
  </r>
  <r>
    <s v="T00549"/>
    <d v="2023-01-06T00:00:00"/>
    <d v="1899-12-30T22:15:00"/>
    <x v="0"/>
    <x v="4"/>
    <s v="Station_41"/>
    <s v="Station_26"/>
    <d v="1899-12-30T22:18:00"/>
    <d v="1899-12-30T23:11:00"/>
    <n v="2"/>
    <n v="16"/>
    <x v="5"/>
    <n v="22"/>
    <n v="37"/>
    <n v="14"/>
    <n v="16.3"/>
    <x v="0"/>
    <n v="0"/>
    <n v="32"/>
    <x v="0"/>
    <x v="0"/>
    <x v="5"/>
    <x v="0"/>
    <x v="1"/>
    <x v="2"/>
  </r>
  <r>
    <s v="T00550"/>
    <d v="2023-01-06T00:00:00"/>
    <d v="1899-12-30T22:30:00"/>
    <x v="2"/>
    <x v="8"/>
    <s v="Station_24"/>
    <s v="Station_25"/>
    <d v="1899-12-30T22:31:00"/>
    <d v="1899-12-30T23:04:00"/>
    <n v="10"/>
    <n v="19"/>
    <x v="4"/>
    <n v="-0.8"/>
    <n v="38"/>
    <n v="5"/>
    <n v="14.9"/>
    <x v="0"/>
    <n v="2000"/>
    <n v="3"/>
    <x v="0"/>
    <x v="0"/>
    <x v="5"/>
    <x v="0"/>
    <x v="1"/>
    <x v="2"/>
  </r>
  <r>
    <s v="T00551"/>
    <d v="2023-01-06T00:00:00"/>
    <d v="1899-12-30T22:45:00"/>
    <x v="1"/>
    <x v="19"/>
    <s v="Station_2"/>
    <s v="Station_29"/>
    <d v="1899-12-30T22:46:00"/>
    <d v="1899-12-30T23:12:00"/>
    <n v="18"/>
    <n v="26"/>
    <x v="5"/>
    <n v="13.2"/>
    <n v="57"/>
    <n v="27"/>
    <n v="17.2"/>
    <x v="3"/>
    <n v="2000"/>
    <n v="17"/>
    <x v="0"/>
    <x v="1"/>
    <x v="5"/>
    <x v="1"/>
    <x v="1"/>
    <x v="2"/>
  </r>
  <r>
    <s v="T00552"/>
    <d v="2023-01-06T00:00:00"/>
    <d v="1899-12-30T23:00:00"/>
    <x v="2"/>
    <x v="4"/>
    <s v="Station_40"/>
    <s v="Station_19"/>
    <d v="1899-12-30T23:00:00"/>
    <d v="1899-12-30T23:57:00"/>
    <n v="11"/>
    <n v="26"/>
    <x v="1"/>
    <n v="14.7"/>
    <n v="47"/>
    <n v="34"/>
    <n v="4.3"/>
    <x v="0"/>
    <n v="0"/>
    <n v="69"/>
    <x v="0"/>
    <x v="0"/>
    <x v="5"/>
    <x v="1"/>
    <x v="1"/>
    <x v="0"/>
  </r>
  <r>
    <s v="T00553"/>
    <d v="2023-01-06T00:00:00"/>
    <d v="1899-12-30T23:15:00"/>
    <x v="1"/>
    <x v="7"/>
    <s v="Station_15"/>
    <s v="Station_33"/>
    <d v="1899-12-30T23:19:00"/>
    <d v="1899-12-30T23:53:00"/>
    <n v="6"/>
    <n v="26"/>
    <x v="5"/>
    <n v="10.3"/>
    <n v="71"/>
    <n v="10"/>
    <n v="8.1"/>
    <x v="0"/>
    <n v="50000"/>
    <n v="63"/>
    <x v="0"/>
    <x v="1"/>
    <x v="5"/>
    <x v="0"/>
    <x v="1"/>
    <x v="1"/>
  </r>
  <r>
    <s v="T00554"/>
    <d v="2023-01-06T00:00:00"/>
    <d v="1899-12-30T23:30:00"/>
    <x v="2"/>
    <x v="6"/>
    <s v="Station_32"/>
    <s v="Station_36"/>
    <d v="1899-12-30T23:30:00"/>
    <d v="1899-12-30T00:15:00"/>
    <n v="14"/>
    <n v="26"/>
    <x v="3"/>
    <n v="2.4"/>
    <n v="70"/>
    <n v="7"/>
    <n v="19.600000000000001"/>
    <x v="4"/>
    <n v="0"/>
    <n v="27"/>
    <x v="0"/>
    <x v="1"/>
    <x v="5"/>
    <x v="3"/>
    <x v="1"/>
    <x v="2"/>
  </r>
  <r>
    <s v="T00555"/>
    <d v="2023-01-06T00:00:00"/>
    <d v="1899-12-30T23:45:00"/>
    <x v="1"/>
    <x v="0"/>
    <s v="Station_39"/>
    <s v="Station_14"/>
    <d v="1899-12-30T23:46:00"/>
    <d v="1899-12-30T00:43:00"/>
    <n v="12"/>
    <n v="12"/>
    <x v="3"/>
    <n v="9.1999999999999993"/>
    <n v="99"/>
    <n v="56"/>
    <n v="3.2"/>
    <x v="5"/>
    <n v="50000"/>
    <n v="57"/>
    <x v="0"/>
    <x v="1"/>
    <x v="5"/>
    <x v="0"/>
    <x v="1"/>
    <x v="1"/>
  </r>
  <r>
    <s v="T00556"/>
    <d v="2023-01-07T00:00:00"/>
    <d v="1899-12-30T00:00:00"/>
    <x v="1"/>
    <x v="0"/>
    <s v="Station_6"/>
    <s v="Station_14"/>
    <d v="1899-12-30T00:01:00"/>
    <d v="1899-12-30T00:29:00"/>
    <n v="18"/>
    <n v="20"/>
    <x v="1"/>
    <n v="8.5"/>
    <n v="62"/>
    <n v="53"/>
    <n v="13.4"/>
    <x v="0"/>
    <n v="2000"/>
    <n v="90"/>
    <x v="0"/>
    <x v="1"/>
    <x v="6"/>
    <x v="2"/>
    <x v="1"/>
    <x v="0"/>
  </r>
  <r>
    <s v="T00557"/>
    <d v="2023-01-07T00:00:00"/>
    <d v="1899-12-30T00:15:00"/>
    <x v="3"/>
    <x v="16"/>
    <s v="Station_1"/>
    <s v="Station_35"/>
    <d v="1899-12-30T00:19:00"/>
    <d v="1899-12-30T01:12:00"/>
    <n v="4"/>
    <n v="10"/>
    <x v="0"/>
    <n v="15"/>
    <n v="83"/>
    <n v="49"/>
    <n v="4.7"/>
    <x v="0"/>
    <n v="0"/>
    <n v="89"/>
    <x v="1"/>
    <x v="1"/>
    <x v="6"/>
    <x v="2"/>
    <x v="1"/>
    <x v="0"/>
  </r>
  <r>
    <s v="T00558"/>
    <d v="2023-01-07T00:00:00"/>
    <d v="1899-12-30T00:30:00"/>
    <x v="1"/>
    <x v="19"/>
    <s v="Station_47"/>
    <s v="Station_30"/>
    <d v="1899-12-30T00:33:00"/>
    <d v="1899-12-30T01:03:00"/>
    <n v="19"/>
    <n v="22"/>
    <x v="3"/>
    <n v="22"/>
    <n v="65"/>
    <n v="48"/>
    <n v="10"/>
    <x v="0"/>
    <n v="0"/>
    <n v="55"/>
    <x v="0"/>
    <x v="1"/>
    <x v="6"/>
    <x v="3"/>
    <x v="1"/>
    <x v="1"/>
  </r>
  <r>
    <s v="T00559"/>
    <d v="2023-01-07T00:00:00"/>
    <d v="1899-12-30T00:45:00"/>
    <x v="3"/>
    <x v="17"/>
    <s v="Station_23"/>
    <s v="Station_28"/>
    <d v="1899-12-30T00:48:00"/>
    <d v="1899-12-30T01:23:00"/>
    <n v="19"/>
    <n v="4"/>
    <x v="1"/>
    <n v="33.700000000000003"/>
    <n v="85"/>
    <n v="50"/>
    <n v="16"/>
    <x v="0"/>
    <n v="0"/>
    <n v="19"/>
    <x v="0"/>
    <x v="1"/>
    <x v="6"/>
    <x v="0"/>
    <x v="0"/>
    <x v="2"/>
  </r>
  <r>
    <s v="T00560"/>
    <d v="2023-01-07T00:00:00"/>
    <d v="1899-12-30T01:00:00"/>
    <x v="1"/>
    <x v="11"/>
    <s v="Station_39"/>
    <s v="Station_17"/>
    <d v="1899-12-30T01:04:00"/>
    <d v="1899-12-30T01:49:00"/>
    <n v="9"/>
    <n v="10"/>
    <x v="3"/>
    <n v="0.8"/>
    <n v="46"/>
    <n v="50"/>
    <n v="9.8000000000000007"/>
    <x v="0"/>
    <n v="0"/>
    <n v="76"/>
    <x v="0"/>
    <x v="1"/>
    <x v="6"/>
    <x v="0"/>
    <x v="1"/>
    <x v="0"/>
  </r>
  <r>
    <s v="T00561"/>
    <d v="2023-01-07T00:00:00"/>
    <d v="1899-12-30T01:15:00"/>
    <x v="0"/>
    <x v="8"/>
    <s v="Station_17"/>
    <s v="Station_3"/>
    <d v="1899-12-30T01:19:00"/>
    <d v="1899-12-30T01:39:00"/>
    <n v="3"/>
    <n v="27"/>
    <x v="4"/>
    <n v="29.9"/>
    <n v="39"/>
    <n v="23"/>
    <n v="16.100000000000001"/>
    <x v="5"/>
    <n v="500"/>
    <n v="91"/>
    <x v="0"/>
    <x v="1"/>
    <x v="6"/>
    <x v="2"/>
    <x v="1"/>
    <x v="0"/>
  </r>
  <r>
    <s v="T00562"/>
    <d v="2023-01-07T00:00:00"/>
    <d v="1899-12-30T01:30:00"/>
    <x v="0"/>
    <x v="8"/>
    <s v="Station_34"/>
    <s v="Station_16"/>
    <d v="1899-12-30T01:30:00"/>
    <d v="1899-12-30T02:20:00"/>
    <n v="18"/>
    <n v="-2"/>
    <x v="3"/>
    <n v="6.4"/>
    <n v="73"/>
    <n v="20"/>
    <n v="8.5"/>
    <x v="1"/>
    <n v="0"/>
    <n v="33"/>
    <x v="0"/>
    <x v="0"/>
    <x v="6"/>
    <x v="0"/>
    <x v="0"/>
    <x v="2"/>
  </r>
  <r>
    <s v="T00563"/>
    <d v="2023-01-07T00:00:00"/>
    <d v="1899-12-30T01:45:00"/>
    <x v="0"/>
    <x v="5"/>
    <s v="Station_41"/>
    <s v="Station_46"/>
    <d v="1899-12-30T01:49:00"/>
    <d v="1899-12-30T02:11:00"/>
    <n v="13"/>
    <n v="0"/>
    <x v="2"/>
    <n v="18.7"/>
    <n v="31"/>
    <n v="48"/>
    <n v="20"/>
    <x v="5"/>
    <n v="0"/>
    <n v="86"/>
    <x v="0"/>
    <x v="0"/>
    <x v="6"/>
    <x v="3"/>
    <x v="0"/>
    <x v="0"/>
  </r>
  <r>
    <s v="T00564"/>
    <d v="2023-01-07T00:00:00"/>
    <d v="1899-12-30T02:00:00"/>
    <x v="1"/>
    <x v="4"/>
    <s v="Station_29"/>
    <s v="Station_30"/>
    <d v="1899-12-30T02:03:00"/>
    <d v="1899-12-30T02:38:00"/>
    <n v="2"/>
    <n v="-3"/>
    <x v="1"/>
    <n v="16.899999999999999"/>
    <n v="43"/>
    <n v="58"/>
    <n v="8.6999999999999993"/>
    <x v="0"/>
    <n v="2000"/>
    <n v="9"/>
    <x v="0"/>
    <x v="0"/>
    <x v="6"/>
    <x v="3"/>
    <x v="0"/>
    <x v="2"/>
  </r>
  <r>
    <s v="T00565"/>
    <d v="2023-01-07T00:00:00"/>
    <d v="1899-12-30T02:15:00"/>
    <x v="3"/>
    <x v="0"/>
    <s v="Station_9"/>
    <s v="Station_29"/>
    <d v="1899-12-30T02:19:00"/>
    <d v="1899-12-30T03:05:00"/>
    <n v="6"/>
    <n v="16"/>
    <x v="5"/>
    <n v="17.3"/>
    <n v="70"/>
    <n v="35"/>
    <n v="3"/>
    <x v="4"/>
    <n v="0"/>
    <n v="93"/>
    <x v="0"/>
    <x v="1"/>
    <x v="6"/>
    <x v="1"/>
    <x v="1"/>
    <x v="0"/>
  </r>
  <r>
    <s v="T00566"/>
    <d v="2023-01-07T00:00:00"/>
    <d v="1899-12-30T02:30:00"/>
    <x v="3"/>
    <x v="4"/>
    <s v="Station_13"/>
    <s v="Station_45"/>
    <d v="1899-12-30T02:30:00"/>
    <d v="1899-12-30T03:28:00"/>
    <n v="11"/>
    <n v="10"/>
    <x v="1"/>
    <n v="23.9"/>
    <n v="31"/>
    <n v="6"/>
    <n v="8"/>
    <x v="3"/>
    <n v="0"/>
    <n v="21"/>
    <x v="0"/>
    <x v="0"/>
    <x v="6"/>
    <x v="3"/>
    <x v="1"/>
    <x v="2"/>
  </r>
  <r>
    <s v="T00567"/>
    <d v="2023-01-07T00:00:00"/>
    <d v="1899-12-30T02:45:00"/>
    <x v="1"/>
    <x v="5"/>
    <s v="Station_6"/>
    <s v="Station_15"/>
    <d v="1899-12-30T02:45:00"/>
    <d v="1899-12-30T03:28:00"/>
    <n v="5"/>
    <n v="21"/>
    <x v="0"/>
    <n v="10.3"/>
    <n v="48"/>
    <n v="4"/>
    <n v="14.9"/>
    <x v="4"/>
    <n v="0"/>
    <n v="4"/>
    <x v="0"/>
    <x v="1"/>
    <x v="6"/>
    <x v="0"/>
    <x v="1"/>
    <x v="2"/>
  </r>
  <r>
    <s v="T00568"/>
    <d v="2023-01-07T00:00:00"/>
    <d v="1899-12-30T03:00:00"/>
    <x v="0"/>
    <x v="1"/>
    <s v="Station_6"/>
    <s v="Station_46"/>
    <d v="1899-12-30T03:00:00"/>
    <d v="1899-12-30T03:53:00"/>
    <n v="11"/>
    <n v="21"/>
    <x v="3"/>
    <n v="7.8"/>
    <n v="30"/>
    <n v="57"/>
    <n v="17"/>
    <x v="0"/>
    <n v="2000"/>
    <n v="43"/>
    <x v="0"/>
    <x v="1"/>
    <x v="6"/>
    <x v="0"/>
    <x v="1"/>
    <x v="1"/>
  </r>
  <r>
    <s v="T00569"/>
    <d v="2023-01-07T00:00:00"/>
    <d v="1899-12-30T03:15:00"/>
    <x v="0"/>
    <x v="4"/>
    <s v="Station_20"/>
    <s v="Station_25"/>
    <d v="1899-12-30T03:15:00"/>
    <d v="1899-12-30T03:57:00"/>
    <n v="9"/>
    <n v="-1"/>
    <x v="1"/>
    <n v="29.1"/>
    <n v="31"/>
    <n v="28"/>
    <n v="9.1999999999999993"/>
    <x v="3"/>
    <n v="500"/>
    <n v="8"/>
    <x v="0"/>
    <x v="1"/>
    <x v="6"/>
    <x v="2"/>
    <x v="0"/>
    <x v="2"/>
  </r>
  <r>
    <s v="T00570"/>
    <d v="2023-01-07T00:00:00"/>
    <d v="1899-12-30T03:30:00"/>
    <x v="3"/>
    <x v="13"/>
    <s v="Station_3"/>
    <s v="Station_38"/>
    <d v="1899-12-30T03:32:00"/>
    <d v="1899-12-30T04:29:00"/>
    <n v="7"/>
    <n v="1"/>
    <x v="4"/>
    <n v="3.8"/>
    <n v="56"/>
    <n v="15"/>
    <n v="11.9"/>
    <x v="0"/>
    <n v="2000"/>
    <n v="42"/>
    <x v="0"/>
    <x v="1"/>
    <x v="6"/>
    <x v="2"/>
    <x v="0"/>
    <x v="1"/>
  </r>
  <r>
    <s v="T00571"/>
    <d v="2023-01-07T00:00:00"/>
    <d v="1899-12-30T03:45:00"/>
    <x v="0"/>
    <x v="18"/>
    <s v="Station_17"/>
    <s v="Station_42"/>
    <d v="1899-12-30T03:49:00"/>
    <d v="1899-12-30T04:10:00"/>
    <n v="17"/>
    <n v="22"/>
    <x v="1"/>
    <n v="2.2000000000000002"/>
    <n v="31"/>
    <n v="5"/>
    <n v="16.899999999999999"/>
    <x v="2"/>
    <n v="0"/>
    <n v="3"/>
    <x v="0"/>
    <x v="0"/>
    <x v="6"/>
    <x v="3"/>
    <x v="1"/>
    <x v="2"/>
  </r>
  <r>
    <s v="T00572"/>
    <d v="2023-01-07T00:00:00"/>
    <d v="1899-12-30T04:00:00"/>
    <x v="2"/>
    <x v="19"/>
    <s v="Station_49"/>
    <s v="Station_47"/>
    <d v="1899-12-30T04:01:00"/>
    <d v="1899-12-30T04:57:00"/>
    <n v="17"/>
    <n v="0"/>
    <x v="4"/>
    <n v="-4.4000000000000004"/>
    <n v="80"/>
    <n v="13"/>
    <n v="16.3"/>
    <x v="0"/>
    <n v="0"/>
    <n v="41"/>
    <x v="0"/>
    <x v="1"/>
    <x v="6"/>
    <x v="1"/>
    <x v="0"/>
    <x v="1"/>
  </r>
  <r>
    <s v="T00573"/>
    <d v="2023-01-07T00:00:00"/>
    <d v="1899-12-30T04:15:00"/>
    <x v="3"/>
    <x v="19"/>
    <s v="Station_12"/>
    <s v="Station_38"/>
    <d v="1899-12-30T04:19:00"/>
    <d v="1899-12-30T05:10:00"/>
    <n v="18"/>
    <n v="3"/>
    <x v="3"/>
    <n v="3.4"/>
    <n v="39"/>
    <n v="57"/>
    <n v="13.2"/>
    <x v="4"/>
    <n v="0"/>
    <n v="64"/>
    <x v="0"/>
    <x v="1"/>
    <x v="6"/>
    <x v="0"/>
    <x v="0"/>
    <x v="1"/>
  </r>
  <r>
    <s v="T00574"/>
    <d v="2023-01-07T00:00:00"/>
    <d v="1899-12-30T04:30:00"/>
    <x v="0"/>
    <x v="3"/>
    <s v="Station_48"/>
    <s v="Station_23"/>
    <d v="1899-12-30T04:32:00"/>
    <d v="1899-12-30T05:16:00"/>
    <n v="10"/>
    <n v="26"/>
    <x v="5"/>
    <n v="15.7"/>
    <n v="48"/>
    <n v="51"/>
    <n v="16.3"/>
    <x v="5"/>
    <n v="0"/>
    <n v="97"/>
    <x v="0"/>
    <x v="0"/>
    <x v="6"/>
    <x v="1"/>
    <x v="1"/>
    <x v="0"/>
  </r>
  <r>
    <s v="T00575"/>
    <d v="2023-01-07T00:00:00"/>
    <d v="1899-12-30T04:45:00"/>
    <x v="3"/>
    <x v="2"/>
    <s v="Station_47"/>
    <s v="Station_25"/>
    <d v="1899-12-30T04:45:00"/>
    <d v="1899-12-30T05:15:00"/>
    <n v="16"/>
    <n v="26"/>
    <x v="3"/>
    <n v="16.5"/>
    <n v="42"/>
    <n v="1"/>
    <n v="11.5"/>
    <x v="0"/>
    <n v="0"/>
    <n v="40"/>
    <x v="0"/>
    <x v="1"/>
    <x v="6"/>
    <x v="0"/>
    <x v="1"/>
    <x v="1"/>
  </r>
  <r>
    <s v="T00576"/>
    <d v="2023-01-07T00:00:00"/>
    <d v="1899-12-30T05:00:00"/>
    <x v="2"/>
    <x v="13"/>
    <s v="Station_45"/>
    <s v="Station_42"/>
    <d v="1899-12-30T05:02:00"/>
    <d v="1899-12-30T05:24:00"/>
    <n v="12"/>
    <n v="15"/>
    <x v="0"/>
    <n v="5.2"/>
    <n v="77"/>
    <n v="24"/>
    <n v="0.1"/>
    <x v="0"/>
    <n v="0"/>
    <n v="63"/>
    <x v="0"/>
    <x v="0"/>
    <x v="6"/>
    <x v="3"/>
    <x v="1"/>
    <x v="1"/>
  </r>
  <r>
    <s v="T00577"/>
    <d v="2023-01-07T00:00:00"/>
    <d v="1899-12-30T05:15:00"/>
    <x v="3"/>
    <x v="2"/>
    <s v="Station_1"/>
    <s v="Station_7"/>
    <d v="1899-12-30T05:18:00"/>
    <d v="1899-12-30T05:51:00"/>
    <n v="5"/>
    <n v="29"/>
    <x v="2"/>
    <n v="-2.1"/>
    <n v="85"/>
    <n v="30"/>
    <n v="0.8"/>
    <x v="0"/>
    <n v="0"/>
    <n v="54"/>
    <x v="0"/>
    <x v="0"/>
    <x v="6"/>
    <x v="3"/>
    <x v="1"/>
    <x v="1"/>
  </r>
  <r>
    <s v="T00578"/>
    <d v="2023-01-07T00:00:00"/>
    <d v="1899-12-30T05:30:00"/>
    <x v="3"/>
    <x v="6"/>
    <s v="Station_17"/>
    <s v="Station_22"/>
    <d v="1899-12-30T05:33:00"/>
    <d v="1899-12-30T05:56:00"/>
    <n v="18"/>
    <n v="29"/>
    <x v="5"/>
    <n v="24.8"/>
    <n v="85"/>
    <n v="49"/>
    <n v="19.600000000000001"/>
    <x v="0"/>
    <n v="10000"/>
    <n v="89"/>
    <x v="0"/>
    <x v="1"/>
    <x v="6"/>
    <x v="2"/>
    <x v="1"/>
    <x v="0"/>
  </r>
  <r>
    <s v="T00579"/>
    <d v="2023-01-07T00:00:00"/>
    <d v="1899-12-30T05:45:00"/>
    <x v="3"/>
    <x v="9"/>
    <s v="Station_3"/>
    <s v="Station_17"/>
    <d v="1899-12-30T05:49:00"/>
    <d v="1899-12-30T06:31:00"/>
    <n v="7"/>
    <n v="10"/>
    <x v="5"/>
    <n v="25.3"/>
    <n v="79"/>
    <n v="49"/>
    <n v="2.9"/>
    <x v="0"/>
    <n v="0"/>
    <n v="17"/>
    <x v="0"/>
    <x v="1"/>
    <x v="6"/>
    <x v="1"/>
    <x v="1"/>
    <x v="2"/>
  </r>
  <r>
    <s v="T00580"/>
    <d v="2023-01-07T00:00:00"/>
    <d v="1899-12-30T06:00:00"/>
    <x v="3"/>
    <x v="16"/>
    <s v="Station_26"/>
    <s v="Station_18"/>
    <d v="1899-12-30T06:04:00"/>
    <d v="1899-12-30T06:34:00"/>
    <n v="0"/>
    <n v="6"/>
    <x v="2"/>
    <n v="34.9"/>
    <n v="74"/>
    <n v="12"/>
    <n v="8.1"/>
    <x v="1"/>
    <n v="0"/>
    <n v="15"/>
    <x v="0"/>
    <x v="1"/>
    <x v="6"/>
    <x v="2"/>
    <x v="1"/>
    <x v="2"/>
  </r>
  <r>
    <s v="T00581"/>
    <d v="2023-01-07T00:00:00"/>
    <d v="1899-12-30T06:15:00"/>
    <x v="2"/>
    <x v="8"/>
    <s v="Station_15"/>
    <s v="Station_49"/>
    <d v="1899-12-30T06:16:00"/>
    <d v="1899-12-30T06:47:00"/>
    <n v="18"/>
    <n v="24"/>
    <x v="1"/>
    <n v="31"/>
    <n v="88"/>
    <n v="59"/>
    <n v="18.7"/>
    <x v="0"/>
    <n v="50000"/>
    <n v="86"/>
    <x v="0"/>
    <x v="1"/>
    <x v="6"/>
    <x v="3"/>
    <x v="1"/>
    <x v="0"/>
  </r>
  <r>
    <s v="T00582"/>
    <d v="2023-01-07T00:00:00"/>
    <d v="1899-12-30T06:30:00"/>
    <x v="1"/>
    <x v="7"/>
    <s v="Station_36"/>
    <s v="Station_41"/>
    <d v="1899-12-30T06:31:00"/>
    <d v="1899-12-30T07:00:00"/>
    <n v="0"/>
    <n v="10"/>
    <x v="3"/>
    <n v="32"/>
    <n v="68"/>
    <n v="17"/>
    <n v="3.9"/>
    <x v="0"/>
    <n v="0"/>
    <n v="45"/>
    <x v="0"/>
    <x v="1"/>
    <x v="6"/>
    <x v="1"/>
    <x v="1"/>
    <x v="1"/>
  </r>
  <r>
    <s v="T00583"/>
    <d v="2023-01-07T00:00:00"/>
    <d v="1899-12-30T06:45:00"/>
    <x v="3"/>
    <x v="9"/>
    <s v="Station_32"/>
    <s v="Station_10"/>
    <d v="1899-12-30T06:48:00"/>
    <d v="1899-12-30T07:30:00"/>
    <n v="2"/>
    <n v="12"/>
    <x v="1"/>
    <n v="26.9"/>
    <n v="50"/>
    <n v="16"/>
    <n v="16.899999999999999"/>
    <x v="0"/>
    <n v="0"/>
    <n v="35"/>
    <x v="1"/>
    <x v="1"/>
    <x v="6"/>
    <x v="0"/>
    <x v="1"/>
    <x v="1"/>
  </r>
  <r>
    <s v="T00584"/>
    <d v="2023-01-07T00:00:00"/>
    <d v="1899-12-30T07:00:00"/>
    <x v="3"/>
    <x v="19"/>
    <s v="Station_32"/>
    <s v="Station_10"/>
    <d v="1899-12-30T07:00:00"/>
    <d v="1899-12-30T07:41:00"/>
    <n v="13"/>
    <n v="17"/>
    <x v="1"/>
    <n v="19.600000000000001"/>
    <n v="84"/>
    <n v="44"/>
    <n v="16.399999999999999"/>
    <x v="0"/>
    <n v="50000"/>
    <n v="89"/>
    <x v="0"/>
    <x v="0"/>
    <x v="6"/>
    <x v="2"/>
    <x v="1"/>
    <x v="0"/>
  </r>
  <r>
    <s v="T00585"/>
    <d v="2023-01-07T00:00:00"/>
    <d v="1899-12-30T07:15:00"/>
    <x v="0"/>
    <x v="9"/>
    <s v="Station_4"/>
    <s v="Station_7"/>
    <d v="1899-12-30T07:17:00"/>
    <d v="1899-12-30T08:02:00"/>
    <n v="14"/>
    <n v="24"/>
    <x v="3"/>
    <n v="0.1"/>
    <n v="86"/>
    <n v="27"/>
    <n v="19.7"/>
    <x v="4"/>
    <n v="50000"/>
    <n v="65"/>
    <x v="0"/>
    <x v="0"/>
    <x v="6"/>
    <x v="3"/>
    <x v="1"/>
    <x v="1"/>
  </r>
  <r>
    <s v="T00586"/>
    <d v="2023-01-07T00:00:00"/>
    <d v="1899-12-30T07:30:00"/>
    <x v="3"/>
    <x v="2"/>
    <s v="Station_18"/>
    <s v="Station_48"/>
    <d v="1899-12-30T07:31:00"/>
    <d v="1899-12-30T08:13:00"/>
    <n v="3"/>
    <n v="29"/>
    <x v="0"/>
    <n v="19.899999999999999"/>
    <n v="70"/>
    <n v="11"/>
    <n v="5.6"/>
    <x v="1"/>
    <n v="0"/>
    <n v="43"/>
    <x v="0"/>
    <x v="0"/>
    <x v="6"/>
    <x v="0"/>
    <x v="1"/>
    <x v="1"/>
  </r>
  <r>
    <s v="T00587"/>
    <d v="2023-01-07T00:00:00"/>
    <d v="1899-12-30T07:45:00"/>
    <x v="0"/>
    <x v="10"/>
    <s v="Station_49"/>
    <s v="Station_50"/>
    <d v="1899-12-30T07:46:00"/>
    <d v="1899-12-30T08:33:00"/>
    <n v="17"/>
    <n v="2"/>
    <x v="5"/>
    <n v="-2.8"/>
    <n v="99"/>
    <n v="34"/>
    <n v="6.3"/>
    <x v="5"/>
    <n v="500"/>
    <n v="4"/>
    <x v="0"/>
    <x v="1"/>
    <x v="6"/>
    <x v="3"/>
    <x v="0"/>
    <x v="2"/>
  </r>
  <r>
    <s v="T00588"/>
    <d v="2023-01-07T00:00:00"/>
    <d v="1899-12-30T08:00:00"/>
    <x v="1"/>
    <x v="9"/>
    <s v="Station_19"/>
    <s v="Station_38"/>
    <d v="1899-12-30T08:00:00"/>
    <d v="1899-12-30T08:28:00"/>
    <n v="17"/>
    <n v="11"/>
    <x v="4"/>
    <n v="30.4"/>
    <n v="78"/>
    <n v="21"/>
    <n v="18.100000000000001"/>
    <x v="0"/>
    <n v="0"/>
    <n v="28"/>
    <x v="0"/>
    <x v="1"/>
    <x v="6"/>
    <x v="0"/>
    <x v="1"/>
    <x v="2"/>
  </r>
  <r>
    <s v="T00589"/>
    <d v="2023-01-07T00:00:00"/>
    <d v="1899-12-30T08:15:00"/>
    <x v="2"/>
    <x v="10"/>
    <s v="Station_43"/>
    <s v="Station_27"/>
    <d v="1899-12-30T08:15:00"/>
    <d v="1899-12-30T08:38:00"/>
    <n v="13"/>
    <n v="-1"/>
    <x v="2"/>
    <n v="14.3"/>
    <n v="73"/>
    <n v="38"/>
    <n v="4.7"/>
    <x v="0"/>
    <n v="2000"/>
    <n v="3"/>
    <x v="0"/>
    <x v="1"/>
    <x v="6"/>
    <x v="2"/>
    <x v="0"/>
    <x v="2"/>
  </r>
  <r>
    <s v="T00590"/>
    <d v="2023-01-07T00:00:00"/>
    <d v="1899-12-30T08:30:00"/>
    <x v="2"/>
    <x v="9"/>
    <s v="Station_35"/>
    <s v="Station_33"/>
    <d v="1899-12-30T08:34:00"/>
    <d v="1899-12-30T09:07:00"/>
    <n v="-1"/>
    <n v="10"/>
    <x v="5"/>
    <n v="22.9"/>
    <n v="64"/>
    <n v="0"/>
    <n v="11"/>
    <x v="0"/>
    <n v="50000"/>
    <n v="98"/>
    <x v="0"/>
    <x v="1"/>
    <x v="6"/>
    <x v="0"/>
    <x v="1"/>
    <x v="0"/>
  </r>
  <r>
    <s v="T00591"/>
    <d v="2023-01-07T00:00:00"/>
    <d v="1899-12-30T08:45:00"/>
    <x v="1"/>
    <x v="17"/>
    <s v="Station_40"/>
    <s v="Station_1"/>
    <d v="1899-12-30T08:47:00"/>
    <d v="1899-12-30T09:20:00"/>
    <n v="17"/>
    <n v="-2"/>
    <x v="1"/>
    <n v="-2.9"/>
    <n v="34"/>
    <n v="36"/>
    <n v="14.1"/>
    <x v="0"/>
    <n v="0"/>
    <n v="85"/>
    <x v="0"/>
    <x v="0"/>
    <x v="6"/>
    <x v="1"/>
    <x v="0"/>
    <x v="0"/>
  </r>
  <r>
    <s v="T00592"/>
    <d v="2023-01-07T00:00:00"/>
    <d v="1899-12-30T09:00:00"/>
    <x v="2"/>
    <x v="18"/>
    <s v="Station_14"/>
    <s v="Station_44"/>
    <d v="1899-12-30T09:00:00"/>
    <d v="1899-12-30T09:52:00"/>
    <n v="12"/>
    <n v="25"/>
    <x v="2"/>
    <n v="16.399999999999999"/>
    <n v="80"/>
    <n v="20"/>
    <n v="5.4"/>
    <x v="0"/>
    <n v="10000"/>
    <n v="48"/>
    <x v="0"/>
    <x v="0"/>
    <x v="6"/>
    <x v="0"/>
    <x v="1"/>
    <x v="1"/>
  </r>
  <r>
    <s v="T00593"/>
    <d v="2023-01-07T00:00:00"/>
    <d v="1899-12-30T09:15:00"/>
    <x v="1"/>
    <x v="16"/>
    <s v="Station_33"/>
    <s v="Station_34"/>
    <d v="1899-12-30T09:16:00"/>
    <d v="1899-12-30T10:03:00"/>
    <n v="15"/>
    <n v="0"/>
    <x v="4"/>
    <n v="7.1"/>
    <n v="86"/>
    <n v="0"/>
    <n v="18.8"/>
    <x v="2"/>
    <n v="500"/>
    <n v="71"/>
    <x v="1"/>
    <x v="1"/>
    <x v="6"/>
    <x v="3"/>
    <x v="0"/>
    <x v="0"/>
  </r>
  <r>
    <s v="T00594"/>
    <d v="2023-01-07T00:00:00"/>
    <d v="1899-12-30T09:30:00"/>
    <x v="1"/>
    <x v="7"/>
    <s v="Station_14"/>
    <s v="Station_4"/>
    <d v="1899-12-30T09:31:00"/>
    <d v="1899-12-30T10:28:00"/>
    <n v="-2"/>
    <n v="22"/>
    <x v="5"/>
    <n v="6.4"/>
    <n v="87"/>
    <n v="3"/>
    <n v="13.3"/>
    <x v="0"/>
    <n v="0"/>
    <n v="84"/>
    <x v="0"/>
    <x v="0"/>
    <x v="6"/>
    <x v="0"/>
    <x v="1"/>
    <x v="0"/>
  </r>
  <r>
    <s v="T00595"/>
    <d v="2023-01-07T00:00:00"/>
    <d v="1899-12-30T09:45:00"/>
    <x v="1"/>
    <x v="13"/>
    <s v="Station_34"/>
    <s v="Station_17"/>
    <d v="1899-12-30T09:48:00"/>
    <d v="1899-12-30T10:14:00"/>
    <n v="16"/>
    <n v="8"/>
    <x v="5"/>
    <n v="10.6"/>
    <n v="65"/>
    <n v="31"/>
    <n v="0.9"/>
    <x v="0"/>
    <n v="2000"/>
    <n v="7"/>
    <x v="0"/>
    <x v="1"/>
    <x v="6"/>
    <x v="2"/>
    <x v="1"/>
    <x v="2"/>
  </r>
  <r>
    <s v="T00596"/>
    <d v="2023-01-07T00:00:00"/>
    <d v="1899-12-30T10:00:00"/>
    <x v="2"/>
    <x v="18"/>
    <s v="Station_4"/>
    <s v="Station_4"/>
    <d v="1899-12-30T10:00:00"/>
    <d v="1899-12-30T10:28:00"/>
    <n v="9"/>
    <n v="-2"/>
    <x v="0"/>
    <n v="-5"/>
    <n v="39"/>
    <n v="57"/>
    <n v="2.7"/>
    <x v="1"/>
    <n v="0"/>
    <n v="51"/>
    <x v="0"/>
    <x v="1"/>
    <x v="6"/>
    <x v="3"/>
    <x v="0"/>
    <x v="1"/>
  </r>
  <r>
    <s v="T00597"/>
    <d v="2023-01-07T00:00:00"/>
    <d v="1899-12-30T10:15:00"/>
    <x v="0"/>
    <x v="7"/>
    <s v="Station_24"/>
    <s v="Station_43"/>
    <d v="1899-12-30T10:19:00"/>
    <d v="1899-12-30T11:05:00"/>
    <n v="5"/>
    <n v="13"/>
    <x v="5"/>
    <n v="13.7"/>
    <n v="79"/>
    <n v="0"/>
    <n v="3.8"/>
    <x v="4"/>
    <n v="0"/>
    <n v="68"/>
    <x v="0"/>
    <x v="1"/>
    <x v="6"/>
    <x v="3"/>
    <x v="1"/>
    <x v="0"/>
  </r>
  <r>
    <s v="T00598"/>
    <d v="2023-01-07T00:00:00"/>
    <d v="1899-12-30T10:30:00"/>
    <x v="1"/>
    <x v="3"/>
    <s v="Station_29"/>
    <s v="Station_26"/>
    <d v="1899-12-30T10:32:00"/>
    <d v="1899-12-30T11:17:00"/>
    <n v="3"/>
    <n v="6"/>
    <x v="5"/>
    <n v="14.5"/>
    <n v="66"/>
    <n v="12"/>
    <n v="4.9000000000000004"/>
    <x v="0"/>
    <n v="50000"/>
    <n v="20"/>
    <x v="0"/>
    <x v="1"/>
    <x v="6"/>
    <x v="3"/>
    <x v="1"/>
    <x v="2"/>
  </r>
  <r>
    <s v="T00599"/>
    <d v="2023-01-07T00:00:00"/>
    <d v="1899-12-30T10:45:00"/>
    <x v="3"/>
    <x v="7"/>
    <s v="Station_19"/>
    <s v="Station_4"/>
    <d v="1899-12-30T10:49:00"/>
    <d v="1899-12-30T11:07:00"/>
    <n v="9"/>
    <n v="18"/>
    <x v="4"/>
    <n v="29.5"/>
    <n v="49"/>
    <n v="45"/>
    <n v="14.6"/>
    <x v="4"/>
    <n v="0"/>
    <n v="26"/>
    <x v="1"/>
    <x v="0"/>
    <x v="6"/>
    <x v="3"/>
    <x v="1"/>
    <x v="2"/>
  </r>
  <r>
    <s v="T00600"/>
    <d v="2023-01-07T00:00:00"/>
    <d v="1899-12-30T11:00:00"/>
    <x v="2"/>
    <x v="16"/>
    <s v="Station_6"/>
    <s v="Station_1"/>
    <d v="1899-12-30T11:01:00"/>
    <d v="1899-12-30T11:33:00"/>
    <n v="4"/>
    <n v="17"/>
    <x v="4"/>
    <n v="12.9"/>
    <n v="42"/>
    <n v="46"/>
    <n v="1.8"/>
    <x v="3"/>
    <n v="0"/>
    <n v="37"/>
    <x v="0"/>
    <x v="0"/>
    <x v="6"/>
    <x v="1"/>
    <x v="1"/>
    <x v="1"/>
  </r>
  <r>
    <s v="T00601"/>
    <d v="2023-01-07T00:00:00"/>
    <d v="1899-12-30T11:15:00"/>
    <x v="1"/>
    <x v="8"/>
    <s v="Station_33"/>
    <s v="Station_7"/>
    <d v="1899-12-30T11:19:00"/>
    <d v="1899-12-30T11:59:00"/>
    <n v="15"/>
    <n v="11"/>
    <x v="2"/>
    <n v="9.5"/>
    <n v="48"/>
    <n v="16"/>
    <n v="7"/>
    <x v="0"/>
    <n v="10000"/>
    <n v="4"/>
    <x v="0"/>
    <x v="1"/>
    <x v="6"/>
    <x v="3"/>
    <x v="1"/>
    <x v="2"/>
  </r>
  <r>
    <s v="T00602"/>
    <d v="2023-01-07T00:00:00"/>
    <d v="1899-12-30T11:30:00"/>
    <x v="1"/>
    <x v="10"/>
    <s v="Station_49"/>
    <s v="Station_30"/>
    <d v="1899-12-30T11:31:00"/>
    <d v="1899-12-30T12:04:00"/>
    <n v="19"/>
    <n v="17"/>
    <x v="1"/>
    <n v="34.799999999999997"/>
    <n v="85"/>
    <n v="11"/>
    <n v="18.2"/>
    <x v="0"/>
    <n v="50000"/>
    <n v="84"/>
    <x v="0"/>
    <x v="1"/>
    <x v="6"/>
    <x v="3"/>
    <x v="1"/>
    <x v="0"/>
  </r>
  <r>
    <s v="T00603"/>
    <d v="2023-01-07T00:00:00"/>
    <d v="1899-12-30T11:45:00"/>
    <x v="3"/>
    <x v="9"/>
    <s v="Station_40"/>
    <s v="Station_50"/>
    <d v="1899-12-30T11:46:00"/>
    <d v="1899-12-30T12:06:00"/>
    <n v="11"/>
    <n v="17"/>
    <x v="4"/>
    <n v="17.8"/>
    <n v="74"/>
    <n v="6"/>
    <n v="11.1"/>
    <x v="0"/>
    <n v="10000"/>
    <n v="60"/>
    <x v="0"/>
    <x v="1"/>
    <x v="6"/>
    <x v="3"/>
    <x v="1"/>
    <x v="1"/>
  </r>
  <r>
    <s v="T00604"/>
    <d v="2023-01-07T00:00:00"/>
    <d v="1899-12-30T12:00:00"/>
    <x v="0"/>
    <x v="3"/>
    <s v="Station_19"/>
    <s v="Station_9"/>
    <d v="1899-12-30T12:01:00"/>
    <d v="1899-12-30T12:43:00"/>
    <n v="5"/>
    <n v="17"/>
    <x v="2"/>
    <n v="13.9"/>
    <n v="89"/>
    <n v="54"/>
    <n v="5.3"/>
    <x v="1"/>
    <n v="0"/>
    <n v="7"/>
    <x v="0"/>
    <x v="0"/>
    <x v="6"/>
    <x v="2"/>
    <x v="1"/>
    <x v="2"/>
  </r>
  <r>
    <s v="T00605"/>
    <d v="2023-01-07T00:00:00"/>
    <d v="1899-12-30T12:15:00"/>
    <x v="0"/>
    <x v="10"/>
    <s v="Station_1"/>
    <s v="Station_35"/>
    <d v="1899-12-30T12:16:00"/>
    <d v="1899-12-30T12:48:00"/>
    <n v="17"/>
    <n v="28"/>
    <x v="5"/>
    <n v="14.8"/>
    <n v="97"/>
    <n v="50"/>
    <n v="19.100000000000001"/>
    <x v="0"/>
    <n v="0"/>
    <n v="85"/>
    <x v="0"/>
    <x v="0"/>
    <x v="6"/>
    <x v="2"/>
    <x v="1"/>
    <x v="0"/>
  </r>
  <r>
    <s v="T00606"/>
    <d v="2023-01-07T00:00:00"/>
    <d v="1899-12-30T12:30:00"/>
    <x v="0"/>
    <x v="17"/>
    <s v="Station_5"/>
    <s v="Station_8"/>
    <d v="1899-12-30T12:31:00"/>
    <d v="1899-12-30T12:56:00"/>
    <n v="19"/>
    <n v="1"/>
    <x v="2"/>
    <n v="27.4"/>
    <n v="86"/>
    <n v="54"/>
    <n v="4.9000000000000004"/>
    <x v="3"/>
    <n v="0"/>
    <n v="17"/>
    <x v="0"/>
    <x v="0"/>
    <x v="6"/>
    <x v="3"/>
    <x v="0"/>
    <x v="2"/>
  </r>
  <r>
    <s v="T00607"/>
    <d v="2023-01-07T00:00:00"/>
    <d v="1899-12-30T12:45:00"/>
    <x v="1"/>
    <x v="19"/>
    <s v="Station_27"/>
    <s v="Station_24"/>
    <d v="1899-12-30T12:48:00"/>
    <d v="1899-12-30T13:40:00"/>
    <n v="11"/>
    <n v="5"/>
    <x v="2"/>
    <n v="8.6"/>
    <n v="83"/>
    <n v="2"/>
    <n v="18.100000000000001"/>
    <x v="1"/>
    <n v="0"/>
    <n v="3"/>
    <x v="0"/>
    <x v="0"/>
    <x v="6"/>
    <x v="1"/>
    <x v="0"/>
    <x v="2"/>
  </r>
  <r>
    <s v="T00608"/>
    <d v="2023-01-07T00:00:00"/>
    <d v="1899-12-30T13:00:00"/>
    <x v="1"/>
    <x v="12"/>
    <s v="Station_16"/>
    <s v="Station_19"/>
    <d v="1899-12-30T13:04:00"/>
    <d v="1899-12-30T13:43:00"/>
    <n v="2"/>
    <n v="14"/>
    <x v="2"/>
    <n v="10.6"/>
    <n v="66"/>
    <n v="49"/>
    <n v="14.5"/>
    <x v="0"/>
    <n v="50000"/>
    <n v="3"/>
    <x v="0"/>
    <x v="1"/>
    <x v="6"/>
    <x v="0"/>
    <x v="1"/>
    <x v="2"/>
  </r>
  <r>
    <s v="T00609"/>
    <d v="2023-01-07T00:00:00"/>
    <d v="1899-12-30T13:15:00"/>
    <x v="1"/>
    <x v="0"/>
    <s v="Station_6"/>
    <s v="Station_36"/>
    <d v="1899-12-30T13:18:00"/>
    <d v="1899-12-30T14:01:00"/>
    <n v="6"/>
    <n v="17"/>
    <x v="3"/>
    <n v="25.2"/>
    <n v="66"/>
    <n v="25"/>
    <n v="14.8"/>
    <x v="0"/>
    <n v="2000"/>
    <n v="36"/>
    <x v="1"/>
    <x v="1"/>
    <x v="6"/>
    <x v="1"/>
    <x v="1"/>
    <x v="1"/>
  </r>
  <r>
    <s v="T00610"/>
    <d v="2023-01-07T00:00:00"/>
    <d v="1899-12-30T13:30:00"/>
    <x v="2"/>
    <x v="19"/>
    <s v="Station_40"/>
    <s v="Station_50"/>
    <d v="1899-12-30T13:33:00"/>
    <d v="1899-12-30T14:26:00"/>
    <n v="5"/>
    <n v="4"/>
    <x v="2"/>
    <n v="-2.1"/>
    <n v="43"/>
    <n v="30"/>
    <n v="15.3"/>
    <x v="0"/>
    <n v="0"/>
    <n v="14"/>
    <x v="0"/>
    <x v="1"/>
    <x v="6"/>
    <x v="3"/>
    <x v="0"/>
    <x v="2"/>
  </r>
  <r>
    <s v="T00611"/>
    <d v="2023-01-07T00:00:00"/>
    <d v="1899-12-30T13:45:00"/>
    <x v="3"/>
    <x v="1"/>
    <s v="Station_13"/>
    <s v="Station_43"/>
    <d v="1899-12-30T13:45:00"/>
    <d v="1899-12-30T14:42:00"/>
    <n v="-1"/>
    <n v="6"/>
    <x v="4"/>
    <n v="29.6"/>
    <n v="73"/>
    <n v="35"/>
    <n v="10.1"/>
    <x v="0"/>
    <n v="0"/>
    <n v="37"/>
    <x v="0"/>
    <x v="1"/>
    <x v="6"/>
    <x v="3"/>
    <x v="1"/>
    <x v="1"/>
  </r>
  <r>
    <s v="T00612"/>
    <d v="2023-01-07T00:00:00"/>
    <d v="1899-12-30T14:00:00"/>
    <x v="1"/>
    <x v="12"/>
    <s v="Station_48"/>
    <s v="Station_27"/>
    <d v="1899-12-30T14:00:00"/>
    <d v="1899-12-30T14:49:00"/>
    <n v="13"/>
    <n v="20"/>
    <x v="3"/>
    <n v="12.2"/>
    <n v="71"/>
    <n v="25"/>
    <n v="16.3"/>
    <x v="5"/>
    <n v="50000"/>
    <n v="26"/>
    <x v="0"/>
    <x v="0"/>
    <x v="6"/>
    <x v="1"/>
    <x v="1"/>
    <x v="2"/>
  </r>
  <r>
    <s v="T00613"/>
    <d v="2023-01-07T00:00:00"/>
    <d v="1899-12-30T14:15:00"/>
    <x v="3"/>
    <x v="0"/>
    <s v="Station_35"/>
    <s v="Station_32"/>
    <d v="1899-12-30T14:15:00"/>
    <d v="1899-12-30T15:01:00"/>
    <n v="10"/>
    <n v="20"/>
    <x v="1"/>
    <n v="18.3"/>
    <n v="30"/>
    <n v="2"/>
    <n v="16.7"/>
    <x v="0"/>
    <n v="10000"/>
    <n v="84"/>
    <x v="1"/>
    <x v="0"/>
    <x v="6"/>
    <x v="3"/>
    <x v="1"/>
    <x v="0"/>
  </r>
  <r>
    <s v="T00614"/>
    <d v="2023-01-07T00:00:00"/>
    <d v="1899-12-30T14:30:00"/>
    <x v="3"/>
    <x v="3"/>
    <s v="Station_19"/>
    <s v="Station_14"/>
    <d v="1899-12-30T14:32:00"/>
    <d v="1899-12-30T15:28:00"/>
    <n v="4"/>
    <n v="28"/>
    <x v="2"/>
    <n v="25.3"/>
    <n v="52"/>
    <n v="43"/>
    <n v="7.2"/>
    <x v="0"/>
    <n v="0"/>
    <n v="47"/>
    <x v="0"/>
    <x v="1"/>
    <x v="6"/>
    <x v="0"/>
    <x v="1"/>
    <x v="1"/>
  </r>
  <r>
    <s v="T00615"/>
    <d v="2023-01-07T00:00:00"/>
    <d v="1899-12-30T14:45:00"/>
    <x v="0"/>
    <x v="19"/>
    <s v="Station_12"/>
    <s v="Station_18"/>
    <d v="1899-12-30T14:45:00"/>
    <d v="1899-12-30T15:19:00"/>
    <n v="13"/>
    <n v="29"/>
    <x v="0"/>
    <n v="5.6"/>
    <n v="93"/>
    <n v="54"/>
    <n v="8"/>
    <x v="0"/>
    <n v="500"/>
    <n v="45"/>
    <x v="0"/>
    <x v="1"/>
    <x v="6"/>
    <x v="2"/>
    <x v="1"/>
    <x v="1"/>
  </r>
  <r>
    <s v="T00616"/>
    <d v="2023-01-07T00:00:00"/>
    <d v="1899-12-30T15:00:00"/>
    <x v="2"/>
    <x v="5"/>
    <s v="Station_16"/>
    <s v="Station_28"/>
    <d v="1899-12-30T15:04:00"/>
    <d v="1899-12-30T15:45:00"/>
    <n v="4"/>
    <n v="7"/>
    <x v="5"/>
    <n v="30.6"/>
    <n v="57"/>
    <n v="27"/>
    <n v="17.8"/>
    <x v="0"/>
    <n v="0"/>
    <n v="45"/>
    <x v="0"/>
    <x v="1"/>
    <x v="6"/>
    <x v="0"/>
    <x v="1"/>
    <x v="1"/>
  </r>
  <r>
    <s v="T00617"/>
    <d v="2023-01-07T00:00:00"/>
    <d v="1899-12-30T15:15:00"/>
    <x v="1"/>
    <x v="5"/>
    <s v="Station_43"/>
    <s v="Station_29"/>
    <d v="1899-12-30T15:18:00"/>
    <d v="1899-12-30T15:35:00"/>
    <n v="11"/>
    <n v="27"/>
    <x v="5"/>
    <n v="34.200000000000003"/>
    <n v="33"/>
    <n v="43"/>
    <n v="10.5"/>
    <x v="0"/>
    <n v="2000"/>
    <n v="47"/>
    <x v="0"/>
    <x v="1"/>
    <x v="6"/>
    <x v="0"/>
    <x v="1"/>
    <x v="1"/>
  </r>
  <r>
    <s v="T00618"/>
    <d v="2023-01-07T00:00:00"/>
    <d v="1899-12-30T15:30:00"/>
    <x v="0"/>
    <x v="15"/>
    <s v="Station_10"/>
    <s v="Station_16"/>
    <d v="1899-12-30T15:34:00"/>
    <d v="1899-12-30T15:53:00"/>
    <n v="11"/>
    <n v="14"/>
    <x v="3"/>
    <n v="14.8"/>
    <n v="70"/>
    <n v="16"/>
    <n v="17.3"/>
    <x v="0"/>
    <n v="500"/>
    <n v="58"/>
    <x v="0"/>
    <x v="1"/>
    <x v="6"/>
    <x v="0"/>
    <x v="1"/>
    <x v="1"/>
  </r>
  <r>
    <s v="T00619"/>
    <d v="2023-01-07T00:00:00"/>
    <d v="1899-12-30T15:45:00"/>
    <x v="0"/>
    <x v="1"/>
    <s v="Station_25"/>
    <s v="Station_35"/>
    <d v="1899-12-30T15:45:00"/>
    <d v="1899-12-30T16:33:00"/>
    <n v="9"/>
    <n v="19"/>
    <x v="5"/>
    <n v="32.5"/>
    <n v="89"/>
    <n v="37"/>
    <n v="12.5"/>
    <x v="4"/>
    <n v="500"/>
    <n v="3"/>
    <x v="0"/>
    <x v="1"/>
    <x v="6"/>
    <x v="1"/>
    <x v="1"/>
    <x v="2"/>
  </r>
  <r>
    <s v="T00620"/>
    <d v="2023-01-07T00:00:00"/>
    <d v="1899-12-30T16:00:00"/>
    <x v="1"/>
    <x v="7"/>
    <s v="Station_20"/>
    <s v="Station_47"/>
    <d v="1899-12-30T16:02:00"/>
    <d v="1899-12-30T16:20:00"/>
    <n v="-2"/>
    <n v="18"/>
    <x v="5"/>
    <n v="-5"/>
    <n v="47"/>
    <n v="46"/>
    <n v="11.9"/>
    <x v="0"/>
    <n v="0"/>
    <n v="74"/>
    <x v="1"/>
    <x v="0"/>
    <x v="6"/>
    <x v="1"/>
    <x v="1"/>
    <x v="0"/>
  </r>
  <r>
    <s v="T00621"/>
    <d v="2023-01-07T00:00:00"/>
    <d v="1899-12-30T16:15:00"/>
    <x v="3"/>
    <x v="17"/>
    <s v="Station_31"/>
    <s v="Station_31"/>
    <d v="1899-12-30T16:17:00"/>
    <d v="1899-12-30T16:56:00"/>
    <n v="-2"/>
    <n v="14"/>
    <x v="3"/>
    <n v="30.8"/>
    <n v="92"/>
    <n v="29"/>
    <n v="0.6"/>
    <x v="0"/>
    <n v="0"/>
    <n v="18"/>
    <x v="0"/>
    <x v="1"/>
    <x v="6"/>
    <x v="0"/>
    <x v="1"/>
    <x v="2"/>
  </r>
  <r>
    <s v="T00622"/>
    <d v="2023-01-07T00:00:00"/>
    <d v="1899-12-30T16:30:00"/>
    <x v="0"/>
    <x v="15"/>
    <s v="Station_4"/>
    <s v="Station_4"/>
    <d v="1899-12-30T16:33:00"/>
    <d v="1899-12-30T17:00:00"/>
    <n v="9"/>
    <n v="16"/>
    <x v="5"/>
    <n v="7.4"/>
    <n v="90"/>
    <n v="1"/>
    <n v="5.6"/>
    <x v="4"/>
    <n v="0"/>
    <n v="56"/>
    <x v="0"/>
    <x v="1"/>
    <x v="6"/>
    <x v="1"/>
    <x v="1"/>
    <x v="1"/>
  </r>
  <r>
    <s v="T00623"/>
    <d v="2023-01-07T00:00:00"/>
    <d v="1899-12-30T16:45:00"/>
    <x v="3"/>
    <x v="4"/>
    <s v="Station_44"/>
    <s v="Station_37"/>
    <d v="1899-12-30T16:49:00"/>
    <d v="1899-12-30T17:14:00"/>
    <n v="17"/>
    <n v="9"/>
    <x v="2"/>
    <n v="7.5"/>
    <n v="78"/>
    <n v="7"/>
    <n v="10"/>
    <x v="0"/>
    <n v="50000"/>
    <n v="18"/>
    <x v="1"/>
    <x v="1"/>
    <x v="6"/>
    <x v="3"/>
    <x v="1"/>
    <x v="2"/>
  </r>
  <r>
    <s v="T00624"/>
    <d v="2023-01-07T00:00:00"/>
    <d v="1899-12-30T17:00:00"/>
    <x v="2"/>
    <x v="13"/>
    <s v="Station_23"/>
    <s v="Station_17"/>
    <d v="1899-12-30T17:01:00"/>
    <d v="1899-12-30T17:36:00"/>
    <n v="18"/>
    <n v="-3"/>
    <x v="1"/>
    <n v="4.0999999999999996"/>
    <n v="76"/>
    <n v="13"/>
    <n v="11.7"/>
    <x v="0"/>
    <n v="50000"/>
    <n v="90"/>
    <x v="0"/>
    <x v="0"/>
    <x v="6"/>
    <x v="2"/>
    <x v="0"/>
    <x v="0"/>
  </r>
  <r>
    <s v="T00625"/>
    <d v="2023-01-07T00:00:00"/>
    <d v="1899-12-30T17:15:00"/>
    <x v="3"/>
    <x v="13"/>
    <s v="Station_2"/>
    <s v="Station_39"/>
    <d v="1899-12-30T17:19:00"/>
    <d v="1899-12-30T18:10:00"/>
    <n v="12"/>
    <n v="0"/>
    <x v="3"/>
    <n v="7.7"/>
    <n v="68"/>
    <n v="36"/>
    <n v="12.6"/>
    <x v="0"/>
    <n v="10000"/>
    <n v="41"/>
    <x v="0"/>
    <x v="0"/>
    <x v="6"/>
    <x v="1"/>
    <x v="0"/>
    <x v="1"/>
  </r>
  <r>
    <s v="T00626"/>
    <d v="2023-01-07T00:00:00"/>
    <d v="1899-12-30T17:30:00"/>
    <x v="2"/>
    <x v="11"/>
    <s v="Station_22"/>
    <s v="Station_48"/>
    <d v="1899-12-30T17:30:00"/>
    <d v="1899-12-30T18:15:00"/>
    <n v="1"/>
    <n v="20"/>
    <x v="0"/>
    <n v="3.5"/>
    <n v="35"/>
    <n v="34"/>
    <n v="14.3"/>
    <x v="0"/>
    <n v="50000"/>
    <n v="91"/>
    <x v="0"/>
    <x v="1"/>
    <x v="6"/>
    <x v="1"/>
    <x v="1"/>
    <x v="0"/>
  </r>
  <r>
    <s v="T00627"/>
    <d v="2023-01-07T00:00:00"/>
    <d v="1899-12-30T17:45:00"/>
    <x v="3"/>
    <x v="16"/>
    <s v="Station_37"/>
    <s v="Station_46"/>
    <d v="1899-12-30T17:46:00"/>
    <d v="1899-12-30T18:25:00"/>
    <n v="4"/>
    <n v="-2"/>
    <x v="3"/>
    <n v="31.2"/>
    <n v="82"/>
    <n v="41"/>
    <n v="13.1"/>
    <x v="3"/>
    <n v="500"/>
    <n v="4"/>
    <x v="0"/>
    <x v="0"/>
    <x v="6"/>
    <x v="0"/>
    <x v="0"/>
    <x v="2"/>
  </r>
  <r>
    <s v="T00628"/>
    <d v="2023-01-07T00:00:00"/>
    <d v="1899-12-30T18:00:00"/>
    <x v="0"/>
    <x v="13"/>
    <s v="Station_8"/>
    <s v="Station_26"/>
    <d v="1899-12-30T18:02:00"/>
    <d v="1899-12-30T18:32:00"/>
    <n v="13"/>
    <n v="24"/>
    <x v="4"/>
    <n v="31"/>
    <n v="54"/>
    <n v="38"/>
    <n v="17"/>
    <x v="0"/>
    <n v="0"/>
    <n v="47"/>
    <x v="0"/>
    <x v="1"/>
    <x v="6"/>
    <x v="2"/>
    <x v="1"/>
    <x v="1"/>
  </r>
  <r>
    <s v="T00629"/>
    <d v="2023-01-07T00:00:00"/>
    <d v="1899-12-30T18:15:00"/>
    <x v="0"/>
    <x v="9"/>
    <s v="Station_7"/>
    <s v="Station_48"/>
    <d v="1899-12-30T18:18:00"/>
    <d v="1899-12-30T18:43:00"/>
    <n v="0"/>
    <n v="22"/>
    <x v="0"/>
    <n v="-0.9"/>
    <n v="94"/>
    <n v="10"/>
    <n v="5.9"/>
    <x v="4"/>
    <n v="2000"/>
    <n v="24"/>
    <x v="0"/>
    <x v="1"/>
    <x v="6"/>
    <x v="3"/>
    <x v="1"/>
    <x v="2"/>
  </r>
  <r>
    <s v="T00630"/>
    <d v="2023-01-07T00:00:00"/>
    <d v="1899-12-30T18:30:00"/>
    <x v="2"/>
    <x v="15"/>
    <s v="Station_14"/>
    <s v="Station_39"/>
    <d v="1899-12-30T18:33:00"/>
    <d v="1899-12-30T19:00:00"/>
    <n v="4"/>
    <n v="19"/>
    <x v="4"/>
    <n v="0.7"/>
    <n v="34"/>
    <n v="14"/>
    <n v="12.8"/>
    <x v="0"/>
    <n v="0"/>
    <n v="66"/>
    <x v="0"/>
    <x v="1"/>
    <x v="6"/>
    <x v="3"/>
    <x v="1"/>
    <x v="1"/>
  </r>
  <r>
    <s v="T00631"/>
    <d v="2023-01-07T00:00:00"/>
    <d v="1899-12-30T18:45:00"/>
    <x v="1"/>
    <x v="4"/>
    <s v="Station_3"/>
    <s v="Station_41"/>
    <d v="1899-12-30T18:47:00"/>
    <d v="1899-12-30T19:15:00"/>
    <n v="19"/>
    <n v="11"/>
    <x v="3"/>
    <n v="29.5"/>
    <n v="94"/>
    <n v="1"/>
    <n v="1"/>
    <x v="0"/>
    <n v="0"/>
    <n v="25"/>
    <x v="0"/>
    <x v="1"/>
    <x v="6"/>
    <x v="2"/>
    <x v="1"/>
    <x v="2"/>
  </r>
  <r>
    <s v="T00632"/>
    <d v="2023-01-07T00:00:00"/>
    <d v="1899-12-30T19:00:00"/>
    <x v="2"/>
    <x v="2"/>
    <s v="Station_50"/>
    <s v="Station_4"/>
    <d v="1899-12-30T19:00:00"/>
    <d v="1899-12-30T19:25:00"/>
    <n v="3"/>
    <n v="23"/>
    <x v="4"/>
    <n v="11"/>
    <n v="37"/>
    <n v="36"/>
    <n v="9.6"/>
    <x v="1"/>
    <n v="0"/>
    <n v="73"/>
    <x v="0"/>
    <x v="1"/>
    <x v="6"/>
    <x v="3"/>
    <x v="1"/>
    <x v="0"/>
  </r>
  <r>
    <s v="T00633"/>
    <d v="2023-01-07T00:00:00"/>
    <d v="1899-12-30T19:15:00"/>
    <x v="2"/>
    <x v="16"/>
    <s v="Station_16"/>
    <s v="Station_30"/>
    <d v="1899-12-30T19:17:00"/>
    <d v="1899-12-30T19:35:00"/>
    <n v="13"/>
    <n v="2"/>
    <x v="0"/>
    <n v="1.8"/>
    <n v="68"/>
    <n v="42"/>
    <n v="5.4"/>
    <x v="0"/>
    <n v="0"/>
    <n v="87"/>
    <x v="0"/>
    <x v="0"/>
    <x v="6"/>
    <x v="2"/>
    <x v="0"/>
    <x v="0"/>
  </r>
  <r>
    <s v="T00634"/>
    <d v="2023-01-07T00:00:00"/>
    <d v="1899-12-30T19:30:00"/>
    <x v="3"/>
    <x v="7"/>
    <s v="Station_19"/>
    <s v="Station_30"/>
    <d v="1899-12-30T19:30:00"/>
    <d v="1899-12-30T19:55:00"/>
    <n v="5"/>
    <n v="6"/>
    <x v="2"/>
    <n v="15.4"/>
    <n v="72"/>
    <n v="31"/>
    <n v="7.6"/>
    <x v="1"/>
    <n v="500"/>
    <n v="61"/>
    <x v="0"/>
    <x v="0"/>
    <x v="6"/>
    <x v="0"/>
    <x v="1"/>
    <x v="1"/>
  </r>
  <r>
    <s v="T00635"/>
    <d v="2023-01-07T00:00:00"/>
    <d v="1899-12-30T19:45:00"/>
    <x v="3"/>
    <x v="1"/>
    <s v="Station_18"/>
    <s v="Station_22"/>
    <d v="1899-12-30T19:46:00"/>
    <d v="1899-12-30T20:17:00"/>
    <n v="19"/>
    <n v="26"/>
    <x v="3"/>
    <n v="11.7"/>
    <n v="34"/>
    <n v="39"/>
    <n v="7.1"/>
    <x v="0"/>
    <n v="0"/>
    <n v="92"/>
    <x v="0"/>
    <x v="1"/>
    <x v="6"/>
    <x v="3"/>
    <x v="1"/>
    <x v="0"/>
  </r>
  <r>
    <s v="T00636"/>
    <d v="2023-01-07T00:00:00"/>
    <d v="1899-12-30T20:00:00"/>
    <x v="2"/>
    <x v="6"/>
    <s v="Station_16"/>
    <s v="Station_11"/>
    <d v="1899-12-30T20:02:00"/>
    <d v="1899-12-30T20:41:00"/>
    <n v="3"/>
    <n v="25"/>
    <x v="3"/>
    <n v="3.8"/>
    <n v="33"/>
    <n v="12"/>
    <n v="1.2"/>
    <x v="0"/>
    <n v="0"/>
    <n v="6"/>
    <x v="0"/>
    <x v="1"/>
    <x v="6"/>
    <x v="3"/>
    <x v="1"/>
    <x v="2"/>
  </r>
  <r>
    <s v="T00637"/>
    <d v="2023-01-07T00:00:00"/>
    <d v="1899-12-30T20:15:00"/>
    <x v="0"/>
    <x v="16"/>
    <s v="Station_8"/>
    <s v="Station_2"/>
    <d v="1899-12-30T20:15:00"/>
    <d v="1899-12-30T21:05:00"/>
    <n v="7"/>
    <n v="0"/>
    <x v="5"/>
    <n v="23.8"/>
    <n v="30"/>
    <n v="42"/>
    <n v="9.3000000000000007"/>
    <x v="1"/>
    <n v="500"/>
    <n v="43"/>
    <x v="0"/>
    <x v="1"/>
    <x v="6"/>
    <x v="2"/>
    <x v="0"/>
    <x v="1"/>
  </r>
  <r>
    <s v="T00638"/>
    <d v="2023-01-07T00:00:00"/>
    <d v="1899-12-30T20:30:00"/>
    <x v="3"/>
    <x v="2"/>
    <s v="Station_33"/>
    <s v="Station_44"/>
    <d v="1899-12-30T20:31:00"/>
    <d v="1899-12-30T21:11:00"/>
    <n v="13"/>
    <n v="1"/>
    <x v="3"/>
    <n v="20.3"/>
    <n v="85"/>
    <n v="16"/>
    <n v="19.899999999999999"/>
    <x v="0"/>
    <n v="2000"/>
    <n v="86"/>
    <x v="0"/>
    <x v="1"/>
    <x v="6"/>
    <x v="3"/>
    <x v="0"/>
    <x v="0"/>
  </r>
  <r>
    <s v="T00639"/>
    <d v="2023-01-07T00:00:00"/>
    <d v="1899-12-30T20:45:00"/>
    <x v="1"/>
    <x v="6"/>
    <s v="Station_49"/>
    <s v="Station_12"/>
    <d v="1899-12-30T20:47:00"/>
    <d v="1899-12-30T21:41:00"/>
    <n v="8"/>
    <n v="0"/>
    <x v="3"/>
    <n v="-1"/>
    <n v="74"/>
    <n v="14"/>
    <n v="6"/>
    <x v="1"/>
    <n v="0"/>
    <n v="26"/>
    <x v="0"/>
    <x v="1"/>
    <x v="6"/>
    <x v="1"/>
    <x v="0"/>
    <x v="2"/>
  </r>
  <r>
    <s v="T00640"/>
    <d v="2023-01-07T00:00:00"/>
    <d v="1899-12-30T21:00:00"/>
    <x v="3"/>
    <x v="0"/>
    <s v="Station_12"/>
    <s v="Station_30"/>
    <d v="1899-12-30T21:03:00"/>
    <d v="1899-12-30T21:46:00"/>
    <n v="10"/>
    <n v="12"/>
    <x v="2"/>
    <n v="32"/>
    <n v="94"/>
    <n v="32"/>
    <n v="14.7"/>
    <x v="0"/>
    <n v="0"/>
    <n v="41"/>
    <x v="0"/>
    <x v="1"/>
    <x v="6"/>
    <x v="0"/>
    <x v="1"/>
    <x v="1"/>
  </r>
  <r>
    <s v="T00641"/>
    <d v="2023-01-07T00:00:00"/>
    <d v="1899-12-30T21:15:00"/>
    <x v="3"/>
    <x v="1"/>
    <s v="Station_11"/>
    <s v="Station_36"/>
    <d v="1899-12-30T21:17:00"/>
    <d v="1899-12-30T21:48:00"/>
    <n v="3"/>
    <n v="21"/>
    <x v="5"/>
    <n v="17.3"/>
    <n v="32"/>
    <n v="50"/>
    <n v="11"/>
    <x v="1"/>
    <n v="0"/>
    <n v="72"/>
    <x v="1"/>
    <x v="0"/>
    <x v="6"/>
    <x v="3"/>
    <x v="1"/>
    <x v="0"/>
  </r>
  <r>
    <s v="T00642"/>
    <d v="2023-01-07T00:00:00"/>
    <d v="1899-12-30T21:30:00"/>
    <x v="1"/>
    <x v="18"/>
    <s v="Station_5"/>
    <s v="Station_18"/>
    <d v="1899-12-30T21:34:00"/>
    <d v="1899-12-30T21:54:00"/>
    <n v="-2"/>
    <n v="10"/>
    <x v="1"/>
    <n v="5"/>
    <n v="51"/>
    <n v="15"/>
    <n v="6.5"/>
    <x v="0"/>
    <n v="2000"/>
    <n v="55"/>
    <x v="0"/>
    <x v="0"/>
    <x v="6"/>
    <x v="3"/>
    <x v="1"/>
    <x v="1"/>
  </r>
  <r>
    <s v="T00643"/>
    <d v="2023-01-07T00:00:00"/>
    <d v="1899-12-30T21:45:00"/>
    <x v="2"/>
    <x v="0"/>
    <s v="Station_27"/>
    <s v="Station_26"/>
    <d v="1899-12-30T21:47:00"/>
    <d v="1899-12-30T22:40:00"/>
    <n v="18"/>
    <n v="7"/>
    <x v="4"/>
    <n v="3.3"/>
    <n v="85"/>
    <n v="50"/>
    <n v="1.8"/>
    <x v="4"/>
    <n v="500"/>
    <n v="2"/>
    <x v="0"/>
    <x v="1"/>
    <x v="6"/>
    <x v="3"/>
    <x v="1"/>
    <x v="2"/>
  </r>
  <r>
    <s v="T00644"/>
    <d v="2023-01-07T00:00:00"/>
    <d v="1899-12-30T22:00:00"/>
    <x v="1"/>
    <x v="17"/>
    <s v="Station_12"/>
    <s v="Station_7"/>
    <d v="1899-12-30T22:04:00"/>
    <d v="1899-12-30T22:51:00"/>
    <n v="16"/>
    <n v="25"/>
    <x v="0"/>
    <n v="0.4"/>
    <n v="47"/>
    <n v="12"/>
    <n v="4.3"/>
    <x v="5"/>
    <n v="0"/>
    <n v="12"/>
    <x v="0"/>
    <x v="1"/>
    <x v="6"/>
    <x v="2"/>
    <x v="1"/>
    <x v="2"/>
  </r>
  <r>
    <s v="T00645"/>
    <d v="2023-01-07T00:00:00"/>
    <d v="1899-12-30T22:15:00"/>
    <x v="2"/>
    <x v="2"/>
    <s v="Station_17"/>
    <s v="Station_1"/>
    <d v="1899-12-30T22:16:00"/>
    <d v="1899-12-30T23:08:00"/>
    <n v="9"/>
    <n v="18"/>
    <x v="1"/>
    <n v="12"/>
    <n v="54"/>
    <n v="54"/>
    <n v="15.6"/>
    <x v="0"/>
    <n v="50000"/>
    <n v="69"/>
    <x v="0"/>
    <x v="1"/>
    <x v="6"/>
    <x v="0"/>
    <x v="1"/>
    <x v="0"/>
  </r>
  <r>
    <s v="T00646"/>
    <d v="2023-01-07T00:00:00"/>
    <d v="1899-12-30T22:30:00"/>
    <x v="2"/>
    <x v="7"/>
    <s v="Station_6"/>
    <s v="Station_26"/>
    <d v="1899-12-30T22:32:00"/>
    <d v="1899-12-30T22:56:00"/>
    <n v="3"/>
    <n v="10"/>
    <x v="5"/>
    <n v="0.4"/>
    <n v="77"/>
    <n v="21"/>
    <n v="5.6"/>
    <x v="0"/>
    <n v="0"/>
    <n v="58"/>
    <x v="1"/>
    <x v="1"/>
    <x v="6"/>
    <x v="0"/>
    <x v="1"/>
    <x v="1"/>
  </r>
  <r>
    <s v="T00647"/>
    <d v="2023-01-07T00:00:00"/>
    <d v="1899-12-30T22:45:00"/>
    <x v="2"/>
    <x v="13"/>
    <s v="Station_33"/>
    <s v="Station_23"/>
    <d v="1899-12-30T22:46:00"/>
    <d v="1899-12-30T23:14:00"/>
    <n v="15"/>
    <n v="20"/>
    <x v="2"/>
    <n v="11.6"/>
    <n v="60"/>
    <n v="22"/>
    <n v="2.9"/>
    <x v="5"/>
    <n v="0"/>
    <n v="37"/>
    <x v="0"/>
    <x v="1"/>
    <x v="6"/>
    <x v="3"/>
    <x v="1"/>
    <x v="1"/>
  </r>
  <r>
    <s v="T00648"/>
    <d v="2023-01-07T00:00:00"/>
    <d v="1899-12-30T23:00:00"/>
    <x v="1"/>
    <x v="8"/>
    <s v="Station_5"/>
    <s v="Station_26"/>
    <d v="1899-12-30T23:01:00"/>
    <d v="1899-12-30T23:36:00"/>
    <n v="10"/>
    <n v="22"/>
    <x v="0"/>
    <n v="1"/>
    <n v="59"/>
    <n v="35"/>
    <n v="6.6"/>
    <x v="0"/>
    <n v="0"/>
    <n v="84"/>
    <x v="0"/>
    <x v="1"/>
    <x v="6"/>
    <x v="3"/>
    <x v="1"/>
    <x v="0"/>
  </r>
  <r>
    <s v="T00649"/>
    <d v="2023-01-07T00:00:00"/>
    <d v="1899-12-30T23:15:00"/>
    <x v="2"/>
    <x v="1"/>
    <s v="Station_28"/>
    <s v="Station_45"/>
    <d v="1899-12-30T23:15:00"/>
    <d v="1899-12-30T00:04:00"/>
    <n v="4"/>
    <n v="12"/>
    <x v="4"/>
    <n v="21.3"/>
    <n v="95"/>
    <n v="42"/>
    <n v="11.7"/>
    <x v="4"/>
    <n v="0"/>
    <n v="82"/>
    <x v="0"/>
    <x v="1"/>
    <x v="6"/>
    <x v="2"/>
    <x v="1"/>
    <x v="0"/>
  </r>
  <r>
    <s v="T00650"/>
    <d v="2023-01-07T00:00:00"/>
    <d v="1899-12-30T23:30:00"/>
    <x v="0"/>
    <x v="17"/>
    <s v="Station_14"/>
    <s v="Station_6"/>
    <d v="1899-12-30T23:31:00"/>
    <d v="1899-12-30T00:10:00"/>
    <n v="10"/>
    <n v="28"/>
    <x v="3"/>
    <n v="26.4"/>
    <n v="39"/>
    <n v="49"/>
    <n v="14.1"/>
    <x v="5"/>
    <n v="50000"/>
    <n v="88"/>
    <x v="0"/>
    <x v="0"/>
    <x v="6"/>
    <x v="0"/>
    <x v="1"/>
    <x v="0"/>
  </r>
  <r>
    <s v="T00651"/>
    <d v="2023-01-07T00:00:00"/>
    <d v="1899-12-30T23:45:00"/>
    <x v="1"/>
    <x v="10"/>
    <s v="Station_5"/>
    <s v="Station_6"/>
    <d v="1899-12-30T23:46:00"/>
    <d v="1899-12-30T00:17:00"/>
    <n v="18"/>
    <n v="2"/>
    <x v="3"/>
    <n v="17"/>
    <n v="88"/>
    <n v="49"/>
    <n v="7.7"/>
    <x v="4"/>
    <n v="0"/>
    <n v="67"/>
    <x v="0"/>
    <x v="1"/>
    <x v="6"/>
    <x v="1"/>
    <x v="0"/>
    <x v="0"/>
  </r>
  <r>
    <s v="T00652"/>
    <d v="2023-01-08T00:00:00"/>
    <d v="1899-12-30T00:00:00"/>
    <x v="0"/>
    <x v="17"/>
    <s v="Station_33"/>
    <s v="Station_44"/>
    <d v="1899-12-30T00:02:00"/>
    <d v="1899-12-30T00:20:00"/>
    <n v="5"/>
    <n v="4"/>
    <x v="1"/>
    <n v="22.2"/>
    <n v="80"/>
    <n v="9"/>
    <n v="10"/>
    <x v="0"/>
    <n v="0"/>
    <n v="85"/>
    <x v="0"/>
    <x v="0"/>
    <x v="0"/>
    <x v="3"/>
    <x v="0"/>
    <x v="0"/>
  </r>
  <r>
    <s v="T00653"/>
    <d v="2023-01-08T00:00:00"/>
    <d v="1899-12-30T00:15:00"/>
    <x v="2"/>
    <x v="2"/>
    <s v="Station_50"/>
    <s v="Station_8"/>
    <d v="1899-12-30T00:17:00"/>
    <d v="1899-12-30T00:35:00"/>
    <n v="18"/>
    <n v="26"/>
    <x v="4"/>
    <n v="32.5"/>
    <n v="38"/>
    <n v="16"/>
    <n v="9.1"/>
    <x v="0"/>
    <n v="0"/>
    <n v="68"/>
    <x v="0"/>
    <x v="1"/>
    <x v="0"/>
    <x v="1"/>
    <x v="1"/>
    <x v="0"/>
  </r>
  <r>
    <s v="T00654"/>
    <d v="2023-01-08T00:00:00"/>
    <d v="1899-12-30T00:30:00"/>
    <x v="3"/>
    <x v="0"/>
    <s v="Station_48"/>
    <s v="Station_24"/>
    <d v="1899-12-30T00:33:00"/>
    <d v="1899-12-30T01:22:00"/>
    <n v="14"/>
    <n v="23"/>
    <x v="5"/>
    <n v="20.5"/>
    <n v="83"/>
    <n v="29"/>
    <n v="0.2"/>
    <x v="0"/>
    <n v="0"/>
    <n v="0"/>
    <x v="0"/>
    <x v="0"/>
    <x v="0"/>
    <x v="1"/>
    <x v="1"/>
    <x v="2"/>
  </r>
  <r>
    <s v="T00655"/>
    <d v="2023-01-08T00:00:00"/>
    <d v="1899-12-30T00:45:00"/>
    <x v="2"/>
    <x v="0"/>
    <s v="Station_41"/>
    <s v="Station_22"/>
    <d v="1899-12-30T00:45:00"/>
    <d v="1899-12-30T01:42:00"/>
    <n v="6"/>
    <n v="3"/>
    <x v="4"/>
    <n v="9.6"/>
    <n v="91"/>
    <n v="12"/>
    <n v="7.9"/>
    <x v="0"/>
    <n v="0"/>
    <n v="49"/>
    <x v="0"/>
    <x v="1"/>
    <x v="0"/>
    <x v="0"/>
    <x v="0"/>
    <x v="1"/>
  </r>
  <r>
    <s v="T00656"/>
    <d v="2023-01-08T00:00:00"/>
    <d v="1899-12-30T01:00:00"/>
    <x v="0"/>
    <x v="18"/>
    <s v="Station_19"/>
    <s v="Station_19"/>
    <d v="1899-12-30T01:01:00"/>
    <d v="1899-12-30T01:44:00"/>
    <n v="17"/>
    <n v="23"/>
    <x v="2"/>
    <n v="13"/>
    <n v="38"/>
    <n v="29"/>
    <n v="11.7"/>
    <x v="0"/>
    <n v="0"/>
    <n v="80"/>
    <x v="0"/>
    <x v="1"/>
    <x v="0"/>
    <x v="1"/>
    <x v="1"/>
    <x v="0"/>
  </r>
  <r>
    <s v="T00657"/>
    <d v="2023-01-08T00:00:00"/>
    <d v="1899-12-30T01:15:00"/>
    <x v="0"/>
    <x v="17"/>
    <s v="Station_22"/>
    <s v="Station_37"/>
    <d v="1899-12-30T01:15:00"/>
    <d v="1899-12-30T02:00:00"/>
    <n v="10"/>
    <n v="21"/>
    <x v="1"/>
    <n v="29.4"/>
    <n v="38"/>
    <n v="56"/>
    <n v="11.4"/>
    <x v="1"/>
    <n v="0"/>
    <n v="72"/>
    <x v="0"/>
    <x v="1"/>
    <x v="0"/>
    <x v="3"/>
    <x v="1"/>
    <x v="0"/>
  </r>
  <r>
    <s v="T00658"/>
    <d v="2023-01-08T00:00:00"/>
    <d v="1899-12-30T01:30:00"/>
    <x v="1"/>
    <x v="3"/>
    <s v="Station_5"/>
    <s v="Station_18"/>
    <d v="1899-12-30T01:34:00"/>
    <d v="1899-12-30T02:02:00"/>
    <n v="-1"/>
    <n v="11"/>
    <x v="1"/>
    <n v="0.2"/>
    <n v="53"/>
    <n v="45"/>
    <n v="15"/>
    <x v="0"/>
    <n v="0"/>
    <n v="8"/>
    <x v="0"/>
    <x v="1"/>
    <x v="0"/>
    <x v="3"/>
    <x v="1"/>
    <x v="2"/>
  </r>
  <r>
    <s v="T00659"/>
    <d v="2023-01-08T00:00:00"/>
    <d v="1899-12-30T01:45:00"/>
    <x v="3"/>
    <x v="0"/>
    <s v="Station_2"/>
    <s v="Station_31"/>
    <d v="1899-12-30T01:46:00"/>
    <d v="1899-12-30T02:32:00"/>
    <n v="1"/>
    <n v="21"/>
    <x v="2"/>
    <n v="8"/>
    <n v="68"/>
    <n v="29"/>
    <n v="13.4"/>
    <x v="5"/>
    <n v="2000"/>
    <n v="52"/>
    <x v="0"/>
    <x v="1"/>
    <x v="0"/>
    <x v="2"/>
    <x v="1"/>
    <x v="1"/>
  </r>
  <r>
    <s v="T00660"/>
    <d v="2023-01-08T00:00:00"/>
    <d v="1899-12-30T02:00:00"/>
    <x v="1"/>
    <x v="18"/>
    <s v="Station_30"/>
    <s v="Station_37"/>
    <d v="1899-12-30T02:00:00"/>
    <d v="1899-12-30T02:52:00"/>
    <n v="-1"/>
    <n v="18"/>
    <x v="4"/>
    <n v="18.100000000000001"/>
    <n v="37"/>
    <n v="6"/>
    <n v="5.5"/>
    <x v="2"/>
    <n v="500"/>
    <n v="87"/>
    <x v="0"/>
    <x v="0"/>
    <x v="0"/>
    <x v="0"/>
    <x v="1"/>
    <x v="0"/>
  </r>
  <r>
    <s v="T00661"/>
    <d v="2023-01-08T00:00:00"/>
    <d v="1899-12-30T02:15:00"/>
    <x v="0"/>
    <x v="10"/>
    <s v="Station_47"/>
    <s v="Station_30"/>
    <d v="1899-12-30T02:18:00"/>
    <d v="1899-12-30T03:11:00"/>
    <n v="1"/>
    <n v="14"/>
    <x v="2"/>
    <n v="22.1"/>
    <n v="54"/>
    <n v="9"/>
    <n v="5.0999999999999996"/>
    <x v="5"/>
    <n v="0"/>
    <n v="9"/>
    <x v="0"/>
    <x v="0"/>
    <x v="0"/>
    <x v="0"/>
    <x v="1"/>
    <x v="2"/>
  </r>
  <r>
    <s v="T00662"/>
    <d v="2023-01-08T00:00:00"/>
    <d v="1899-12-30T02:30:00"/>
    <x v="2"/>
    <x v="3"/>
    <s v="Station_39"/>
    <s v="Station_42"/>
    <d v="1899-12-30T02:33:00"/>
    <d v="1899-12-30T03:19:00"/>
    <n v="15"/>
    <n v="8"/>
    <x v="0"/>
    <n v="25.5"/>
    <n v="95"/>
    <n v="34"/>
    <n v="9.3000000000000007"/>
    <x v="0"/>
    <n v="0"/>
    <n v="83"/>
    <x v="0"/>
    <x v="1"/>
    <x v="0"/>
    <x v="1"/>
    <x v="1"/>
    <x v="0"/>
  </r>
  <r>
    <s v="T00663"/>
    <d v="2023-01-08T00:00:00"/>
    <d v="1899-12-30T02:45:00"/>
    <x v="3"/>
    <x v="16"/>
    <s v="Station_4"/>
    <s v="Station_33"/>
    <d v="1899-12-30T02:46:00"/>
    <d v="1899-12-30T03:12:00"/>
    <n v="2"/>
    <n v="19"/>
    <x v="2"/>
    <n v="7.7"/>
    <n v="39"/>
    <n v="1"/>
    <n v="14.7"/>
    <x v="0"/>
    <n v="10000"/>
    <n v="80"/>
    <x v="0"/>
    <x v="1"/>
    <x v="0"/>
    <x v="3"/>
    <x v="1"/>
    <x v="0"/>
  </r>
  <r>
    <s v="T00664"/>
    <d v="2023-01-08T00:00:00"/>
    <d v="1899-12-30T03:00:00"/>
    <x v="2"/>
    <x v="13"/>
    <s v="Station_33"/>
    <s v="Station_10"/>
    <d v="1899-12-30T03:04:00"/>
    <d v="1899-12-30T03:20:00"/>
    <n v="16"/>
    <n v="21"/>
    <x v="4"/>
    <n v="0.8"/>
    <n v="53"/>
    <n v="29"/>
    <n v="1.9"/>
    <x v="0"/>
    <n v="0"/>
    <n v="76"/>
    <x v="0"/>
    <x v="1"/>
    <x v="0"/>
    <x v="3"/>
    <x v="1"/>
    <x v="0"/>
  </r>
  <r>
    <s v="T00665"/>
    <d v="2023-01-08T00:00:00"/>
    <d v="1899-12-30T03:15:00"/>
    <x v="2"/>
    <x v="18"/>
    <s v="Station_13"/>
    <s v="Station_37"/>
    <d v="1899-12-30T03:18:00"/>
    <d v="1899-12-30T03:46:00"/>
    <n v="7"/>
    <n v="6"/>
    <x v="2"/>
    <n v="33.200000000000003"/>
    <n v="88"/>
    <n v="18"/>
    <n v="19"/>
    <x v="0"/>
    <n v="0"/>
    <n v="28"/>
    <x v="1"/>
    <x v="0"/>
    <x v="0"/>
    <x v="2"/>
    <x v="1"/>
    <x v="2"/>
  </r>
  <r>
    <s v="T00666"/>
    <d v="2023-01-08T00:00:00"/>
    <d v="1899-12-30T03:30:00"/>
    <x v="3"/>
    <x v="2"/>
    <s v="Station_20"/>
    <s v="Station_12"/>
    <d v="1899-12-30T03:33:00"/>
    <d v="1899-12-30T03:54:00"/>
    <n v="15"/>
    <n v="26"/>
    <x v="5"/>
    <n v="-1.9"/>
    <n v="60"/>
    <n v="38"/>
    <n v="10.9"/>
    <x v="4"/>
    <n v="500"/>
    <n v="35"/>
    <x v="0"/>
    <x v="0"/>
    <x v="0"/>
    <x v="1"/>
    <x v="1"/>
    <x v="1"/>
  </r>
  <r>
    <s v="T00667"/>
    <d v="2023-01-08T00:00:00"/>
    <d v="1899-12-30T03:45:00"/>
    <x v="1"/>
    <x v="14"/>
    <s v="Station_7"/>
    <s v="Station_30"/>
    <d v="1899-12-30T03:49:00"/>
    <d v="1899-12-30T04:28:00"/>
    <n v="18"/>
    <n v="6"/>
    <x v="3"/>
    <n v="-1.2"/>
    <n v="40"/>
    <n v="36"/>
    <n v="6.1"/>
    <x v="2"/>
    <n v="500"/>
    <n v="86"/>
    <x v="0"/>
    <x v="1"/>
    <x v="0"/>
    <x v="3"/>
    <x v="1"/>
    <x v="0"/>
  </r>
  <r>
    <s v="T00668"/>
    <d v="2023-01-08T00:00:00"/>
    <d v="1899-12-30T04:00:00"/>
    <x v="2"/>
    <x v="13"/>
    <s v="Station_15"/>
    <s v="Station_27"/>
    <d v="1899-12-30T04:00:00"/>
    <d v="1899-12-30T04:25:00"/>
    <n v="7"/>
    <n v="9"/>
    <x v="2"/>
    <n v="14.8"/>
    <n v="35"/>
    <n v="59"/>
    <n v="13.9"/>
    <x v="0"/>
    <n v="0"/>
    <n v="26"/>
    <x v="0"/>
    <x v="1"/>
    <x v="0"/>
    <x v="0"/>
    <x v="1"/>
    <x v="2"/>
  </r>
  <r>
    <s v="T00669"/>
    <d v="2023-01-08T00:00:00"/>
    <d v="1899-12-30T04:15:00"/>
    <x v="0"/>
    <x v="0"/>
    <s v="Station_23"/>
    <s v="Station_39"/>
    <d v="1899-12-30T04:18:00"/>
    <d v="1899-12-30T04:59:00"/>
    <n v="2"/>
    <n v="25"/>
    <x v="3"/>
    <n v="27.8"/>
    <n v="99"/>
    <n v="2"/>
    <n v="0.9"/>
    <x v="0"/>
    <n v="0"/>
    <n v="17"/>
    <x v="1"/>
    <x v="0"/>
    <x v="0"/>
    <x v="2"/>
    <x v="1"/>
    <x v="2"/>
  </r>
  <r>
    <s v="T00670"/>
    <d v="2023-01-08T00:00:00"/>
    <d v="1899-12-30T04:30:00"/>
    <x v="2"/>
    <x v="15"/>
    <s v="Station_14"/>
    <s v="Station_9"/>
    <d v="1899-12-30T04:32:00"/>
    <d v="1899-12-30T04:50:00"/>
    <n v="14"/>
    <n v="5"/>
    <x v="2"/>
    <n v="26"/>
    <n v="61"/>
    <n v="24"/>
    <n v="9.6999999999999993"/>
    <x v="0"/>
    <n v="0"/>
    <n v="17"/>
    <x v="0"/>
    <x v="1"/>
    <x v="0"/>
    <x v="0"/>
    <x v="0"/>
    <x v="2"/>
  </r>
  <r>
    <s v="T00671"/>
    <d v="2023-01-08T00:00:00"/>
    <d v="1899-12-30T04:45:00"/>
    <x v="3"/>
    <x v="4"/>
    <s v="Station_23"/>
    <s v="Station_21"/>
    <d v="1899-12-30T04:48:00"/>
    <d v="1899-12-30T05:29:00"/>
    <n v="19"/>
    <n v="9"/>
    <x v="4"/>
    <n v="32.5"/>
    <n v="68"/>
    <n v="33"/>
    <n v="9.6999999999999993"/>
    <x v="1"/>
    <n v="10000"/>
    <n v="8"/>
    <x v="0"/>
    <x v="1"/>
    <x v="0"/>
    <x v="2"/>
    <x v="1"/>
    <x v="2"/>
  </r>
  <r>
    <s v="T00672"/>
    <d v="2023-01-08T00:00:00"/>
    <d v="1899-12-30T05:00:00"/>
    <x v="3"/>
    <x v="2"/>
    <s v="Station_19"/>
    <s v="Station_12"/>
    <d v="1899-12-30T05:00:00"/>
    <d v="1899-12-30T05:20:00"/>
    <n v="10"/>
    <n v="10"/>
    <x v="0"/>
    <n v="0.7"/>
    <n v="77"/>
    <n v="54"/>
    <n v="3.2"/>
    <x v="5"/>
    <n v="0"/>
    <n v="66"/>
    <x v="1"/>
    <x v="1"/>
    <x v="0"/>
    <x v="0"/>
    <x v="1"/>
    <x v="1"/>
  </r>
  <r>
    <s v="T00673"/>
    <d v="2023-01-08T00:00:00"/>
    <d v="1899-12-30T05:15:00"/>
    <x v="3"/>
    <x v="11"/>
    <s v="Station_29"/>
    <s v="Station_29"/>
    <d v="1899-12-30T05:15:00"/>
    <d v="1899-12-30T06:06:00"/>
    <n v="14"/>
    <n v="5"/>
    <x v="0"/>
    <n v="10"/>
    <n v="42"/>
    <n v="57"/>
    <n v="16.7"/>
    <x v="0"/>
    <n v="0"/>
    <n v="6"/>
    <x v="0"/>
    <x v="0"/>
    <x v="0"/>
    <x v="1"/>
    <x v="0"/>
    <x v="2"/>
  </r>
  <r>
    <s v="T00674"/>
    <d v="2023-01-08T00:00:00"/>
    <d v="1899-12-30T05:30:00"/>
    <x v="1"/>
    <x v="18"/>
    <s v="Station_20"/>
    <s v="Station_33"/>
    <d v="1899-12-30T05:31:00"/>
    <d v="1899-12-30T05:52:00"/>
    <n v="6"/>
    <n v="4"/>
    <x v="3"/>
    <n v="6.3"/>
    <n v="88"/>
    <n v="21"/>
    <n v="15.9"/>
    <x v="0"/>
    <n v="0"/>
    <n v="57"/>
    <x v="0"/>
    <x v="1"/>
    <x v="0"/>
    <x v="3"/>
    <x v="0"/>
    <x v="1"/>
  </r>
  <r>
    <s v="T00675"/>
    <d v="2023-01-08T00:00:00"/>
    <d v="1899-12-30T05:45:00"/>
    <x v="2"/>
    <x v="8"/>
    <s v="Station_29"/>
    <s v="Station_43"/>
    <d v="1899-12-30T05:47:00"/>
    <d v="1899-12-30T06:23:00"/>
    <n v="9"/>
    <n v="-1"/>
    <x v="4"/>
    <n v="29.4"/>
    <n v="96"/>
    <n v="37"/>
    <n v="3.1"/>
    <x v="5"/>
    <n v="0"/>
    <n v="78"/>
    <x v="0"/>
    <x v="0"/>
    <x v="0"/>
    <x v="0"/>
    <x v="0"/>
    <x v="0"/>
  </r>
  <r>
    <s v="T00676"/>
    <d v="2023-01-08T00:00:00"/>
    <d v="1899-12-30T06:00:00"/>
    <x v="1"/>
    <x v="16"/>
    <s v="Station_24"/>
    <s v="Station_15"/>
    <d v="1899-12-30T06:00:00"/>
    <d v="1899-12-30T06:48:00"/>
    <n v="11"/>
    <n v="29"/>
    <x v="4"/>
    <n v="14.5"/>
    <n v="85"/>
    <n v="13"/>
    <n v="7.3"/>
    <x v="0"/>
    <n v="0"/>
    <n v="29"/>
    <x v="0"/>
    <x v="1"/>
    <x v="0"/>
    <x v="1"/>
    <x v="1"/>
    <x v="2"/>
  </r>
  <r>
    <s v="T00677"/>
    <d v="2023-01-08T00:00:00"/>
    <d v="1899-12-30T06:15:00"/>
    <x v="1"/>
    <x v="5"/>
    <s v="Station_18"/>
    <s v="Station_2"/>
    <d v="1899-12-30T06:19:00"/>
    <d v="1899-12-30T06:36:00"/>
    <n v="11"/>
    <n v="28"/>
    <x v="4"/>
    <n v="-3.9"/>
    <n v="70"/>
    <n v="38"/>
    <n v="2"/>
    <x v="1"/>
    <n v="0"/>
    <n v="72"/>
    <x v="0"/>
    <x v="1"/>
    <x v="0"/>
    <x v="0"/>
    <x v="1"/>
    <x v="0"/>
  </r>
  <r>
    <s v="T00678"/>
    <d v="2023-01-08T00:00:00"/>
    <d v="1899-12-30T06:30:00"/>
    <x v="3"/>
    <x v="10"/>
    <s v="Station_10"/>
    <s v="Station_39"/>
    <d v="1899-12-30T06:32:00"/>
    <d v="1899-12-30T06:58:00"/>
    <n v="5"/>
    <n v="3"/>
    <x v="5"/>
    <n v="23.3"/>
    <n v="85"/>
    <n v="53"/>
    <n v="17"/>
    <x v="0"/>
    <n v="0"/>
    <n v="60"/>
    <x v="0"/>
    <x v="1"/>
    <x v="0"/>
    <x v="1"/>
    <x v="0"/>
    <x v="1"/>
  </r>
  <r>
    <s v="T00679"/>
    <d v="2023-01-08T00:00:00"/>
    <d v="1899-12-30T06:45:00"/>
    <x v="3"/>
    <x v="18"/>
    <s v="Station_41"/>
    <s v="Station_44"/>
    <d v="1899-12-30T06:47:00"/>
    <d v="1899-12-30T07:21:00"/>
    <n v="2"/>
    <n v="15"/>
    <x v="1"/>
    <n v="10.5"/>
    <n v="64"/>
    <n v="1"/>
    <n v="6.5"/>
    <x v="0"/>
    <n v="500"/>
    <n v="90"/>
    <x v="0"/>
    <x v="0"/>
    <x v="0"/>
    <x v="2"/>
    <x v="1"/>
    <x v="0"/>
  </r>
  <r>
    <s v="T00680"/>
    <d v="2023-01-08T00:00:00"/>
    <d v="1899-12-30T07:00:00"/>
    <x v="1"/>
    <x v="17"/>
    <s v="Station_8"/>
    <s v="Station_18"/>
    <d v="1899-12-30T07:04:00"/>
    <d v="1899-12-30T07:55:00"/>
    <n v="16"/>
    <n v="10"/>
    <x v="2"/>
    <n v="16.2"/>
    <n v="67"/>
    <n v="31"/>
    <n v="8.8000000000000007"/>
    <x v="0"/>
    <n v="0"/>
    <n v="99"/>
    <x v="1"/>
    <x v="1"/>
    <x v="0"/>
    <x v="1"/>
    <x v="1"/>
    <x v="0"/>
  </r>
  <r>
    <s v="T00681"/>
    <d v="2023-01-08T00:00:00"/>
    <d v="1899-12-30T07:15:00"/>
    <x v="2"/>
    <x v="12"/>
    <s v="Station_26"/>
    <s v="Station_3"/>
    <d v="1899-12-30T07:18:00"/>
    <d v="1899-12-30T07:51:00"/>
    <n v="11"/>
    <n v="15"/>
    <x v="4"/>
    <n v="30.8"/>
    <n v="96"/>
    <n v="42"/>
    <n v="6.5"/>
    <x v="1"/>
    <n v="2000"/>
    <n v="81"/>
    <x v="0"/>
    <x v="1"/>
    <x v="0"/>
    <x v="0"/>
    <x v="1"/>
    <x v="0"/>
  </r>
  <r>
    <s v="T00682"/>
    <d v="2023-01-08T00:00:00"/>
    <d v="1899-12-30T07:30:00"/>
    <x v="0"/>
    <x v="1"/>
    <s v="Station_29"/>
    <s v="Station_7"/>
    <d v="1899-12-30T07:34:00"/>
    <d v="1899-12-30T08:01:00"/>
    <n v="6"/>
    <n v="22"/>
    <x v="4"/>
    <n v="5.3"/>
    <n v="63"/>
    <n v="52"/>
    <n v="6.2"/>
    <x v="0"/>
    <n v="0"/>
    <n v="94"/>
    <x v="0"/>
    <x v="1"/>
    <x v="0"/>
    <x v="3"/>
    <x v="1"/>
    <x v="0"/>
  </r>
  <r>
    <s v="T00683"/>
    <d v="2023-01-08T00:00:00"/>
    <d v="1899-12-30T07:45:00"/>
    <x v="1"/>
    <x v="11"/>
    <s v="Station_10"/>
    <s v="Station_43"/>
    <d v="1899-12-30T07:49:00"/>
    <d v="1899-12-30T08:24:00"/>
    <n v="4"/>
    <n v="13"/>
    <x v="4"/>
    <n v="4.5999999999999996"/>
    <n v="99"/>
    <n v="2"/>
    <n v="14.9"/>
    <x v="0"/>
    <n v="10000"/>
    <n v="16"/>
    <x v="0"/>
    <x v="1"/>
    <x v="0"/>
    <x v="2"/>
    <x v="1"/>
    <x v="2"/>
  </r>
  <r>
    <s v="T00684"/>
    <d v="2023-01-08T00:00:00"/>
    <d v="1899-12-30T08:00:00"/>
    <x v="2"/>
    <x v="12"/>
    <s v="Station_17"/>
    <s v="Station_18"/>
    <d v="1899-12-30T08:03:00"/>
    <d v="1899-12-30T08:22:00"/>
    <n v="5"/>
    <n v="24"/>
    <x v="0"/>
    <n v="5.5"/>
    <n v="40"/>
    <n v="40"/>
    <n v="15"/>
    <x v="0"/>
    <n v="50000"/>
    <n v="52"/>
    <x v="0"/>
    <x v="0"/>
    <x v="0"/>
    <x v="2"/>
    <x v="1"/>
    <x v="1"/>
  </r>
  <r>
    <s v="T00685"/>
    <d v="2023-01-08T00:00:00"/>
    <d v="1899-12-30T08:15:00"/>
    <x v="3"/>
    <x v="10"/>
    <s v="Station_2"/>
    <s v="Station_44"/>
    <d v="1899-12-30T08:18:00"/>
    <d v="1899-12-30T08:38:00"/>
    <n v="11"/>
    <n v="15"/>
    <x v="4"/>
    <n v="8.5"/>
    <n v="56"/>
    <n v="7"/>
    <n v="10.4"/>
    <x v="0"/>
    <n v="0"/>
    <n v="5"/>
    <x v="0"/>
    <x v="1"/>
    <x v="0"/>
    <x v="1"/>
    <x v="1"/>
    <x v="2"/>
  </r>
  <r>
    <s v="T00686"/>
    <d v="2023-01-08T00:00:00"/>
    <d v="1899-12-30T08:30:00"/>
    <x v="3"/>
    <x v="12"/>
    <s v="Station_6"/>
    <s v="Station_38"/>
    <d v="1899-12-30T08:33:00"/>
    <d v="1899-12-30T09:06:00"/>
    <n v="19"/>
    <n v="23"/>
    <x v="2"/>
    <n v="-0.7"/>
    <n v="77"/>
    <n v="25"/>
    <n v="13.2"/>
    <x v="5"/>
    <n v="50000"/>
    <n v="38"/>
    <x v="0"/>
    <x v="0"/>
    <x v="0"/>
    <x v="0"/>
    <x v="1"/>
    <x v="1"/>
  </r>
  <r>
    <s v="T00687"/>
    <d v="2023-01-08T00:00:00"/>
    <d v="1899-12-30T08:45:00"/>
    <x v="2"/>
    <x v="5"/>
    <s v="Station_5"/>
    <s v="Station_37"/>
    <d v="1899-12-30T08:48:00"/>
    <d v="1899-12-30T09:41:00"/>
    <n v="11"/>
    <n v="15"/>
    <x v="4"/>
    <n v="22.9"/>
    <n v="53"/>
    <n v="31"/>
    <n v="10.199999999999999"/>
    <x v="2"/>
    <n v="0"/>
    <n v="24"/>
    <x v="0"/>
    <x v="0"/>
    <x v="0"/>
    <x v="1"/>
    <x v="1"/>
    <x v="2"/>
  </r>
  <r>
    <s v="T00688"/>
    <d v="2023-01-08T00:00:00"/>
    <d v="1899-12-30T09:00:00"/>
    <x v="0"/>
    <x v="11"/>
    <s v="Station_28"/>
    <s v="Station_33"/>
    <d v="1899-12-30T09:03:00"/>
    <d v="1899-12-30T09:34:00"/>
    <n v="8"/>
    <n v="29"/>
    <x v="2"/>
    <n v="3.3"/>
    <n v="47"/>
    <n v="10"/>
    <n v="0.6"/>
    <x v="0"/>
    <n v="500"/>
    <n v="41"/>
    <x v="0"/>
    <x v="1"/>
    <x v="0"/>
    <x v="2"/>
    <x v="1"/>
    <x v="1"/>
  </r>
  <r>
    <s v="T00689"/>
    <d v="2023-01-08T00:00:00"/>
    <d v="1899-12-30T09:15:00"/>
    <x v="3"/>
    <x v="11"/>
    <s v="Station_41"/>
    <s v="Station_44"/>
    <d v="1899-12-30T09:19:00"/>
    <d v="1899-12-30T10:07:00"/>
    <n v="11"/>
    <n v="3"/>
    <x v="5"/>
    <n v="32"/>
    <n v="56"/>
    <n v="49"/>
    <n v="1.3"/>
    <x v="5"/>
    <n v="0"/>
    <n v="41"/>
    <x v="0"/>
    <x v="0"/>
    <x v="0"/>
    <x v="3"/>
    <x v="0"/>
    <x v="1"/>
  </r>
  <r>
    <s v="T00690"/>
    <d v="2023-01-08T00:00:00"/>
    <d v="1899-12-30T09:30:00"/>
    <x v="3"/>
    <x v="18"/>
    <s v="Station_5"/>
    <s v="Station_31"/>
    <d v="1899-12-30T09:31:00"/>
    <d v="1899-12-30T10:05:00"/>
    <n v="18"/>
    <n v="25"/>
    <x v="1"/>
    <n v="3.6"/>
    <n v="83"/>
    <n v="0"/>
    <n v="7.7"/>
    <x v="0"/>
    <n v="0"/>
    <n v="58"/>
    <x v="0"/>
    <x v="1"/>
    <x v="0"/>
    <x v="1"/>
    <x v="1"/>
    <x v="1"/>
  </r>
  <r>
    <s v="T00691"/>
    <d v="2023-01-08T00:00:00"/>
    <d v="1899-12-30T09:45:00"/>
    <x v="3"/>
    <x v="14"/>
    <s v="Station_18"/>
    <s v="Station_11"/>
    <d v="1899-12-30T09:46:00"/>
    <d v="1899-12-30T10:15:00"/>
    <n v="5"/>
    <n v="1"/>
    <x v="0"/>
    <n v="5.2"/>
    <n v="84"/>
    <n v="14"/>
    <n v="15"/>
    <x v="0"/>
    <n v="0"/>
    <n v="37"/>
    <x v="0"/>
    <x v="1"/>
    <x v="0"/>
    <x v="0"/>
    <x v="0"/>
    <x v="1"/>
  </r>
  <r>
    <s v="T00692"/>
    <d v="2023-01-08T00:00:00"/>
    <d v="1899-12-30T10:00:00"/>
    <x v="2"/>
    <x v="18"/>
    <s v="Station_26"/>
    <s v="Station_4"/>
    <d v="1899-12-30T10:00:00"/>
    <d v="1899-12-30T10:39:00"/>
    <n v="0"/>
    <n v="26"/>
    <x v="2"/>
    <n v="6.9"/>
    <n v="50"/>
    <n v="3"/>
    <n v="18.3"/>
    <x v="1"/>
    <n v="0"/>
    <n v="30"/>
    <x v="0"/>
    <x v="1"/>
    <x v="0"/>
    <x v="1"/>
    <x v="1"/>
    <x v="2"/>
  </r>
  <r>
    <s v="T00693"/>
    <d v="2023-01-08T00:00:00"/>
    <d v="1899-12-30T10:15:00"/>
    <x v="1"/>
    <x v="12"/>
    <s v="Station_20"/>
    <s v="Station_18"/>
    <d v="1899-12-30T10:16:00"/>
    <d v="1899-12-30T11:12:00"/>
    <n v="15"/>
    <n v="4"/>
    <x v="3"/>
    <n v="25.7"/>
    <n v="88"/>
    <n v="3"/>
    <n v="0.6"/>
    <x v="0"/>
    <n v="2000"/>
    <n v="28"/>
    <x v="1"/>
    <x v="0"/>
    <x v="0"/>
    <x v="1"/>
    <x v="0"/>
    <x v="2"/>
  </r>
  <r>
    <s v="T00694"/>
    <d v="2023-01-08T00:00:00"/>
    <d v="1899-12-30T10:30:00"/>
    <x v="3"/>
    <x v="19"/>
    <s v="Station_41"/>
    <s v="Station_4"/>
    <d v="1899-12-30T10:31:00"/>
    <d v="1899-12-30T11:13:00"/>
    <n v="0"/>
    <n v="8"/>
    <x v="5"/>
    <n v="12.1"/>
    <n v="63"/>
    <n v="27"/>
    <n v="7.4"/>
    <x v="0"/>
    <n v="0"/>
    <n v="8"/>
    <x v="0"/>
    <x v="1"/>
    <x v="0"/>
    <x v="1"/>
    <x v="1"/>
    <x v="2"/>
  </r>
  <r>
    <s v="T00695"/>
    <d v="2023-01-08T00:00:00"/>
    <d v="1899-12-30T10:45:00"/>
    <x v="1"/>
    <x v="1"/>
    <s v="Station_49"/>
    <s v="Station_49"/>
    <d v="1899-12-30T10:49:00"/>
    <d v="1899-12-30T11:20:00"/>
    <n v="10"/>
    <n v="9"/>
    <x v="1"/>
    <n v="27.8"/>
    <n v="87"/>
    <n v="9"/>
    <n v="4.5"/>
    <x v="0"/>
    <n v="0"/>
    <n v="0"/>
    <x v="0"/>
    <x v="1"/>
    <x v="0"/>
    <x v="3"/>
    <x v="1"/>
    <x v="2"/>
  </r>
  <r>
    <s v="T00696"/>
    <d v="2023-01-08T00:00:00"/>
    <d v="1899-12-30T11:00:00"/>
    <x v="0"/>
    <x v="10"/>
    <s v="Station_27"/>
    <s v="Station_34"/>
    <d v="1899-12-30T11:03:00"/>
    <d v="1899-12-30T11:49:00"/>
    <n v="9"/>
    <n v="22"/>
    <x v="1"/>
    <n v="26.4"/>
    <n v="77"/>
    <n v="10"/>
    <n v="16.3"/>
    <x v="1"/>
    <n v="50000"/>
    <n v="79"/>
    <x v="0"/>
    <x v="0"/>
    <x v="0"/>
    <x v="0"/>
    <x v="1"/>
    <x v="0"/>
  </r>
  <r>
    <s v="T00697"/>
    <d v="2023-01-08T00:00:00"/>
    <d v="1899-12-30T11:15:00"/>
    <x v="3"/>
    <x v="11"/>
    <s v="Station_49"/>
    <s v="Station_29"/>
    <d v="1899-12-30T11:18:00"/>
    <d v="1899-12-30T12:08:00"/>
    <n v="12"/>
    <n v="14"/>
    <x v="1"/>
    <n v="32.200000000000003"/>
    <n v="83"/>
    <n v="49"/>
    <n v="16.899999999999999"/>
    <x v="0"/>
    <n v="50000"/>
    <n v="86"/>
    <x v="0"/>
    <x v="0"/>
    <x v="0"/>
    <x v="0"/>
    <x v="1"/>
    <x v="0"/>
  </r>
  <r>
    <s v="T00698"/>
    <d v="2023-01-08T00:00:00"/>
    <d v="1899-12-30T11:30:00"/>
    <x v="3"/>
    <x v="0"/>
    <s v="Station_12"/>
    <s v="Station_24"/>
    <d v="1899-12-30T11:34:00"/>
    <d v="1899-12-30T11:50:00"/>
    <n v="15"/>
    <n v="16"/>
    <x v="2"/>
    <n v="25.3"/>
    <n v="47"/>
    <n v="22"/>
    <n v="4.0999999999999996"/>
    <x v="0"/>
    <n v="50000"/>
    <n v="71"/>
    <x v="1"/>
    <x v="1"/>
    <x v="0"/>
    <x v="2"/>
    <x v="1"/>
    <x v="0"/>
  </r>
  <r>
    <s v="T00699"/>
    <d v="2023-01-08T00:00:00"/>
    <d v="1899-12-30T11:45:00"/>
    <x v="0"/>
    <x v="10"/>
    <s v="Station_7"/>
    <s v="Station_22"/>
    <d v="1899-12-30T11:46:00"/>
    <d v="1899-12-30T12:28:00"/>
    <n v="2"/>
    <n v="12"/>
    <x v="5"/>
    <n v="-2.9"/>
    <n v="32"/>
    <n v="46"/>
    <n v="14.2"/>
    <x v="2"/>
    <n v="10000"/>
    <n v="46"/>
    <x v="0"/>
    <x v="1"/>
    <x v="0"/>
    <x v="2"/>
    <x v="1"/>
    <x v="1"/>
  </r>
  <r>
    <s v="T00700"/>
    <d v="2023-01-08T00:00:00"/>
    <d v="1899-12-30T12:00:00"/>
    <x v="3"/>
    <x v="9"/>
    <s v="Station_3"/>
    <s v="Station_2"/>
    <d v="1899-12-30T12:04:00"/>
    <d v="1899-12-30T12:43:00"/>
    <n v="4"/>
    <n v="-1"/>
    <x v="4"/>
    <n v="28.5"/>
    <n v="53"/>
    <n v="2"/>
    <n v="14.6"/>
    <x v="1"/>
    <n v="0"/>
    <n v="75"/>
    <x v="0"/>
    <x v="1"/>
    <x v="0"/>
    <x v="1"/>
    <x v="0"/>
    <x v="0"/>
  </r>
  <r>
    <s v="T00701"/>
    <d v="2023-01-08T00:00:00"/>
    <d v="1899-12-30T12:15:00"/>
    <x v="1"/>
    <x v="9"/>
    <s v="Station_10"/>
    <s v="Station_44"/>
    <d v="1899-12-30T12:15:00"/>
    <d v="1899-12-30T12:43:00"/>
    <n v="8"/>
    <n v="23"/>
    <x v="3"/>
    <n v="32.5"/>
    <n v="30"/>
    <n v="38"/>
    <n v="3.5"/>
    <x v="1"/>
    <n v="0"/>
    <n v="9"/>
    <x v="0"/>
    <x v="1"/>
    <x v="0"/>
    <x v="2"/>
    <x v="1"/>
    <x v="2"/>
  </r>
  <r>
    <s v="T00702"/>
    <d v="2023-01-08T00:00:00"/>
    <d v="1899-12-30T12:30:00"/>
    <x v="2"/>
    <x v="0"/>
    <s v="Station_34"/>
    <s v="Station_6"/>
    <d v="1899-12-30T12:33:00"/>
    <d v="1899-12-30T13:11:00"/>
    <n v="8"/>
    <n v="11"/>
    <x v="5"/>
    <n v="34.700000000000003"/>
    <n v="35"/>
    <n v="38"/>
    <n v="8.6999999999999993"/>
    <x v="0"/>
    <n v="0"/>
    <n v="15"/>
    <x v="0"/>
    <x v="1"/>
    <x v="0"/>
    <x v="0"/>
    <x v="1"/>
    <x v="2"/>
  </r>
  <r>
    <s v="T00703"/>
    <d v="2023-01-08T00:00:00"/>
    <d v="1899-12-30T12:45:00"/>
    <x v="1"/>
    <x v="11"/>
    <s v="Station_25"/>
    <s v="Station_42"/>
    <d v="1899-12-30T12:47:00"/>
    <d v="1899-12-30T13:16:00"/>
    <n v="12"/>
    <n v="18"/>
    <x v="5"/>
    <n v="0"/>
    <n v="48"/>
    <n v="16"/>
    <n v="12.4"/>
    <x v="0"/>
    <n v="50000"/>
    <n v="46"/>
    <x v="0"/>
    <x v="1"/>
    <x v="0"/>
    <x v="1"/>
    <x v="1"/>
    <x v="1"/>
  </r>
  <r>
    <s v="T00704"/>
    <d v="2023-01-08T00:00:00"/>
    <d v="1899-12-30T13:00:00"/>
    <x v="2"/>
    <x v="11"/>
    <s v="Station_35"/>
    <s v="Station_25"/>
    <d v="1899-12-30T13:00:00"/>
    <d v="1899-12-30T13:36:00"/>
    <n v="7"/>
    <n v="19"/>
    <x v="5"/>
    <n v="19.5"/>
    <n v="72"/>
    <n v="21"/>
    <n v="0.5"/>
    <x v="0"/>
    <n v="0"/>
    <n v="42"/>
    <x v="0"/>
    <x v="1"/>
    <x v="0"/>
    <x v="2"/>
    <x v="1"/>
    <x v="1"/>
  </r>
  <r>
    <s v="T00705"/>
    <d v="2023-01-08T00:00:00"/>
    <d v="1899-12-30T13:15:00"/>
    <x v="2"/>
    <x v="4"/>
    <s v="Station_16"/>
    <s v="Station_21"/>
    <d v="1899-12-30T13:15:00"/>
    <d v="1899-12-30T13:59:00"/>
    <n v="12"/>
    <n v="0"/>
    <x v="2"/>
    <n v="3"/>
    <n v="37"/>
    <n v="51"/>
    <n v="8.1"/>
    <x v="1"/>
    <n v="0"/>
    <n v="23"/>
    <x v="0"/>
    <x v="0"/>
    <x v="0"/>
    <x v="3"/>
    <x v="0"/>
    <x v="2"/>
  </r>
  <r>
    <s v="T00706"/>
    <d v="2023-01-08T00:00:00"/>
    <d v="1899-12-30T13:30:00"/>
    <x v="1"/>
    <x v="2"/>
    <s v="Station_2"/>
    <s v="Station_16"/>
    <d v="1899-12-30T13:34:00"/>
    <d v="1899-12-30T14:17:00"/>
    <n v="10"/>
    <n v="19"/>
    <x v="3"/>
    <n v="5.5"/>
    <n v="98"/>
    <n v="26"/>
    <n v="3.1"/>
    <x v="1"/>
    <n v="0"/>
    <n v="7"/>
    <x v="0"/>
    <x v="1"/>
    <x v="0"/>
    <x v="2"/>
    <x v="1"/>
    <x v="2"/>
  </r>
  <r>
    <s v="T00707"/>
    <d v="2023-01-08T00:00:00"/>
    <d v="1899-12-30T13:45:00"/>
    <x v="1"/>
    <x v="5"/>
    <s v="Station_24"/>
    <s v="Station_31"/>
    <d v="1899-12-30T13:46:00"/>
    <d v="1899-12-30T14:19:00"/>
    <n v="11"/>
    <n v="5"/>
    <x v="2"/>
    <n v="24.8"/>
    <n v="81"/>
    <n v="55"/>
    <n v="10.8"/>
    <x v="3"/>
    <n v="0"/>
    <n v="74"/>
    <x v="0"/>
    <x v="1"/>
    <x v="0"/>
    <x v="3"/>
    <x v="0"/>
    <x v="0"/>
  </r>
  <r>
    <s v="T00708"/>
    <d v="2023-01-08T00:00:00"/>
    <d v="1899-12-30T14:00:00"/>
    <x v="1"/>
    <x v="6"/>
    <s v="Station_10"/>
    <s v="Station_14"/>
    <d v="1899-12-30T14:03:00"/>
    <d v="1899-12-30T14:49:00"/>
    <n v="14"/>
    <n v="20"/>
    <x v="3"/>
    <n v="34.1"/>
    <n v="76"/>
    <n v="15"/>
    <n v="16.899999999999999"/>
    <x v="0"/>
    <n v="0"/>
    <n v="25"/>
    <x v="0"/>
    <x v="1"/>
    <x v="0"/>
    <x v="2"/>
    <x v="1"/>
    <x v="2"/>
  </r>
  <r>
    <s v="T00709"/>
    <d v="2023-01-08T00:00:00"/>
    <d v="1899-12-30T14:15:00"/>
    <x v="1"/>
    <x v="18"/>
    <s v="Station_38"/>
    <s v="Station_39"/>
    <d v="1899-12-30T14:17:00"/>
    <d v="1899-12-30T15:01:00"/>
    <n v="10"/>
    <n v="17"/>
    <x v="3"/>
    <n v="18.8"/>
    <n v="57"/>
    <n v="15"/>
    <n v="10.5"/>
    <x v="0"/>
    <n v="500"/>
    <n v="6"/>
    <x v="0"/>
    <x v="1"/>
    <x v="0"/>
    <x v="0"/>
    <x v="1"/>
    <x v="2"/>
  </r>
  <r>
    <s v="T00710"/>
    <d v="2023-01-08T00:00:00"/>
    <d v="1899-12-30T14:30:00"/>
    <x v="0"/>
    <x v="8"/>
    <s v="Station_22"/>
    <s v="Station_28"/>
    <d v="1899-12-30T14:30:00"/>
    <d v="1899-12-30T15:11:00"/>
    <n v="7"/>
    <n v="12"/>
    <x v="2"/>
    <n v="29"/>
    <n v="75"/>
    <n v="39"/>
    <n v="0.7"/>
    <x v="0"/>
    <n v="0"/>
    <n v="78"/>
    <x v="0"/>
    <x v="1"/>
    <x v="0"/>
    <x v="2"/>
    <x v="1"/>
    <x v="0"/>
  </r>
  <r>
    <s v="T00711"/>
    <d v="2023-01-08T00:00:00"/>
    <d v="1899-12-30T14:45:00"/>
    <x v="3"/>
    <x v="3"/>
    <s v="Station_26"/>
    <s v="Station_32"/>
    <d v="1899-12-30T14:47:00"/>
    <d v="1899-12-30T15:14:00"/>
    <n v="-2"/>
    <n v="21"/>
    <x v="3"/>
    <n v="-4.5999999999999996"/>
    <n v="33"/>
    <n v="2"/>
    <n v="0.6"/>
    <x v="0"/>
    <n v="0"/>
    <n v="14"/>
    <x v="0"/>
    <x v="1"/>
    <x v="0"/>
    <x v="3"/>
    <x v="1"/>
    <x v="2"/>
  </r>
  <r>
    <s v="T00712"/>
    <d v="2023-01-08T00:00:00"/>
    <d v="1899-12-30T15:00:00"/>
    <x v="2"/>
    <x v="18"/>
    <s v="Station_43"/>
    <s v="Station_28"/>
    <d v="1899-12-30T15:01:00"/>
    <d v="1899-12-30T15:50:00"/>
    <n v="-2"/>
    <n v="22"/>
    <x v="5"/>
    <n v="-3.5"/>
    <n v="37"/>
    <n v="51"/>
    <n v="12.1"/>
    <x v="0"/>
    <n v="10000"/>
    <n v="47"/>
    <x v="0"/>
    <x v="1"/>
    <x v="0"/>
    <x v="3"/>
    <x v="1"/>
    <x v="1"/>
  </r>
  <r>
    <s v="T00713"/>
    <d v="2023-01-08T00:00:00"/>
    <d v="1899-12-30T15:15:00"/>
    <x v="1"/>
    <x v="12"/>
    <s v="Station_39"/>
    <s v="Station_49"/>
    <d v="1899-12-30T15:16:00"/>
    <d v="1899-12-30T16:01:00"/>
    <n v="12"/>
    <n v="5"/>
    <x v="2"/>
    <n v="18.899999999999999"/>
    <n v="90"/>
    <n v="46"/>
    <n v="6.6"/>
    <x v="3"/>
    <n v="2000"/>
    <n v="2"/>
    <x v="0"/>
    <x v="1"/>
    <x v="0"/>
    <x v="2"/>
    <x v="0"/>
    <x v="2"/>
  </r>
  <r>
    <s v="T00714"/>
    <d v="2023-01-08T00:00:00"/>
    <d v="1899-12-30T15:30:00"/>
    <x v="1"/>
    <x v="11"/>
    <s v="Station_27"/>
    <s v="Station_9"/>
    <d v="1899-12-30T15:32:00"/>
    <d v="1899-12-30T16:01:00"/>
    <n v="13"/>
    <n v="11"/>
    <x v="3"/>
    <n v="10.6"/>
    <n v="46"/>
    <n v="32"/>
    <n v="11.5"/>
    <x v="0"/>
    <n v="0"/>
    <n v="15"/>
    <x v="0"/>
    <x v="1"/>
    <x v="0"/>
    <x v="1"/>
    <x v="1"/>
    <x v="2"/>
  </r>
  <r>
    <s v="T00715"/>
    <d v="2023-01-08T00:00:00"/>
    <d v="1899-12-30T15:45:00"/>
    <x v="1"/>
    <x v="8"/>
    <s v="Station_29"/>
    <s v="Station_45"/>
    <d v="1899-12-30T15:48:00"/>
    <d v="1899-12-30T16:35:00"/>
    <n v="9"/>
    <n v="29"/>
    <x v="1"/>
    <n v="30.6"/>
    <n v="63"/>
    <n v="41"/>
    <n v="3.3"/>
    <x v="0"/>
    <n v="50000"/>
    <n v="78"/>
    <x v="0"/>
    <x v="1"/>
    <x v="0"/>
    <x v="3"/>
    <x v="1"/>
    <x v="0"/>
  </r>
  <r>
    <s v="T00716"/>
    <d v="2023-01-08T00:00:00"/>
    <d v="1899-12-30T16:00:00"/>
    <x v="0"/>
    <x v="3"/>
    <s v="Station_47"/>
    <s v="Station_22"/>
    <d v="1899-12-30T16:01:00"/>
    <d v="1899-12-30T16:51:00"/>
    <n v="3"/>
    <n v="-3"/>
    <x v="2"/>
    <n v="7.1"/>
    <n v="49"/>
    <n v="1"/>
    <n v="15.5"/>
    <x v="4"/>
    <n v="2000"/>
    <n v="88"/>
    <x v="1"/>
    <x v="1"/>
    <x v="0"/>
    <x v="0"/>
    <x v="0"/>
    <x v="0"/>
  </r>
  <r>
    <s v="T00717"/>
    <d v="2023-01-08T00:00:00"/>
    <d v="1899-12-30T16:15:00"/>
    <x v="1"/>
    <x v="18"/>
    <s v="Station_38"/>
    <s v="Station_32"/>
    <d v="1899-12-30T16:17:00"/>
    <d v="1899-12-30T17:06:00"/>
    <n v="3"/>
    <n v="1"/>
    <x v="0"/>
    <n v="12.3"/>
    <n v="63"/>
    <n v="38"/>
    <n v="17.2"/>
    <x v="0"/>
    <n v="0"/>
    <n v="96"/>
    <x v="0"/>
    <x v="1"/>
    <x v="0"/>
    <x v="2"/>
    <x v="0"/>
    <x v="0"/>
  </r>
  <r>
    <s v="T00718"/>
    <d v="2023-01-08T00:00:00"/>
    <d v="1899-12-30T16:30:00"/>
    <x v="1"/>
    <x v="11"/>
    <s v="Station_20"/>
    <s v="Station_5"/>
    <d v="1899-12-30T16:30:00"/>
    <d v="1899-12-30T17:24:00"/>
    <n v="9"/>
    <n v="5"/>
    <x v="2"/>
    <n v="16.100000000000001"/>
    <n v="72"/>
    <n v="45"/>
    <n v="17.8"/>
    <x v="2"/>
    <n v="2000"/>
    <n v="13"/>
    <x v="0"/>
    <x v="1"/>
    <x v="0"/>
    <x v="3"/>
    <x v="0"/>
    <x v="2"/>
  </r>
  <r>
    <s v="T00719"/>
    <d v="2023-01-08T00:00:00"/>
    <d v="1899-12-30T16:45:00"/>
    <x v="1"/>
    <x v="19"/>
    <s v="Station_27"/>
    <s v="Station_23"/>
    <d v="1899-12-30T16:47:00"/>
    <d v="1899-12-30T17:25:00"/>
    <n v="12"/>
    <n v="2"/>
    <x v="2"/>
    <n v="5.9"/>
    <n v="39"/>
    <n v="47"/>
    <n v="6.1"/>
    <x v="4"/>
    <n v="2000"/>
    <n v="87"/>
    <x v="0"/>
    <x v="1"/>
    <x v="0"/>
    <x v="2"/>
    <x v="0"/>
    <x v="0"/>
  </r>
  <r>
    <s v="T00720"/>
    <d v="2023-01-08T00:00:00"/>
    <d v="1899-12-30T17:00:00"/>
    <x v="3"/>
    <x v="8"/>
    <s v="Station_41"/>
    <s v="Station_5"/>
    <d v="1899-12-30T17:02:00"/>
    <d v="1899-12-30T17:29:00"/>
    <n v="1"/>
    <n v="24"/>
    <x v="2"/>
    <n v="31.3"/>
    <n v="59"/>
    <n v="26"/>
    <n v="13.2"/>
    <x v="0"/>
    <n v="0"/>
    <n v="74"/>
    <x v="1"/>
    <x v="0"/>
    <x v="0"/>
    <x v="2"/>
    <x v="1"/>
    <x v="0"/>
  </r>
  <r>
    <s v="T00721"/>
    <d v="2023-01-08T00:00:00"/>
    <d v="1899-12-30T17:15:00"/>
    <x v="0"/>
    <x v="6"/>
    <s v="Station_20"/>
    <s v="Station_42"/>
    <d v="1899-12-30T17:19:00"/>
    <d v="1899-12-30T17:50:00"/>
    <n v="1"/>
    <n v="22"/>
    <x v="3"/>
    <n v="13.6"/>
    <n v="54"/>
    <n v="59"/>
    <n v="5.6"/>
    <x v="4"/>
    <n v="0"/>
    <n v="2"/>
    <x v="0"/>
    <x v="1"/>
    <x v="0"/>
    <x v="1"/>
    <x v="1"/>
    <x v="2"/>
  </r>
  <r>
    <s v="T00722"/>
    <d v="2023-01-08T00:00:00"/>
    <d v="1899-12-30T17:30:00"/>
    <x v="1"/>
    <x v="0"/>
    <s v="Station_44"/>
    <s v="Station_32"/>
    <d v="1899-12-30T17:31:00"/>
    <d v="1899-12-30T17:56:00"/>
    <n v="-1"/>
    <n v="24"/>
    <x v="2"/>
    <n v="12"/>
    <n v="86"/>
    <n v="14"/>
    <n v="15.3"/>
    <x v="0"/>
    <n v="0"/>
    <n v="72"/>
    <x v="0"/>
    <x v="0"/>
    <x v="0"/>
    <x v="2"/>
    <x v="1"/>
    <x v="0"/>
  </r>
  <r>
    <s v="T00723"/>
    <d v="2023-01-08T00:00:00"/>
    <d v="1899-12-30T17:45:00"/>
    <x v="2"/>
    <x v="5"/>
    <s v="Station_19"/>
    <s v="Station_10"/>
    <d v="1899-12-30T17:48:00"/>
    <d v="1899-12-30T18:08:00"/>
    <n v="9"/>
    <n v="11"/>
    <x v="0"/>
    <n v="29"/>
    <n v="92"/>
    <n v="6"/>
    <n v="2.4"/>
    <x v="0"/>
    <n v="2000"/>
    <n v="69"/>
    <x v="0"/>
    <x v="0"/>
    <x v="0"/>
    <x v="2"/>
    <x v="1"/>
    <x v="0"/>
  </r>
  <r>
    <s v="T00724"/>
    <d v="2023-01-08T00:00:00"/>
    <d v="1899-12-30T18:00:00"/>
    <x v="2"/>
    <x v="15"/>
    <s v="Station_20"/>
    <s v="Station_39"/>
    <d v="1899-12-30T18:03:00"/>
    <d v="1899-12-30T18:46:00"/>
    <n v="4"/>
    <n v="2"/>
    <x v="4"/>
    <n v="7.5"/>
    <n v="76"/>
    <n v="44"/>
    <n v="15.3"/>
    <x v="0"/>
    <n v="0"/>
    <n v="30"/>
    <x v="0"/>
    <x v="0"/>
    <x v="0"/>
    <x v="2"/>
    <x v="0"/>
    <x v="2"/>
  </r>
  <r>
    <s v="T00725"/>
    <d v="2023-01-08T00:00:00"/>
    <d v="1899-12-30T18:15:00"/>
    <x v="2"/>
    <x v="1"/>
    <s v="Station_35"/>
    <s v="Station_15"/>
    <d v="1899-12-30T18:19:00"/>
    <d v="1899-12-30T18:59:00"/>
    <n v="17"/>
    <n v="23"/>
    <x v="2"/>
    <n v="27.7"/>
    <n v="32"/>
    <n v="56"/>
    <n v="8.8000000000000007"/>
    <x v="0"/>
    <n v="500"/>
    <n v="79"/>
    <x v="0"/>
    <x v="1"/>
    <x v="0"/>
    <x v="0"/>
    <x v="1"/>
    <x v="0"/>
  </r>
  <r>
    <s v="T00726"/>
    <d v="2023-01-08T00:00:00"/>
    <d v="1899-12-30T18:30:00"/>
    <x v="0"/>
    <x v="16"/>
    <s v="Station_47"/>
    <s v="Station_7"/>
    <d v="1899-12-30T18:33:00"/>
    <d v="1899-12-30T19:20:00"/>
    <n v="6"/>
    <n v="0"/>
    <x v="1"/>
    <n v="-0.1"/>
    <n v="75"/>
    <n v="41"/>
    <n v="17.100000000000001"/>
    <x v="0"/>
    <n v="0"/>
    <n v="74"/>
    <x v="1"/>
    <x v="0"/>
    <x v="0"/>
    <x v="2"/>
    <x v="0"/>
    <x v="0"/>
  </r>
  <r>
    <s v="T00727"/>
    <d v="2023-01-08T00:00:00"/>
    <d v="1899-12-30T18:45:00"/>
    <x v="0"/>
    <x v="19"/>
    <s v="Station_2"/>
    <s v="Station_29"/>
    <d v="1899-12-30T18:47:00"/>
    <d v="1899-12-30T19:15:00"/>
    <n v="6"/>
    <n v="7"/>
    <x v="0"/>
    <n v="2.2999999999999998"/>
    <n v="65"/>
    <n v="8"/>
    <n v="14.8"/>
    <x v="0"/>
    <n v="0"/>
    <n v="16"/>
    <x v="0"/>
    <x v="0"/>
    <x v="0"/>
    <x v="0"/>
    <x v="1"/>
    <x v="2"/>
  </r>
  <r>
    <s v="T00728"/>
    <d v="2023-01-08T00:00:00"/>
    <d v="1899-12-30T19:00:00"/>
    <x v="2"/>
    <x v="5"/>
    <s v="Station_30"/>
    <s v="Station_47"/>
    <d v="1899-12-30T19:04:00"/>
    <d v="1899-12-30T19:39:00"/>
    <n v="5"/>
    <n v="17"/>
    <x v="4"/>
    <n v="33"/>
    <n v="55"/>
    <n v="40"/>
    <n v="7.5"/>
    <x v="0"/>
    <n v="0"/>
    <n v="48"/>
    <x v="1"/>
    <x v="1"/>
    <x v="0"/>
    <x v="2"/>
    <x v="1"/>
    <x v="1"/>
  </r>
  <r>
    <s v="T00729"/>
    <d v="2023-01-08T00:00:00"/>
    <d v="1899-12-30T19:15:00"/>
    <x v="1"/>
    <x v="2"/>
    <s v="Station_34"/>
    <s v="Station_3"/>
    <d v="1899-12-30T19:15:00"/>
    <d v="1899-12-30T20:10:00"/>
    <n v="11"/>
    <n v="26"/>
    <x v="3"/>
    <n v="28.7"/>
    <n v="39"/>
    <n v="5"/>
    <n v="18.100000000000001"/>
    <x v="0"/>
    <n v="0"/>
    <n v="2"/>
    <x v="0"/>
    <x v="1"/>
    <x v="0"/>
    <x v="1"/>
    <x v="1"/>
    <x v="2"/>
  </r>
  <r>
    <s v="T00730"/>
    <d v="2023-01-08T00:00:00"/>
    <d v="1899-12-30T19:30:00"/>
    <x v="0"/>
    <x v="6"/>
    <s v="Station_22"/>
    <s v="Station_19"/>
    <d v="1899-12-30T19:31:00"/>
    <d v="1899-12-30T20:06:00"/>
    <n v="-2"/>
    <n v="14"/>
    <x v="2"/>
    <n v="10.5"/>
    <n v="63"/>
    <n v="55"/>
    <n v="5.7"/>
    <x v="4"/>
    <n v="10000"/>
    <n v="82"/>
    <x v="0"/>
    <x v="0"/>
    <x v="0"/>
    <x v="1"/>
    <x v="1"/>
    <x v="0"/>
  </r>
  <r>
    <s v="T00731"/>
    <d v="2023-01-08T00:00:00"/>
    <d v="1899-12-30T19:45:00"/>
    <x v="2"/>
    <x v="0"/>
    <s v="Station_3"/>
    <s v="Station_10"/>
    <d v="1899-12-30T19:46:00"/>
    <d v="1899-12-30T20:15:00"/>
    <n v="18"/>
    <n v="-1"/>
    <x v="4"/>
    <n v="20.5"/>
    <n v="37"/>
    <n v="56"/>
    <n v="19.3"/>
    <x v="3"/>
    <n v="2000"/>
    <n v="87"/>
    <x v="0"/>
    <x v="1"/>
    <x v="0"/>
    <x v="3"/>
    <x v="0"/>
    <x v="0"/>
  </r>
  <r>
    <s v="T00732"/>
    <d v="2023-01-08T00:00:00"/>
    <d v="1899-12-30T20:00:00"/>
    <x v="2"/>
    <x v="15"/>
    <s v="Station_6"/>
    <s v="Station_28"/>
    <d v="1899-12-30T20:01:00"/>
    <d v="1899-12-30T20:49:00"/>
    <n v="9"/>
    <n v="8"/>
    <x v="1"/>
    <n v="32.700000000000003"/>
    <n v="84"/>
    <n v="11"/>
    <n v="15.3"/>
    <x v="4"/>
    <n v="0"/>
    <n v="54"/>
    <x v="0"/>
    <x v="1"/>
    <x v="0"/>
    <x v="2"/>
    <x v="1"/>
    <x v="1"/>
  </r>
  <r>
    <s v="T00733"/>
    <d v="2023-01-08T00:00:00"/>
    <d v="1899-12-30T20:15:00"/>
    <x v="1"/>
    <x v="12"/>
    <s v="Station_15"/>
    <s v="Station_29"/>
    <d v="1899-12-30T20:17:00"/>
    <d v="1899-12-30T21:09:00"/>
    <n v="-1"/>
    <n v="23"/>
    <x v="0"/>
    <n v="3.5"/>
    <n v="39"/>
    <n v="29"/>
    <n v="19.8"/>
    <x v="0"/>
    <n v="0"/>
    <n v="71"/>
    <x v="0"/>
    <x v="0"/>
    <x v="0"/>
    <x v="1"/>
    <x v="1"/>
    <x v="0"/>
  </r>
  <r>
    <s v="T00734"/>
    <d v="2023-01-08T00:00:00"/>
    <d v="1899-12-30T20:30:00"/>
    <x v="3"/>
    <x v="17"/>
    <s v="Station_27"/>
    <s v="Station_15"/>
    <d v="1899-12-30T20:30:00"/>
    <d v="1899-12-30T21:27:00"/>
    <n v="10"/>
    <n v="26"/>
    <x v="0"/>
    <n v="-2.6"/>
    <n v="86"/>
    <n v="54"/>
    <n v="1.1000000000000001"/>
    <x v="2"/>
    <n v="500"/>
    <n v="99"/>
    <x v="1"/>
    <x v="1"/>
    <x v="0"/>
    <x v="1"/>
    <x v="1"/>
    <x v="0"/>
  </r>
  <r>
    <s v="T00735"/>
    <d v="2023-01-08T00:00:00"/>
    <d v="1899-12-30T20:45:00"/>
    <x v="0"/>
    <x v="11"/>
    <s v="Station_10"/>
    <s v="Station_35"/>
    <d v="1899-12-30T20:49:00"/>
    <d v="1899-12-30T21:26:00"/>
    <n v="1"/>
    <n v="17"/>
    <x v="3"/>
    <n v="16.5"/>
    <n v="74"/>
    <n v="19"/>
    <n v="5.5"/>
    <x v="4"/>
    <n v="10000"/>
    <n v="39"/>
    <x v="1"/>
    <x v="1"/>
    <x v="0"/>
    <x v="2"/>
    <x v="1"/>
    <x v="1"/>
  </r>
  <r>
    <s v="T00736"/>
    <d v="2023-01-08T00:00:00"/>
    <d v="1899-12-30T21:00:00"/>
    <x v="1"/>
    <x v="9"/>
    <s v="Station_9"/>
    <s v="Station_6"/>
    <d v="1899-12-30T21:04:00"/>
    <d v="1899-12-30T21:46:00"/>
    <n v="17"/>
    <n v="17"/>
    <x v="3"/>
    <n v="0.7"/>
    <n v="79"/>
    <n v="19"/>
    <n v="14.8"/>
    <x v="0"/>
    <n v="500"/>
    <n v="65"/>
    <x v="0"/>
    <x v="1"/>
    <x v="0"/>
    <x v="3"/>
    <x v="1"/>
    <x v="1"/>
  </r>
  <r>
    <s v="T00737"/>
    <d v="2023-01-08T00:00:00"/>
    <d v="1899-12-30T21:15:00"/>
    <x v="2"/>
    <x v="13"/>
    <s v="Station_33"/>
    <s v="Station_12"/>
    <d v="1899-12-30T21:16:00"/>
    <d v="1899-12-30T22:11:00"/>
    <n v="15"/>
    <n v="11"/>
    <x v="3"/>
    <n v="2.5"/>
    <n v="93"/>
    <n v="53"/>
    <n v="18.399999999999999"/>
    <x v="0"/>
    <n v="0"/>
    <n v="86"/>
    <x v="0"/>
    <x v="1"/>
    <x v="0"/>
    <x v="0"/>
    <x v="1"/>
    <x v="0"/>
  </r>
  <r>
    <s v="T00738"/>
    <d v="2023-01-08T00:00:00"/>
    <d v="1899-12-30T21:30:00"/>
    <x v="2"/>
    <x v="10"/>
    <s v="Station_32"/>
    <s v="Station_47"/>
    <d v="1899-12-30T21:30:00"/>
    <d v="1899-12-30T22:24:00"/>
    <n v="16"/>
    <n v="14"/>
    <x v="4"/>
    <n v="30.7"/>
    <n v="31"/>
    <n v="45"/>
    <n v="0.6"/>
    <x v="1"/>
    <n v="50000"/>
    <n v="39"/>
    <x v="0"/>
    <x v="0"/>
    <x v="0"/>
    <x v="1"/>
    <x v="1"/>
    <x v="1"/>
  </r>
  <r>
    <s v="T00739"/>
    <d v="2023-01-08T00:00:00"/>
    <d v="1899-12-30T21:45:00"/>
    <x v="1"/>
    <x v="16"/>
    <s v="Station_48"/>
    <s v="Station_38"/>
    <d v="1899-12-30T21:45:00"/>
    <d v="1899-12-30T22:08:00"/>
    <n v="13"/>
    <n v="25"/>
    <x v="2"/>
    <n v="-4.7"/>
    <n v="74"/>
    <n v="26"/>
    <n v="0"/>
    <x v="1"/>
    <n v="2000"/>
    <n v="29"/>
    <x v="1"/>
    <x v="1"/>
    <x v="0"/>
    <x v="1"/>
    <x v="1"/>
    <x v="2"/>
  </r>
  <r>
    <s v="T00740"/>
    <d v="2023-01-08T00:00:00"/>
    <d v="1899-12-30T22:00:00"/>
    <x v="0"/>
    <x v="15"/>
    <s v="Station_6"/>
    <s v="Station_13"/>
    <d v="1899-12-30T22:00:00"/>
    <d v="1899-12-30T22:35:00"/>
    <n v="11"/>
    <n v="17"/>
    <x v="5"/>
    <n v="27.7"/>
    <n v="91"/>
    <n v="19"/>
    <n v="5.0999999999999996"/>
    <x v="3"/>
    <n v="0"/>
    <n v="24"/>
    <x v="0"/>
    <x v="0"/>
    <x v="0"/>
    <x v="0"/>
    <x v="1"/>
    <x v="2"/>
  </r>
  <r>
    <s v="T00741"/>
    <d v="2023-01-08T00:00:00"/>
    <d v="1899-12-30T22:15:00"/>
    <x v="3"/>
    <x v="12"/>
    <s v="Station_41"/>
    <s v="Station_29"/>
    <d v="1899-12-30T22:18:00"/>
    <d v="1899-12-30T22:50:00"/>
    <n v="5"/>
    <n v="13"/>
    <x v="0"/>
    <n v="15.7"/>
    <n v="43"/>
    <n v="58"/>
    <n v="17.100000000000001"/>
    <x v="4"/>
    <n v="0"/>
    <n v="6"/>
    <x v="0"/>
    <x v="1"/>
    <x v="0"/>
    <x v="1"/>
    <x v="1"/>
    <x v="2"/>
  </r>
  <r>
    <s v="T00742"/>
    <d v="2023-01-08T00:00:00"/>
    <d v="1899-12-30T22:30:00"/>
    <x v="3"/>
    <x v="8"/>
    <s v="Station_36"/>
    <s v="Station_19"/>
    <d v="1899-12-30T22:33:00"/>
    <d v="1899-12-30T23:10:00"/>
    <n v="9"/>
    <n v="14"/>
    <x v="5"/>
    <n v="17.399999999999999"/>
    <n v="44"/>
    <n v="6"/>
    <n v="15.3"/>
    <x v="5"/>
    <n v="0"/>
    <n v="91"/>
    <x v="0"/>
    <x v="1"/>
    <x v="0"/>
    <x v="0"/>
    <x v="1"/>
    <x v="0"/>
  </r>
  <r>
    <s v="T00743"/>
    <d v="2023-01-08T00:00:00"/>
    <d v="1899-12-30T22:45:00"/>
    <x v="2"/>
    <x v="15"/>
    <s v="Station_2"/>
    <s v="Station_3"/>
    <d v="1899-12-30T22:46:00"/>
    <d v="1899-12-30T23:30:00"/>
    <n v="6"/>
    <n v="8"/>
    <x v="0"/>
    <n v="21.9"/>
    <n v="43"/>
    <n v="39"/>
    <n v="6.8"/>
    <x v="0"/>
    <n v="2000"/>
    <n v="49"/>
    <x v="0"/>
    <x v="1"/>
    <x v="0"/>
    <x v="0"/>
    <x v="1"/>
    <x v="1"/>
  </r>
  <r>
    <s v="T00744"/>
    <d v="2023-01-08T00:00:00"/>
    <d v="1899-12-30T23:00:00"/>
    <x v="0"/>
    <x v="11"/>
    <s v="Station_29"/>
    <s v="Station_8"/>
    <d v="1899-12-30T23:00:00"/>
    <d v="1899-12-30T23:55:00"/>
    <n v="3"/>
    <n v="7"/>
    <x v="3"/>
    <n v="12.3"/>
    <n v="60"/>
    <n v="39"/>
    <n v="0"/>
    <x v="0"/>
    <n v="0"/>
    <n v="80"/>
    <x v="0"/>
    <x v="1"/>
    <x v="0"/>
    <x v="3"/>
    <x v="1"/>
    <x v="0"/>
  </r>
  <r>
    <s v="T00745"/>
    <d v="2023-01-08T00:00:00"/>
    <d v="1899-12-30T23:15:00"/>
    <x v="3"/>
    <x v="12"/>
    <s v="Station_4"/>
    <s v="Station_8"/>
    <d v="1899-12-30T23:15:00"/>
    <d v="1899-12-30T23:53:00"/>
    <n v="15"/>
    <n v="16"/>
    <x v="2"/>
    <n v="-0.4"/>
    <n v="58"/>
    <n v="29"/>
    <n v="11.1"/>
    <x v="5"/>
    <n v="0"/>
    <n v="95"/>
    <x v="0"/>
    <x v="0"/>
    <x v="0"/>
    <x v="0"/>
    <x v="1"/>
    <x v="0"/>
  </r>
  <r>
    <s v="T00746"/>
    <d v="2023-01-08T00:00:00"/>
    <d v="1899-12-30T23:30:00"/>
    <x v="0"/>
    <x v="9"/>
    <s v="Station_1"/>
    <s v="Station_20"/>
    <d v="1899-12-30T23:34:00"/>
    <d v="1899-12-30T00:06:00"/>
    <n v="-1"/>
    <n v="5"/>
    <x v="2"/>
    <n v="-0.9"/>
    <n v="56"/>
    <n v="7"/>
    <n v="4.8"/>
    <x v="0"/>
    <n v="0"/>
    <n v="0"/>
    <x v="0"/>
    <x v="1"/>
    <x v="0"/>
    <x v="0"/>
    <x v="0"/>
    <x v="2"/>
  </r>
  <r>
    <s v="T00747"/>
    <d v="2023-01-08T00:00:00"/>
    <d v="1899-12-30T23:45:00"/>
    <x v="0"/>
    <x v="5"/>
    <s v="Station_19"/>
    <s v="Station_47"/>
    <d v="1899-12-30T23:49:00"/>
    <d v="1899-12-30T00:30:00"/>
    <n v="5"/>
    <n v="-3"/>
    <x v="0"/>
    <n v="25.2"/>
    <n v="38"/>
    <n v="1"/>
    <n v="14.9"/>
    <x v="0"/>
    <n v="0"/>
    <n v="90"/>
    <x v="1"/>
    <x v="0"/>
    <x v="0"/>
    <x v="0"/>
    <x v="0"/>
    <x v="0"/>
  </r>
  <r>
    <s v="T00748"/>
    <d v="2023-01-09T00:00:00"/>
    <d v="1899-12-30T00:00:00"/>
    <x v="2"/>
    <x v="17"/>
    <s v="Station_26"/>
    <s v="Station_4"/>
    <d v="1899-12-30T00:01:00"/>
    <d v="1899-12-30T00:41:00"/>
    <n v="11"/>
    <n v="-1"/>
    <x v="4"/>
    <n v="3.8"/>
    <n v="49"/>
    <n v="13"/>
    <n v="8.9"/>
    <x v="0"/>
    <n v="0"/>
    <n v="43"/>
    <x v="0"/>
    <x v="1"/>
    <x v="1"/>
    <x v="0"/>
    <x v="0"/>
    <x v="1"/>
  </r>
  <r>
    <s v="T00749"/>
    <d v="2023-01-09T00:00:00"/>
    <d v="1899-12-30T00:15:00"/>
    <x v="3"/>
    <x v="12"/>
    <s v="Station_25"/>
    <s v="Station_21"/>
    <d v="1899-12-30T00:15:00"/>
    <d v="1899-12-30T01:02:00"/>
    <n v="3"/>
    <n v="17"/>
    <x v="3"/>
    <n v="-3.9"/>
    <n v="87"/>
    <n v="9"/>
    <n v="13.6"/>
    <x v="1"/>
    <n v="500"/>
    <n v="99"/>
    <x v="0"/>
    <x v="1"/>
    <x v="1"/>
    <x v="1"/>
    <x v="1"/>
    <x v="0"/>
  </r>
  <r>
    <s v="T00750"/>
    <d v="2023-01-09T00:00:00"/>
    <d v="1899-12-30T00:30:00"/>
    <x v="1"/>
    <x v="13"/>
    <s v="Station_10"/>
    <s v="Station_3"/>
    <d v="1899-12-30T00:31:00"/>
    <d v="1899-12-30T00:50:00"/>
    <n v="7"/>
    <n v="19"/>
    <x v="2"/>
    <n v="34.200000000000003"/>
    <n v="78"/>
    <n v="49"/>
    <n v="17"/>
    <x v="0"/>
    <n v="0"/>
    <n v="48"/>
    <x v="0"/>
    <x v="1"/>
    <x v="1"/>
    <x v="0"/>
    <x v="1"/>
    <x v="1"/>
  </r>
  <r>
    <s v="T00751"/>
    <d v="2023-01-09T00:00:00"/>
    <d v="1899-12-30T00:45:00"/>
    <x v="2"/>
    <x v="3"/>
    <s v="Station_15"/>
    <s v="Station_45"/>
    <d v="1899-12-30T00:49:00"/>
    <d v="1899-12-30T01:40:00"/>
    <n v="5"/>
    <n v="5"/>
    <x v="2"/>
    <n v="34.200000000000003"/>
    <n v="86"/>
    <n v="17"/>
    <n v="10.7"/>
    <x v="4"/>
    <n v="0"/>
    <n v="6"/>
    <x v="0"/>
    <x v="0"/>
    <x v="1"/>
    <x v="1"/>
    <x v="0"/>
    <x v="2"/>
  </r>
  <r>
    <s v="T00752"/>
    <d v="2023-01-09T00:00:00"/>
    <d v="1899-12-30T01:00:00"/>
    <x v="3"/>
    <x v="18"/>
    <s v="Station_22"/>
    <s v="Station_8"/>
    <d v="1899-12-30T01:04:00"/>
    <d v="1899-12-30T01:56:00"/>
    <n v="14"/>
    <n v="15"/>
    <x v="1"/>
    <n v="10.1"/>
    <n v="45"/>
    <n v="17"/>
    <n v="6.7"/>
    <x v="0"/>
    <n v="0"/>
    <n v="2"/>
    <x v="0"/>
    <x v="1"/>
    <x v="1"/>
    <x v="2"/>
    <x v="1"/>
    <x v="2"/>
  </r>
  <r>
    <s v="T00753"/>
    <d v="2023-01-09T00:00:00"/>
    <d v="1899-12-30T01:15:00"/>
    <x v="3"/>
    <x v="7"/>
    <s v="Station_48"/>
    <s v="Station_23"/>
    <d v="1899-12-30T01:18:00"/>
    <d v="1899-12-30T01:36:00"/>
    <n v="9"/>
    <n v="15"/>
    <x v="2"/>
    <n v="-4"/>
    <n v="37"/>
    <n v="15"/>
    <n v="15.4"/>
    <x v="0"/>
    <n v="0"/>
    <n v="93"/>
    <x v="0"/>
    <x v="1"/>
    <x v="1"/>
    <x v="2"/>
    <x v="1"/>
    <x v="0"/>
  </r>
  <r>
    <s v="T00754"/>
    <d v="2023-01-09T00:00:00"/>
    <d v="1899-12-30T01:30:00"/>
    <x v="3"/>
    <x v="11"/>
    <s v="Station_21"/>
    <s v="Station_16"/>
    <d v="1899-12-30T01:31:00"/>
    <d v="1899-12-30T02:06:00"/>
    <n v="14"/>
    <n v="19"/>
    <x v="1"/>
    <n v="24.1"/>
    <n v="96"/>
    <n v="51"/>
    <n v="5.3"/>
    <x v="3"/>
    <n v="0"/>
    <n v="0"/>
    <x v="0"/>
    <x v="1"/>
    <x v="1"/>
    <x v="0"/>
    <x v="1"/>
    <x v="2"/>
  </r>
  <r>
    <s v="T00755"/>
    <d v="2023-01-09T00:00:00"/>
    <d v="1899-12-30T01:45:00"/>
    <x v="3"/>
    <x v="12"/>
    <s v="Station_22"/>
    <s v="Station_13"/>
    <d v="1899-12-30T01:46:00"/>
    <d v="1899-12-30T02:44:00"/>
    <n v="10"/>
    <n v="23"/>
    <x v="2"/>
    <n v="28.2"/>
    <n v="48"/>
    <n v="4"/>
    <n v="17.8"/>
    <x v="0"/>
    <n v="0"/>
    <n v="50"/>
    <x v="0"/>
    <x v="1"/>
    <x v="1"/>
    <x v="3"/>
    <x v="1"/>
    <x v="1"/>
  </r>
  <r>
    <s v="T00756"/>
    <d v="2023-01-09T00:00:00"/>
    <d v="1899-12-30T02:00:00"/>
    <x v="3"/>
    <x v="10"/>
    <s v="Station_36"/>
    <s v="Station_3"/>
    <d v="1899-12-30T02:00:00"/>
    <d v="1899-12-30T02:57:00"/>
    <n v="16"/>
    <n v="23"/>
    <x v="2"/>
    <n v="0"/>
    <n v="96"/>
    <n v="51"/>
    <n v="1.4"/>
    <x v="0"/>
    <n v="0"/>
    <n v="97"/>
    <x v="0"/>
    <x v="1"/>
    <x v="1"/>
    <x v="3"/>
    <x v="1"/>
    <x v="0"/>
  </r>
  <r>
    <s v="T00757"/>
    <d v="2023-01-09T00:00:00"/>
    <d v="1899-12-30T02:15:00"/>
    <x v="0"/>
    <x v="13"/>
    <s v="Station_34"/>
    <s v="Station_48"/>
    <d v="1899-12-30T02:15:00"/>
    <d v="1899-12-30T02:55:00"/>
    <n v="9"/>
    <n v="8"/>
    <x v="4"/>
    <n v="0.4"/>
    <n v="65"/>
    <n v="30"/>
    <n v="16.7"/>
    <x v="0"/>
    <n v="10000"/>
    <n v="37"/>
    <x v="0"/>
    <x v="1"/>
    <x v="1"/>
    <x v="1"/>
    <x v="1"/>
    <x v="1"/>
  </r>
  <r>
    <s v="T00758"/>
    <d v="2023-01-09T00:00:00"/>
    <d v="1899-12-30T02:30:00"/>
    <x v="2"/>
    <x v="18"/>
    <s v="Station_30"/>
    <s v="Station_9"/>
    <d v="1899-12-30T02:33:00"/>
    <d v="1899-12-30T02:58:00"/>
    <n v="13"/>
    <n v="23"/>
    <x v="4"/>
    <n v="27.9"/>
    <n v="89"/>
    <n v="36"/>
    <n v="1.8"/>
    <x v="0"/>
    <n v="0"/>
    <n v="42"/>
    <x v="0"/>
    <x v="0"/>
    <x v="1"/>
    <x v="1"/>
    <x v="1"/>
    <x v="1"/>
  </r>
  <r>
    <s v="T00759"/>
    <d v="2023-01-09T00:00:00"/>
    <d v="1899-12-30T02:45:00"/>
    <x v="0"/>
    <x v="4"/>
    <s v="Station_25"/>
    <s v="Station_14"/>
    <d v="1899-12-30T02:47:00"/>
    <d v="1899-12-30T03:17:00"/>
    <n v="2"/>
    <n v="29"/>
    <x v="3"/>
    <n v="31.9"/>
    <n v="65"/>
    <n v="19"/>
    <n v="1.1000000000000001"/>
    <x v="0"/>
    <n v="2000"/>
    <n v="54"/>
    <x v="0"/>
    <x v="1"/>
    <x v="1"/>
    <x v="2"/>
    <x v="1"/>
    <x v="1"/>
  </r>
  <r>
    <s v="T00760"/>
    <d v="2023-01-09T00:00:00"/>
    <d v="1899-12-30T03:00:00"/>
    <x v="1"/>
    <x v="6"/>
    <s v="Station_45"/>
    <s v="Station_13"/>
    <d v="1899-12-30T03:02:00"/>
    <d v="1899-12-30T03:30:00"/>
    <n v="13"/>
    <n v="24"/>
    <x v="2"/>
    <n v="26.6"/>
    <n v="40"/>
    <n v="22"/>
    <n v="7.3"/>
    <x v="0"/>
    <n v="0"/>
    <n v="56"/>
    <x v="0"/>
    <x v="1"/>
    <x v="1"/>
    <x v="1"/>
    <x v="1"/>
    <x v="1"/>
  </r>
  <r>
    <s v="T00761"/>
    <d v="2023-01-09T00:00:00"/>
    <d v="1899-12-30T03:15:00"/>
    <x v="3"/>
    <x v="19"/>
    <s v="Station_28"/>
    <s v="Station_7"/>
    <d v="1899-12-30T03:17:00"/>
    <d v="1899-12-30T03:50:00"/>
    <n v="3"/>
    <n v="27"/>
    <x v="3"/>
    <n v="3"/>
    <n v="80"/>
    <n v="31"/>
    <n v="19.100000000000001"/>
    <x v="3"/>
    <n v="0"/>
    <n v="52"/>
    <x v="0"/>
    <x v="1"/>
    <x v="1"/>
    <x v="3"/>
    <x v="1"/>
    <x v="1"/>
  </r>
  <r>
    <s v="T00762"/>
    <d v="2023-01-09T00:00:00"/>
    <d v="1899-12-30T03:30:00"/>
    <x v="2"/>
    <x v="18"/>
    <s v="Station_1"/>
    <s v="Station_15"/>
    <d v="1899-12-30T03:31:00"/>
    <d v="1899-12-30T04:05:00"/>
    <n v="8"/>
    <n v="28"/>
    <x v="3"/>
    <n v="11.5"/>
    <n v="84"/>
    <n v="41"/>
    <n v="19.7"/>
    <x v="0"/>
    <n v="2000"/>
    <n v="99"/>
    <x v="0"/>
    <x v="1"/>
    <x v="1"/>
    <x v="2"/>
    <x v="1"/>
    <x v="0"/>
  </r>
  <r>
    <s v="T00763"/>
    <d v="2023-01-09T00:00:00"/>
    <d v="1899-12-30T03:45:00"/>
    <x v="3"/>
    <x v="15"/>
    <s v="Station_49"/>
    <s v="Station_7"/>
    <d v="1899-12-30T03:46:00"/>
    <d v="1899-12-30T04:06:00"/>
    <n v="14"/>
    <n v="16"/>
    <x v="3"/>
    <n v="19"/>
    <n v="83"/>
    <n v="16"/>
    <n v="4"/>
    <x v="0"/>
    <n v="0"/>
    <n v="32"/>
    <x v="0"/>
    <x v="1"/>
    <x v="1"/>
    <x v="0"/>
    <x v="1"/>
    <x v="2"/>
  </r>
  <r>
    <s v="T00764"/>
    <d v="2023-01-09T00:00:00"/>
    <d v="1899-12-30T04:00:00"/>
    <x v="2"/>
    <x v="9"/>
    <s v="Station_45"/>
    <s v="Station_38"/>
    <d v="1899-12-30T04:04:00"/>
    <d v="1899-12-30T04:27:00"/>
    <n v="11"/>
    <n v="27"/>
    <x v="3"/>
    <n v="1.4"/>
    <n v="46"/>
    <n v="12"/>
    <n v="3"/>
    <x v="0"/>
    <n v="50000"/>
    <n v="79"/>
    <x v="0"/>
    <x v="0"/>
    <x v="1"/>
    <x v="1"/>
    <x v="1"/>
    <x v="0"/>
  </r>
  <r>
    <s v="T00765"/>
    <d v="2023-01-09T00:00:00"/>
    <d v="1899-12-30T04:15:00"/>
    <x v="0"/>
    <x v="4"/>
    <s v="Station_4"/>
    <s v="Station_34"/>
    <d v="1899-12-30T04:16:00"/>
    <d v="1899-12-30T04:47:00"/>
    <n v="3"/>
    <n v="27"/>
    <x v="0"/>
    <n v="3.4"/>
    <n v="91"/>
    <n v="48"/>
    <n v="7.1"/>
    <x v="0"/>
    <n v="0"/>
    <n v="61"/>
    <x v="0"/>
    <x v="0"/>
    <x v="1"/>
    <x v="0"/>
    <x v="1"/>
    <x v="1"/>
  </r>
  <r>
    <s v="T00766"/>
    <d v="2023-01-09T00:00:00"/>
    <d v="1899-12-30T04:30:00"/>
    <x v="2"/>
    <x v="19"/>
    <s v="Station_7"/>
    <s v="Station_41"/>
    <d v="1899-12-30T04:31:00"/>
    <d v="1899-12-30T05:06:00"/>
    <n v="8"/>
    <n v="18"/>
    <x v="0"/>
    <n v="6.3"/>
    <n v="71"/>
    <n v="49"/>
    <n v="6.7"/>
    <x v="0"/>
    <n v="0"/>
    <n v="10"/>
    <x v="0"/>
    <x v="1"/>
    <x v="1"/>
    <x v="1"/>
    <x v="1"/>
    <x v="2"/>
  </r>
  <r>
    <s v="T00767"/>
    <d v="2023-01-09T00:00:00"/>
    <d v="1899-12-30T04:45:00"/>
    <x v="1"/>
    <x v="7"/>
    <s v="Station_49"/>
    <s v="Station_22"/>
    <d v="1899-12-30T04:46:00"/>
    <d v="1899-12-30T05:43:00"/>
    <n v="9"/>
    <n v="5"/>
    <x v="2"/>
    <n v="15.4"/>
    <n v="53"/>
    <n v="12"/>
    <n v="15.2"/>
    <x v="4"/>
    <n v="0"/>
    <n v="71"/>
    <x v="0"/>
    <x v="1"/>
    <x v="1"/>
    <x v="3"/>
    <x v="0"/>
    <x v="0"/>
  </r>
  <r>
    <s v="T00768"/>
    <d v="2023-01-09T00:00:00"/>
    <d v="1899-12-30T05:00:00"/>
    <x v="1"/>
    <x v="9"/>
    <s v="Station_9"/>
    <s v="Station_24"/>
    <d v="1899-12-30T05:03:00"/>
    <d v="1899-12-30T05:43:00"/>
    <n v="10"/>
    <n v="5"/>
    <x v="0"/>
    <n v="15.4"/>
    <n v="46"/>
    <n v="16"/>
    <n v="8.9"/>
    <x v="3"/>
    <n v="10000"/>
    <n v="51"/>
    <x v="1"/>
    <x v="0"/>
    <x v="1"/>
    <x v="1"/>
    <x v="0"/>
    <x v="1"/>
  </r>
  <r>
    <s v="T00769"/>
    <d v="2023-01-09T00:00:00"/>
    <d v="1899-12-30T05:15:00"/>
    <x v="2"/>
    <x v="12"/>
    <s v="Station_36"/>
    <s v="Station_49"/>
    <d v="1899-12-30T05:16:00"/>
    <d v="1899-12-30T05:37:00"/>
    <n v="1"/>
    <n v="11"/>
    <x v="2"/>
    <n v="27.6"/>
    <n v="77"/>
    <n v="59"/>
    <n v="15.6"/>
    <x v="0"/>
    <n v="50000"/>
    <n v="0"/>
    <x v="0"/>
    <x v="0"/>
    <x v="1"/>
    <x v="3"/>
    <x v="1"/>
    <x v="2"/>
  </r>
  <r>
    <s v="T00770"/>
    <d v="2023-01-09T00:00:00"/>
    <d v="1899-12-30T05:30:00"/>
    <x v="2"/>
    <x v="18"/>
    <s v="Station_19"/>
    <s v="Station_37"/>
    <d v="1899-12-30T05:30:00"/>
    <d v="1899-12-30T06:19:00"/>
    <n v="4"/>
    <n v="9"/>
    <x v="4"/>
    <n v="25.1"/>
    <n v="99"/>
    <n v="14"/>
    <n v="15"/>
    <x v="4"/>
    <n v="0"/>
    <n v="13"/>
    <x v="0"/>
    <x v="1"/>
    <x v="1"/>
    <x v="3"/>
    <x v="1"/>
    <x v="2"/>
  </r>
  <r>
    <s v="T00771"/>
    <d v="2023-01-09T00:00:00"/>
    <d v="1899-12-30T05:45:00"/>
    <x v="2"/>
    <x v="10"/>
    <s v="Station_1"/>
    <s v="Station_44"/>
    <d v="1899-12-30T05:45:00"/>
    <d v="1899-12-30T06:17:00"/>
    <n v="-1"/>
    <n v="18"/>
    <x v="5"/>
    <n v="31.5"/>
    <n v="36"/>
    <n v="25"/>
    <n v="11.6"/>
    <x v="0"/>
    <n v="0"/>
    <n v="93"/>
    <x v="0"/>
    <x v="1"/>
    <x v="1"/>
    <x v="0"/>
    <x v="1"/>
    <x v="0"/>
  </r>
  <r>
    <s v="T00772"/>
    <d v="2023-01-09T00:00:00"/>
    <d v="1899-12-30T06:00:00"/>
    <x v="2"/>
    <x v="5"/>
    <s v="Station_10"/>
    <s v="Station_1"/>
    <d v="1899-12-30T06:04:00"/>
    <d v="1899-12-30T06:38:00"/>
    <n v="3"/>
    <n v="12"/>
    <x v="1"/>
    <n v="28.3"/>
    <n v="43"/>
    <n v="43"/>
    <n v="16.7"/>
    <x v="4"/>
    <n v="0"/>
    <n v="84"/>
    <x v="0"/>
    <x v="0"/>
    <x v="1"/>
    <x v="1"/>
    <x v="1"/>
    <x v="0"/>
  </r>
  <r>
    <s v="T00773"/>
    <d v="2023-01-09T00:00:00"/>
    <d v="1899-12-30T06:15:00"/>
    <x v="1"/>
    <x v="16"/>
    <s v="Station_36"/>
    <s v="Station_10"/>
    <d v="1899-12-30T06:18:00"/>
    <d v="1899-12-30T06:41:00"/>
    <n v="3"/>
    <n v="28"/>
    <x v="0"/>
    <n v="5.2"/>
    <n v="40"/>
    <n v="27"/>
    <n v="3.9"/>
    <x v="0"/>
    <n v="2000"/>
    <n v="20"/>
    <x v="0"/>
    <x v="1"/>
    <x v="1"/>
    <x v="0"/>
    <x v="1"/>
    <x v="2"/>
  </r>
  <r>
    <s v="T00774"/>
    <d v="2023-01-09T00:00:00"/>
    <d v="1899-12-30T06:30:00"/>
    <x v="3"/>
    <x v="6"/>
    <s v="Station_9"/>
    <s v="Station_43"/>
    <d v="1899-12-30T06:30:00"/>
    <d v="1899-12-30T06:58:00"/>
    <n v="15"/>
    <n v="-2"/>
    <x v="0"/>
    <n v="8.3000000000000007"/>
    <n v="41"/>
    <n v="41"/>
    <n v="3.2"/>
    <x v="0"/>
    <n v="0"/>
    <n v="33"/>
    <x v="0"/>
    <x v="1"/>
    <x v="1"/>
    <x v="3"/>
    <x v="0"/>
    <x v="2"/>
  </r>
  <r>
    <s v="T00775"/>
    <d v="2023-01-09T00:00:00"/>
    <d v="1899-12-30T06:45:00"/>
    <x v="2"/>
    <x v="1"/>
    <s v="Station_45"/>
    <s v="Station_16"/>
    <d v="1899-12-30T06:48:00"/>
    <d v="1899-12-30T07:23:00"/>
    <n v="17"/>
    <n v="22"/>
    <x v="4"/>
    <n v="15"/>
    <n v="34"/>
    <n v="44"/>
    <n v="15"/>
    <x v="0"/>
    <n v="0"/>
    <n v="89"/>
    <x v="0"/>
    <x v="0"/>
    <x v="1"/>
    <x v="3"/>
    <x v="1"/>
    <x v="0"/>
  </r>
  <r>
    <s v="T00776"/>
    <d v="2023-01-09T00:00:00"/>
    <d v="1899-12-30T07:00:00"/>
    <x v="2"/>
    <x v="4"/>
    <s v="Station_46"/>
    <s v="Station_46"/>
    <d v="1899-12-30T07:03:00"/>
    <d v="1899-12-30T07:59:00"/>
    <n v="5"/>
    <n v="10"/>
    <x v="0"/>
    <n v="-4.4000000000000004"/>
    <n v="34"/>
    <n v="29"/>
    <n v="4.9000000000000004"/>
    <x v="0"/>
    <n v="0"/>
    <n v="13"/>
    <x v="0"/>
    <x v="0"/>
    <x v="1"/>
    <x v="3"/>
    <x v="1"/>
    <x v="2"/>
  </r>
  <r>
    <s v="T00777"/>
    <d v="2023-01-09T00:00:00"/>
    <d v="1899-12-30T07:15:00"/>
    <x v="1"/>
    <x v="7"/>
    <s v="Station_42"/>
    <s v="Station_8"/>
    <d v="1899-12-30T07:19:00"/>
    <d v="1899-12-30T07:56:00"/>
    <n v="5"/>
    <n v="4"/>
    <x v="2"/>
    <n v="31.2"/>
    <n v="49"/>
    <n v="42"/>
    <n v="0.1"/>
    <x v="1"/>
    <n v="2000"/>
    <n v="39"/>
    <x v="0"/>
    <x v="1"/>
    <x v="1"/>
    <x v="3"/>
    <x v="0"/>
    <x v="1"/>
  </r>
  <r>
    <s v="T00778"/>
    <d v="2023-01-09T00:00:00"/>
    <d v="1899-12-30T07:30:00"/>
    <x v="1"/>
    <x v="4"/>
    <s v="Station_32"/>
    <s v="Station_49"/>
    <d v="1899-12-30T07:33:00"/>
    <d v="1899-12-30T08:07:00"/>
    <n v="5"/>
    <n v="17"/>
    <x v="2"/>
    <n v="-3.2"/>
    <n v="83"/>
    <n v="34"/>
    <n v="18.2"/>
    <x v="0"/>
    <n v="0"/>
    <n v="34"/>
    <x v="0"/>
    <x v="1"/>
    <x v="1"/>
    <x v="2"/>
    <x v="1"/>
    <x v="1"/>
  </r>
  <r>
    <s v="T00779"/>
    <d v="2023-01-09T00:00:00"/>
    <d v="1899-12-30T07:45:00"/>
    <x v="0"/>
    <x v="8"/>
    <s v="Station_32"/>
    <s v="Station_25"/>
    <d v="1899-12-30T07:46:00"/>
    <d v="1899-12-30T08:27:00"/>
    <n v="5"/>
    <n v="24"/>
    <x v="5"/>
    <n v="7.9"/>
    <n v="84"/>
    <n v="21"/>
    <n v="12.5"/>
    <x v="0"/>
    <n v="2000"/>
    <n v="41"/>
    <x v="0"/>
    <x v="1"/>
    <x v="1"/>
    <x v="3"/>
    <x v="1"/>
    <x v="1"/>
  </r>
  <r>
    <s v="T00780"/>
    <d v="2023-01-09T00:00:00"/>
    <d v="1899-12-30T08:00:00"/>
    <x v="2"/>
    <x v="15"/>
    <s v="Station_6"/>
    <s v="Station_50"/>
    <d v="1899-12-30T08:03:00"/>
    <d v="1899-12-30T08:21:00"/>
    <n v="-2"/>
    <n v="2"/>
    <x v="5"/>
    <n v="17.8"/>
    <n v="87"/>
    <n v="9"/>
    <n v="8.9"/>
    <x v="5"/>
    <n v="2000"/>
    <n v="81"/>
    <x v="0"/>
    <x v="0"/>
    <x v="1"/>
    <x v="1"/>
    <x v="0"/>
    <x v="0"/>
  </r>
  <r>
    <s v="T00781"/>
    <d v="2023-01-09T00:00:00"/>
    <d v="1899-12-30T08:15:00"/>
    <x v="0"/>
    <x v="1"/>
    <s v="Station_48"/>
    <s v="Station_12"/>
    <d v="1899-12-30T08:19:00"/>
    <d v="1899-12-30T08:45:00"/>
    <n v="-1"/>
    <n v="16"/>
    <x v="5"/>
    <n v="15.7"/>
    <n v="59"/>
    <n v="10"/>
    <n v="14.5"/>
    <x v="0"/>
    <n v="0"/>
    <n v="19"/>
    <x v="0"/>
    <x v="0"/>
    <x v="1"/>
    <x v="3"/>
    <x v="1"/>
    <x v="2"/>
  </r>
  <r>
    <s v="T00782"/>
    <d v="2023-01-09T00:00:00"/>
    <d v="1899-12-30T08:30:00"/>
    <x v="1"/>
    <x v="15"/>
    <s v="Station_38"/>
    <s v="Station_25"/>
    <d v="1899-12-30T08:34:00"/>
    <d v="1899-12-30T09:20:00"/>
    <n v="9"/>
    <n v="27"/>
    <x v="2"/>
    <n v="21.2"/>
    <n v="53"/>
    <n v="37"/>
    <n v="6.7"/>
    <x v="1"/>
    <n v="0"/>
    <n v="59"/>
    <x v="0"/>
    <x v="0"/>
    <x v="1"/>
    <x v="2"/>
    <x v="1"/>
    <x v="1"/>
  </r>
  <r>
    <s v="T00783"/>
    <d v="2023-01-09T00:00:00"/>
    <d v="1899-12-30T08:45:00"/>
    <x v="1"/>
    <x v="7"/>
    <s v="Station_17"/>
    <s v="Station_17"/>
    <d v="1899-12-30T08:49:00"/>
    <d v="1899-12-30T09:37:00"/>
    <n v="12"/>
    <n v="29"/>
    <x v="3"/>
    <n v="16.100000000000001"/>
    <n v="32"/>
    <n v="32"/>
    <n v="19.100000000000001"/>
    <x v="0"/>
    <n v="500"/>
    <n v="8"/>
    <x v="0"/>
    <x v="1"/>
    <x v="1"/>
    <x v="1"/>
    <x v="1"/>
    <x v="2"/>
  </r>
  <r>
    <s v="T00784"/>
    <d v="2023-01-09T00:00:00"/>
    <d v="1899-12-30T09:00:00"/>
    <x v="3"/>
    <x v="16"/>
    <s v="Station_10"/>
    <s v="Station_26"/>
    <d v="1899-12-30T09:00:00"/>
    <d v="1899-12-30T09:33:00"/>
    <n v="1"/>
    <n v="3"/>
    <x v="3"/>
    <n v="4.2"/>
    <n v="77"/>
    <n v="5"/>
    <n v="1.4"/>
    <x v="0"/>
    <n v="0"/>
    <n v="32"/>
    <x v="0"/>
    <x v="1"/>
    <x v="1"/>
    <x v="2"/>
    <x v="0"/>
    <x v="2"/>
  </r>
  <r>
    <s v="T00785"/>
    <d v="2023-01-09T00:00:00"/>
    <d v="1899-12-30T09:15:00"/>
    <x v="2"/>
    <x v="1"/>
    <s v="Station_50"/>
    <s v="Station_46"/>
    <d v="1899-12-30T09:16:00"/>
    <d v="1899-12-30T09:50:00"/>
    <n v="0"/>
    <n v="4"/>
    <x v="5"/>
    <n v="3"/>
    <n v="51"/>
    <n v="36"/>
    <n v="12.8"/>
    <x v="0"/>
    <n v="0"/>
    <n v="48"/>
    <x v="0"/>
    <x v="1"/>
    <x v="1"/>
    <x v="2"/>
    <x v="0"/>
    <x v="1"/>
  </r>
  <r>
    <s v="T00786"/>
    <d v="2023-01-09T00:00:00"/>
    <d v="1899-12-30T09:30:00"/>
    <x v="0"/>
    <x v="16"/>
    <s v="Station_27"/>
    <s v="Station_48"/>
    <d v="1899-12-30T09:30:00"/>
    <d v="1899-12-30T10:00:00"/>
    <n v="11"/>
    <n v="5"/>
    <x v="5"/>
    <n v="31.3"/>
    <n v="43"/>
    <n v="6"/>
    <n v="15.5"/>
    <x v="0"/>
    <n v="2000"/>
    <n v="67"/>
    <x v="0"/>
    <x v="1"/>
    <x v="1"/>
    <x v="1"/>
    <x v="0"/>
    <x v="0"/>
  </r>
  <r>
    <s v="T00787"/>
    <d v="2023-01-09T00:00:00"/>
    <d v="1899-12-30T09:45:00"/>
    <x v="1"/>
    <x v="7"/>
    <s v="Station_50"/>
    <s v="Station_14"/>
    <d v="1899-12-30T09:47:00"/>
    <d v="1899-12-30T10:37:00"/>
    <n v="19"/>
    <n v="-2"/>
    <x v="2"/>
    <n v="5.6"/>
    <n v="77"/>
    <n v="53"/>
    <n v="9.4"/>
    <x v="0"/>
    <n v="50000"/>
    <n v="3"/>
    <x v="0"/>
    <x v="1"/>
    <x v="1"/>
    <x v="2"/>
    <x v="0"/>
    <x v="2"/>
  </r>
  <r>
    <s v="T00788"/>
    <d v="2023-01-09T00:00:00"/>
    <d v="1899-12-30T10:00:00"/>
    <x v="1"/>
    <x v="5"/>
    <s v="Station_35"/>
    <s v="Station_41"/>
    <d v="1899-12-30T10:01:00"/>
    <d v="1899-12-30T10:26:00"/>
    <n v="5"/>
    <n v="13"/>
    <x v="4"/>
    <n v="6.2"/>
    <n v="58"/>
    <n v="43"/>
    <n v="15.1"/>
    <x v="1"/>
    <n v="50000"/>
    <n v="47"/>
    <x v="0"/>
    <x v="1"/>
    <x v="1"/>
    <x v="3"/>
    <x v="1"/>
    <x v="1"/>
  </r>
  <r>
    <s v="T00789"/>
    <d v="2023-01-09T00:00:00"/>
    <d v="1899-12-30T10:15:00"/>
    <x v="0"/>
    <x v="15"/>
    <s v="Station_21"/>
    <s v="Station_36"/>
    <d v="1899-12-30T10:18:00"/>
    <d v="1899-12-30T11:05:00"/>
    <n v="10"/>
    <n v="13"/>
    <x v="0"/>
    <n v="11.5"/>
    <n v="79"/>
    <n v="11"/>
    <n v="18.5"/>
    <x v="1"/>
    <n v="2000"/>
    <n v="15"/>
    <x v="0"/>
    <x v="1"/>
    <x v="1"/>
    <x v="0"/>
    <x v="1"/>
    <x v="2"/>
  </r>
  <r>
    <s v="T00790"/>
    <d v="2023-01-09T00:00:00"/>
    <d v="1899-12-30T10:30:00"/>
    <x v="3"/>
    <x v="16"/>
    <s v="Station_25"/>
    <s v="Station_23"/>
    <d v="1899-12-30T10:34:00"/>
    <d v="1899-12-30T11:03:00"/>
    <n v="16"/>
    <n v="26"/>
    <x v="1"/>
    <n v="0.6"/>
    <n v="39"/>
    <n v="6"/>
    <n v="14.9"/>
    <x v="4"/>
    <n v="0"/>
    <n v="46"/>
    <x v="0"/>
    <x v="0"/>
    <x v="1"/>
    <x v="0"/>
    <x v="1"/>
    <x v="1"/>
  </r>
  <r>
    <s v="T00791"/>
    <d v="2023-01-09T00:00:00"/>
    <d v="1899-12-30T10:45:00"/>
    <x v="1"/>
    <x v="14"/>
    <s v="Station_28"/>
    <s v="Station_43"/>
    <d v="1899-12-30T10:47:00"/>
    <d v="1899-12-30T11:32:00"/>
    <n v="19"/>
    <n v="2"/>
    <x v="3"/>
    <n v="15.3"/>
    <n v="56"/>
    <n v="1"/>
    <n v="6.2"/>
    <x v="5"/>
    <n v="0"/>
    <n v="25"/>
    <x v="0"/>
    <x v="1"/>
    <x v="1"/>
    <x v="0"/>
    <x v="0"/>
    <x v="2"/>
  </r>
  <r>
    <s v="T00792"/>
    <d v="2023-01-09T00:00:00"/>
    <d v="1899-12-30T11:00:00"/>
    <x v="2"/>
    <x v="4"/>
    <s v="Station_47"/>
    <s v="Station_6"/>
    <d v="1899-12-30T11:01:00"/>
    <d v="1899-12-30T11:35:00"/>
    <n v="2"/>
    <n v="0"/>
    <x v="3"/>
    <n v="21.6"/>
    <n v="57"/>
    <n v="59"/>
    <n v="11.2"/>
    <x v="5"/>
    <n v="0"/>
    <n v="69"/>
    <x v="0"/>
    <x v="0"/>
    <x v="1"/>
    <x v="1"/>
    <x v="0"/>
    <x v="0"/>
  </r>
  <r>
    <s v="T00793"/>
    <d v="2023-01-09T00:00:00"/>
    <d v="1899-12-30T11:15:00"/>
    <x v="1"/>
    <x v="1"/>
    <s v="Station_15"/>
    <s v="Station_47"/>
    <d v="1899-12-30T11:15:00"/>
    <d v="1899-12-30T11:53:00"/>
    <n v="10"/>
    <n v="5"/>
    <x v="2"/>
    <n v="26.4"/>
    <n v="38"/>
    <n v="0"/>
    <n v="18.2"/>
    <x v="0"/>
    <n v="0"/>
    <n v="36"/>
    <x v="0"/>
    <x v="1"/>
    <x v="1"/>
    <x v="1"/>
    <x v="0"/>
    <x v="1"/>
  </r>
  <r>
    <s v="T00794"/>
    <d v="2023-01-09T00:00:00"/>
    <d v="1899-12-30T11:30:00"/>
    <x v="2"/>
    <x v="18"/>
    <s v="Station_4"/>
    <s v="Station_5"/>
    <d v="1899-12-30T11:34:00"/>
    <d v="1899-12-30T12:06:00"/>
    <n v="17"/>
    <n v="2"/>
    <x v="2"/>
    <n v="23.5"/>
    <n v="55"/>
    <n v="22"/>
    <n v="9"/>
    <x v="4"/>
    <n v="0"/>
    <n v="21"/>
    <x v="0"/>
    <x v="0"/>
    <x v="1"/>
    <x v="1"/>
    <x v="0"/>
    <x v="2"/>
  </r>
  <r>
    <s v="T00795"/>
    <d v="2023-01-09T00:00:00"/>
    <d v="1899-12-30T11:45:00"/>
    <x v="0"/>
    <x v="6"/>
    <s v="Station_29"/>
    <s v="Station_43"/>
    <d v="1899-12-30T11:45:00"/>
    <d v="1899-12-30T12:30:00"/>
    <n v="-2"/>
    <n v="9"/>
    <x v="1"/>
    <n v="0.9"/>
    <n v="37"/>
    <n v="24"/>
    <n v="13.6"/>
    <x v="0"/>
    <n v="0"/>
    <n v="6"/>
    <x v="0"/>
    <x v="1"/>
    <x v="1"/>
    <x v="0"/>
    <x v="1"/>
    <x v="2"/>
  </r>
  <r>
    <s v="T00796"/>
    <d v="2023-01-09T00:00:00"/>
    <d v="1899-12-30T12:00:00"/>
    <x v="2"/>
    <x v="10"/>
    <s v="Station_9"/>
    <s v="Station_25"/>
    <d v="1899-12-30T12:01:00"/>
    <d v="1899-12-30T12:25:00"/>
    <n v="13"/>
    <n v="18"/>
    <x v="1"/>
    <n v="13.2"/>
    <n v="31"/>
    <n v="17"/>
    <n v="9.3000000000000007"/>
    <x v="2"/>
    <n v="10000"/>
    <n v="41"/>
    <x v="0"/>
    <x v="1"/>
    <x v="1"/>
    <x v="0"/>
    <x v="1"/>
    <x v="1"/>
  </r>
  <r>
    <s v="T00797"/>
    <d v="2023-01-09T00:00:00"/>
    <d v="1899-12-30T12:15:00"/>
    <x v="0"/>
    <x v="0"/>
    <s v="Station_27"/>
    <s v="Station_18"/>
    <d v="1899-12-30T12:16:00"/>
    <d v="1899-12-30T12:43:00"/>
    <n v="-1"/>
    <n v="24"/>
    <x v="5"/>
    <n v="-3.5"/>
    <n v="86"/>
    <n v="43"/>
    <n v="2.4"/>
    <x v="2"/>
    <n v="50000"/>
    <n v="29"/>
    <x v="0"/>
    <x v="1"/>
    <x v="1"/>
    <x v="1"/>
    <x v="1"/>
    <x v="2"/>
  </r>
  <r>
    <s v="T00798"/>
    <d v="2023-01-09T00:00:00"/>
    <d v="1899-12-30T12:30:00"/>
    <x v="2"/>
    <x v="2"/>
    <s v="Station_26"/>
    <s v="Station_13"/>
    <d v="1899-12-30T12:32:00"/>
    <d v="1899-12-30T13:06:00"/>
    <n v="4"/>
    <n v="26"/>
    <x v="1"/>
    <n v="-4.3"/>
    <n v="81"/>
    <n v="6"/>
    <n v="1.2"/>
    <x v="0"/>
    <n v="50000"/>
    <n v="73"/>
    <x v="0"/>
    <x v="1"/>
    <x v="1"/>
    <x v="0"/>
    <x v="1"/>
    <x v="0"/>
  </r>
  <r>
    <s v="T00799"/>
    <d v="2023-01-09T00:00:00"/>
    <d v="1899-12-30T12:45:00"/>
    <x v="0"/>
    <x v="11"/>
    <s v="Station_19"/>
    <s v="Station_43"/>
    <d v="1899-12-30T12:48:00"/>
    <d v="1899-12-30T13:35:00"/>
    <n v="3"/>
    <n v="-2"/>
    <x v="0"/>
    <n v="12.6"/>
    <n v="87"/>
    <n v="50"/>
    <n v="19"/>
    <x v="0"/>
    <n v="0"/>
    <n v="78"/>
    <x v="0"/>
    <x v="1"/>
    <x v="1"/>
    <x v="2"/>
    <x v="0"/>
    <x v="0"/>
  </r>
  <r>
    <s v="T00800"/>
    <d v="2023-01-09T00:00:00"/>
    <d v="1899-12-30T13:00:00"/>
    <x v="2"/>
    <x v="2"/>
    <s v="Station_28"/>
    <s v="Station_14"/>
    <d v="1899-12-30T13:00:00"/>
    <d v="1899-12-30T13:31:00"/>
    <n v="2"/>
    <n v="4"/>
    <x v="0"/>
    <n v="5.0999999999999996"/>
    <n v="32"/>
    <n v="53"/>
    <n v="12.3"/>
    <x v="5"/>
    <n v="50000"/>
    <n v="5"/>
    <x v="0"/>
    <x v="0"/>
    <x v="1"/>
    <x v="2"/>
    <x v="0"/>
    <x v="2"/>
  </r>
  <r>
    <s v="T00801"/>
    <d v="2023-01-09T00:00:00"/>
    <d v="1899-12-30T13:15:00"/>
    <x v="3"/>
    <x v="1"/>
    <s v="Station_17"/>
    <s v="Station_28"/>
    <d v="1899-12-30T13:17:00"/>
    <d v="1899-12-30T13:57:00"/>
    <n v="1"/>
    <n v="5"/>
    <x v="3"/>
    <n v="22.3"/>
    <n v="37"/>
    <n v="2"/>
    <n v="2.1"/>
    <x v="0"/>
    <n v="0"/>
    <n v="23"/>
    <x v="0"/>
    <x v="1"/>
    <x v="1"/>
    <x v="0"/>
    <x v="0"/>
    <x v="2"/>
  </r>
  <r>
    <s v="T00802"/>
    <d v="2023-01-09T00:00:00"/>
    <d v="1899-12-30T13:30:00"/>
    <x v="2"/>
    <x v="5"/>
    <s v="Station_43"/>
    <s v="Station_18"/>
    <d v="1899-12-30T13:34:00"/>
    <d v="1899-12-30T13:54:00"/>
    <n v="-1"/>
    <n v="-3"/>
    <x v="0"/>
    <n v="24"/>
    <n v="88"/>
    <n v="28"/>
    <n v="17.100000000000001"/>
    <x v="0"/>
    <n v="0"/>
    <n v="65"/>
    <x v="0"/>
    <x v="1"/>
    <x v="1"/>
    <x v="1"/>
    <x v="0"/>
    <x v="1"/>
  </r>
  <r>
    <s v="T00803"/>
    <d v="2023-01-09T00:00:00"/>
    <d v="1899-12-30T13:45:00"/>
    <x v="2"/>
    <x v="2"/>
    <s v="Station_41"/>
    <s v="Station_28"/>
    <d v="1899-12-30T13:48:00"/>
    <d v="1899-12-30T14:40:00"/>
    <n v="7"/>
    <n v="9"/>
    <x v="0"/>
    <n v="30.8"/>
    <n v="31"/>
    <n v="9"/>
    <n v="10.5"/>
    <x v="0"/>
    <n v="500"/>
    <n v="39"/>
    <x v="0"/>
    <x v="1"/>
    <x v="1"/>
    <x v="3"/>
    <x v="1"/>
    <x v="1"/>
  </r>
  <r>
    <s v="T00804"/>
    <d v="2023-01-09T00:00:00"/>
    <d v="1899-12-30T14:00:00"/>
    <x v="3"/>
    <x v="1"/>
    <s v="Station_42"/>
    <s v="Station_27"/>
    <d v="1899-12-30T14:02:00"/>
    <d v="1899-12-30T14:55:00"/>
    <n v="19"/>
    <n v="11"/>
    <x v="0"/>
    <n v="25.4"/>
    <n v="91"/>
    <n v="58"/>
    <n v="15.4"/>
    <x v="0"/>
    <n v="0"/>
    <n v="14"/>
    <x v="0"/>
    <x v="1"/>
    <x v="1"/>
    <x v="3"/>
    <x v="1"/>
    <x v="2"/>
  </r>
  <r>
    <s v="T00805"/>
    <d v="2023-01-09T00:00:00"/>
    <d v="1899-12-30T14:15:00"/>
    <x v="1"/>
    <x v="4"/>
    <s v="Station_50"/>
    <s v="Station_32"/>
    <d v="1899-12-30T14:15:00"/>
    <d v="1899-12-30T14:37:00"/>
    <n v="2"/>
    <n v="28"/>
    <x v="5"/>
    <n v="-3.1"/>
    <n v="78"/>
    <n v="58"/>
    <n v="2.5"/>
    <x v="0"/>
    <n v="50000"/>
    <n v="52"/>
    <x v="0"/>
    <x v="0"/>
    <x v="1"/>
    <x v="0"/>
    <x v="1"/>
    <x v="1"/>
  </r>
  <r>
    <s v="T00806"/>
    <d v="2023-01-09T00:00:00"/>
    <d v="1899-12-30T14:30:00"/>
    <x v="1"/>
    <x v="14"/>
    <s v="Station_20"/>
    <s v="Station_47"/>
    <d v="1899-12-30T14:31:00"/>
    <d v="1899-12-30T15:13:00"/>
    <n v="15"/>
    <n v="27"/>
    <x v="3"/>
    <n v="9.9"/>
    <n v="49"/>
    <n v="42"/>
    <n v="18.100000000000001"/>
    <x v="0"/>
    <n v="0"/>
    <n v="84"/>
    <x v="0"/>
    <x v="1"/>
    <x v="1"/>
    <x v="3"/>
    <x v="1"/>
    <x v="0"/>
  </r>
  <r>
    <s v="T00807"/>
    <d v="2023-01-09T00:00:00"/>
    <d v="1899-12-30T14:45:00"/>
    <x v="2"/>
    <x v="15"/>
    <s v="Station_45"/>
    <s v="Station_9"/>
    <d v="1899-12-30T14:49:00"/>
    <d v="1899-12-30T15:21:00"/>
    <n v="7"/>
    <n v="10"/>
    <x v="2"/>
    <n v="5.9"/>
    <n v="58"/>
    <n v="4"/>
    <n v="11.8"/>
    <x v="0"/>
    <n v="0"/>
    <n v="81"/>
    <x v="0"/>
    <x v="1"/>
    <x v="1"/>
    <x v="1"/>
    <x v="1"/>
    <x v="0"/>
  </r>
  <r>
    <s v="T00808"/>
    <d v="2023-01-09T00:00:00"/>
    <d v="1899-12-30T15:00:00"/>
    <x v="3"/>
    <x v="2"/>
    <s v="Station_40"/>
    <s v="Station_40"/>
    <d v="1899-12-30T15:00:00"/>
    <d v="1899-12-30T15:58:00"/>
    <n v="19"/>
    <n v="10"/>
    <x v="3"/>
    <n v="10.4"/>
    <n v="46"/>
    <n v="33"/>
    <n v="14.8"/>
    <x v="5"/>
    <n v="0"/>
    <n v="4"/>
    <x v="0"/>
    <x v="0"/>
    <x v="1"/>
    <x v="2"/>
    <x v="1"/>
    <x v="2"/>
  </r>
  <r>
    <s v="T00809"/>
    <d v="2023-01-09T00:00:00"/>
    <d v="1899-12-30T15:15:00"/>
    <x v="2"/>
    <x v="10"/>
    <s v="Station_39"/>
    <s v="Station_32"/>
    <d v="1899-12-30T15:18:00"/>
    <d v="1899-12-30T16:00:00"/>
    <n v="12"/>
    <n v="25"/>
    <x v="3"/>
    <n v="1.4"/>
    <n v="51"/>
    <n v="7"/>
    <n v="0.6"/>
    <x v="0"/>
    <n v="10000"/>
    <n v="88"/>
    <x v="1"/>
    <x v="1"/>
    <x v="1"/>
    <x v="2"/>
    <x v="1"/>
    <x v="0"/>
  </r>
  <r>
    <s v="T00810"/>
    <d v="2023-01-09T00:00:00"/>
    <d v="1899-12-30T15:30:00"/>
    <x v="0"/>
    <x v="3"/>
    <s v="Station_49"/>
    <s v="Station_20"/>
    <d v="1899-12-30T15:33:00"/>
    <d v="1899-12-30T15:53:00"/>
    <n v="6"/>
    <n v="15"/>
    <x v="3"/>
    <n v="-1.1000000000000001"/>
    <n v="35"/>
    <n v="13"/>
    <n v="6.3"/>
    <x v="0"/>
    <n v="0"/>
    <n v="35"/>
    <x v="0"/>
    <x v="0"/>
    <x v="1"/>
    <x v="1"/>
    <x v="1"/>
    <x v="1"/>
  </r>
  <r>
    <s v="T00811"/>
    <d v="2023-01-09T00:00:00"/>
    <d v="1899-12-30T15:45:00"/>
    <x v="0"/>
    <x v="4"/>
    <s v="Station_23"/>
    <s v="Station_28"/>
    <d v="1899-12-30T15:46:00"/>
    <d v="1899-12-30T16:16:00"/>
    <n v="8"/>
    <n v="23"/>
    <x v="1"/>
    <n v="15.8"/>
    <n v="91"/>
    <n v="39"/>
    <n v="5.3"/>
    <x v="0"/>
    <n v="2000"/>
    <n v="73"/>
    <x v="0"/>
    <x v="1"/>
    <x v="1"/>
    <x v="3"/>
    <x v="1"/>
    <x v="0"/>
  </r>
  <r>
    <s v="T00812"/>
    <d v="2023-01-09T00:00:00"/>
    <d v="1899-12-30T16:00:00"/>
    <x v="2"/>
    <x v="6"/>
    <s v="Station_47"/>
    <s v="Station_33"/>
    <d v="1899-12-30T16:01:00"/>
    <d v="1899-12-30T16:20:00"/>
    <n v="18"/>
    <n v="5"/>
    <x v="2"/>
    <n v="23.8"/>
    <n v="60"/>
    <n v="54"/>
    <n v="19"/>
    <x v="0"/>
    <n v="500"/>
    <n v="45"/>
    <x v="0"/>
    <x v="1"/>
    <x v="1"/>
    <x v="0"/>
    <x v="0"/>
    <x v="1"/>
  </r>
  <r>
    <s v="T00813"/>
    <d v="2023-01-09T00:00:00"/>
    <d v="1899-12-30T16:15:00"/>
    <x v="1"/>
    <x v="14"/>
    <s v="Station_32"/>
    <s v="Station_4"/>
    <d v="1899-12-30T16:19:00"/>
    <d v="1899-12-30T16:55:00"/>
    <n v="14"/>
    <n v="24"/>
    <x v="1"/>
    <n v="23.1"/>
    <n v="91"/>
    <n v="5"/>
    <n v="3.7"/>
    <x v="3"/>
    <n v="500"/>
    <n v="22"/>
    <x v="0"/>
    <x v="1"/>
    <x v="1"/>
    <x v="2"/>
    <x v="1"/>
    <x v="2"/>
  </r>
  <r>
    <s v="T00814"/>
    <d v="2023-01-09T00:00:00"/>
    <d v="1899-12-30T16:30:00"/>
    <x v="1"/>
    <x v="4"/>
    <s v="Station_47"/>
    <s v="Station_46"/>
    <d v="1899-12-30T16:34:00"/>
    <d v="1899-12-30T17:08:00"/>
    <n v="18"/>
    <n v="20"/>
    <x v="5"/>
    <n v="13"/>
    <n v="41"/>
    <n v="0"/>
    <n v="14.1"/>
    <x v="2"/>
    <n v="0"/>
    <n v="87"/>
    <x v="1"/>
    <x v="1"/>
    <x v="1"/>
    <x v="3"/>
    <x v="1"/>
    <x v="0"/>
  </r>
  <r>
    <s v="T00815"/>
    <d v="2023-01-09T00:00:00"/>
    <d v="1899-12-30T16:45:00"/>
    <x v="2"/>
    <x v="1"/>
    <s v="Station_33"/>
    <s v="Station_34"/>
    <d v="1899-12-30T16:46:00"/>
    <d v="1899-12-30T17:25:00"/>
    <n v="6"/>
    <n v="24"/>
    <x v="5"/>
    <n v="15.9"/>
    <n v="41"/>
    <n v="55"/>
    <n v="0.9"/>
    <x v="0"/>
    <n v="0"/>
    <n v="44"/>
    <x v="0"/>
    <x v="0"/>
    <x v="1"/>
    <x v="3"/>
    <x v="1"/>
    <x v="1"/>
  </r>
  <r>
    <s v="T00816"/>
    <d v="2023-01-09T00:00:00"/>
    <d v="1899-12-30T17:00:00"/>
    <x v="2"/>
    <x v="19"/>
    <s v="Station_46"/>
    <s v="Station_48"/>
    <d v="1899-12-30T17:01:00"/>
    <d v="1899-12-30T17:37:00"/>
    <n v="13"/>
    <n v="14"/>
    <x v="4"/>
    <n v="15.7"/>
    <n v="92"/>
    <n v="32"/>
    <n v="4"/>
    <x v="0"/>
    <n v="500"/>
    <n v="9"/>
    <x v="0"/>
    <x v="1"/>
    <x v="1"/>
    <x v="2"/>
    <x v="1"/>
    <x v="2"/>
  </r>
  <r>
    <s v="T00817"/>
    <d v="2023-01-09T00:00:00"/>
    <d v="1899-12-30T17:15:00"/>
    <x v="0"/>
    <x v="14"/>
    <s v="Station_5"/>
    <s v="Station_3"/>
    <d v="1899-12-30T17:18:00"/>
    <d v="1899-12-30T17:37:00"/>
    <n v="3"/>
    <n v="21"/>
    <x v="4"/>
    <n v="22.7"/>
    <n v="45"/>
    <n v="39"/>
    <n v="6.8"/>
    <x v="4"/>
    <n v="50000"/>
    <n v="53"/>
    <x v="1"/>
    <x v="1"/>
    <x v="1"/>
    <x v="2"/>
    <x v="1"/>
    <x v="1"/>
  </r>
  <r>
    <s v="T00818"/>
    <d v="2023-01-09T00:00:00"/>
    <d v="1899-12-30T17:30:00"/>
    <x v="1"/>
    <x v="7"/>
    <s v="Station_43"/>
    <s v="Station_26"/>
    <d v="1899-12-30T17:31:00"/>
    <d v="1899-12-30T18:21:00"/>
    <n v="19"/>
    <n v="0"/>
    <x v="5"/>
    <n v="-3.1"/>
    <n v="54"/>
    <n v="10"/>
    <n v="15.9"/>
    <x v="0"/>
    <n v="10000"/>
    <n v="69"/>
    <x v="0"/>
    <x v="1"/>
    <x v="1"/>
    <x v="0"/>
    <x v="0"/>
    <x v="0"/>
  </r>
  <r>
    <s v="T00819"/>
    <d v="2023-01-09T00:00:00"/>
    <d v="1899-12-30T17:45:00"/>
    <x v="2"/>
    <x v="8"/>
    <s v="Station_48"/>
    <s v="Station_8"/>
    <d v="1899-12-30T17:47:00"/>
    <d v="1899-12-30T18:14:00"/>
    <n v="8"/>
    <n v="10"/>
    <x v="5"/>
    <n v="23.4"/>
    <n v="51"/>
    <n v="49"/>
    <n v="15.8"/>
    <x v="0"/>
    <n v="0"/>
    <n v="76"/>
    <x v="0"/>
    <x v="1"/>
    <x v="1"/>
    <x v="1"/>
    <x v="1"/>
    <x v="0"/>
  </r>
  <r>
    <s v="T00820"/>
    <d v="2023-01-09T00:00:00"/>
    <d v="1899-12-30T18:00:00"/>
    <x v="0"/>
    <x v="4"/>
    <s v="Station_34"/>
    <s v="Station_6"/>
    <d v="1899-12-30T18:00:00"/>
    <d v="1899-12-30T18:59:00"/>
    <n v="14"/>
    <n v="22"/>
    <x v="1"/>
    <n v="18.3"/>
    <n v="47"/>
    <n v="23"/>
    <n v="19.100000000000001"/>
    <x v="0"/>
    <n v="0"/>
    <n v="84"/>
    <x v="0"/>
    <x v="0"/>
    <x v="1"/>
    <x v="3"/>
    <x v="1"/>
    <x v="0"/>
  </r>
  <r>
    <s v="T00821"/>
    <d v="2023-01-09T00:00:00"/>
    <d v="1899-12-30T18:15:00"/>
    <x v="1"/>
    <x v="12"/>
    <s v="Station_40"/>
    <s v="Station_16"/>
    <d v="1899-12-30T18:16:00"/>
    <d v="1899-12-30T18:49:00"/>
    <n v="1"/>
    <n v="4"/>
    <x v="5"/>
    <n v="2.9"/>
    <n v="74"/>
    <n v="9"/>
    <n v="18.3"/>
    <x v="3"/>
    <n v="0"/>
    <n v="31"/>
    <x v="0"/>
    <x v="1"/>
    <x v="1"/>
    <x v="0"/>
    <x v="0"/>
    <x v="2"/>
  </r>
  <r>
    <s v="T00822"/>
    <d v="2023-01-09T00:00:00"/>
    <d v="1899-12-30T18:30:00"/>
    <x v="3"/>
    <x v="19"/>
    <s v="Station_11"/>
    <s v="Station_24"/>
    <d v="1899-12-30T18:34:00"/>
    <d v="1899-12-30T18:54:00"/>
    <n v="12"/>
    <n v="20"/>
    <x v="2"/>
    <n v="-3"/>
    <n v="97"/>
    <n v="43"/>
    <n v="1.6"/>
    <x v="0"/>
    <n v="2000"/>
    <n v="42"/>
    <x v="1"/>
    <x v="0"/>
    <x v="1"/>
    <x v="2"/>
    <x v="1"/>
    <x v="1"/>
  </r>
  <r>
    <s v="T00823"/>
    <d v="2023-01-09T00:00:00"/>
    <d v="1899-12-30T18:45:00"/>
    <x v="0"/>
    <x v="2"/>
    <s v="Station_50"/>
    <s v="Station_48"/>
    <d v="1899-12-30T18:47:00"/>
    <d v="1899-12-30T19:08:00"/>
    <n v="-2"/>
    <n v="12"/>
    <x v="1"/>
    <n v="-0.7"/>
    <n v="41"/>
    <n v="51"/>
    <n v="16.600000000000001"/>
    <x v="0"/>
    <n v="0"/>
    <n v="14"/>
    <x v="0"/>
    <x v="0"/>
    <x v="1"/>
    <x v="1"/>
    <x v="1"/>
    <x v="2"/>
  </r>
  <r>
    <s v="T00824"/>
    <d v="2023-01-09T00:00:00"/>
    <d v="1899-12-30T19:00:00"/>
    <x v="1"/>
    <x v="1"/>
    <s v="Station_3"/>
    <s v="Station_39"/>
    <d v="1899-12-30T19:04:00"/>
    <d v="1899-12-30T19:47:00"/>
    <n v="19"/>
    <n v="16"/>
    <x v="5"/>
    <n v="16"/>
    <n v="78"/>
    <n v="22"/>
    <n v="9"/>
    <x v="0"/>
    <n v="2000"/>
    <n v="65"/>
    <x v="0"/>
    <x v="1"/>
    <x v="1"/>
    <x v="1"/>
    <x v="1"/>
    <x v="1"/>
  </r>
  <r>
    <s v="T00825"/>
    <d v="2023-01-09T00:00:00"/>
    <d v="1899-12-30T19:15:00"/>
    <x v="1"/>
    <x v="7"/>
    <s v="Station_33"/>
    <s v="Station_30"/>
    <d v="1899-12-30T19:17:00"/>
    <d v="1899-12-30T19:38:00"/>
    <n v="17"/>
    <n v="11"/>
    <x v="1"/>
    <n v="25.3"/>
    <n v="62"/>
    <n v="15"/>
    <n v="17.3"/>
    <x v="0"/>
    <n v="50000"/>
    <n v="14"/>
    <x v="1"/>
    <x v="0"/>
    <x v="1"/>
    <x v="3"/>
    <x v="1"/>
    <x v="2"/>
  </r>
  <r>
    <s v="T00826"/>
    <d v="2023-01-09T00:00:00"/>
    <d v="1899-12-30T19:30:00"/>
    <x v="0"/>
    <x v="14"/>
    <s v="Station_11"/>
    <s v="Station_45"/>
    <d v="1899-12-30T19:31:00"/>
    <d v="1899-12-30T20:04:00"/>
    <n v="-2"/>
    <n v="3"/>
    <x v="1"/>
    <n v="8.4"/>
    <n v="92"/>
    <n v="36"/>
    <n v="1.8"/>
    <x v="0"/>
    <n v="0"/>
    <n v="80"/>
    <x v="0"/>
    <x v="1"/>
    <x v="1"/>
    <x v="1"/>
    <x v="0"/>
    <x v="0"/>
  </r>
  <r>
    <s v="T00827"/>
    <d v="2023-01-09T00:00:00"/>
    <d v="1899-12-30T19:45:00"/>
    <x v="3"/>
    <x v="16"/>
    <s v="Station_16"/>
    <s v="Station_13"/>
    <d v="1899-12-30T19:45:00"/>
    <d v="1899-12-30T20:21:00"/>
    <n v="6"/>
    <n v="13"/>
    <x v="0"/>
    <n v="10.199999999999999"/>
    <n v="47"/>
    <n v="15"/>
    <n v="16.5"/>
    <x v="0"/>
    <n v="0"/>
    <n v="19"/>
    <x v="0"/>
    <x v="1"/>
    <x v="1"/>
    <x v="2"/>
    <x v="1"/>
    <x v="2"/>
  </r>
  <r>
    <s v="T00828"/>
    <d v="2023-01-09T00:00:00"/>
    <d v="1899-12-30T20:00:00"/>
    <x v="0"/>
    <x v="13"/>
    <s v="Station_18"/>
    <s v="Station_5"/>
    <d v="1899-12-30T20:04:00"/>
    <d v="1899-12-30T20:22:00"/>
    <n v="9"/>
    <n v="18"/>
    <x v="4"/>
    <n v="32.4"/>
    <n v="83"/>
    <n v="55"/>
    <n v="3.2"/>
    <x v="5"/>
    <n v="50000"/>
    <n v="49"/>
    <x v="0"/>
    <x v="1"/>
    <x v="1"/>
    <x v="2"/>
    <x v="1"/>
    <x v="1"/>
  </r>
  <r>
    <s v="T00829"/>
    <d v="2023-01-09T00:00:00"/>
    <d v="1899-12-30T20:15:00"/>
    <x v="1"/>
    <x v="18"/>
    <s v="Station_30"/>
    <s v="Station_25"/>
    <d v="1899-12-30T20:17:00"/>
    <d v="1899-12-30T20:44:00"/>
    <n v="1"/>
    <n v="18"/>
    <x v="1"/>
    <n v="3.5"/>
    <n v="56"/>
    <n v="43"/>
    <n v="6.7"/>
    <x v="0"/>
    <n v="0"/>
    <n v="5"/>
    <x v="0"/>
    <x v="1"/>
    <x v="1"/>
    <x v="2"/>
    <x v="1"/>
    <x v="2"/>
  </r>
  <r>
    <s v="T00830"/>
    <d v="2023-01-09T00:00:00"/>
    <d v="1899-12-30T20:30:00"/>
    <x v="2"/>
    <x v="19"/>
    <s v="Station_48"/>
    <s v="Station_20"/>
    <d v="1899-12-30T20:33:00"/>
    <d v="1899-12-30T21:12:00"/>
    <n v="19"/>
    <n v="8"/>
    <x v="3"/>
    <n v="-0.9"/>
    <n v="54"/>
    <n v="30"/>
    <n v="0.6"/>
    <x v="0"/>
    <n v="0"/>
    <n v="78"/>
    <x v="1"/>
    <x v="0"/>
    <x v="1"/>
    <x v="0"/>
    <x v="1"/>
    <x v="0"/>
  </r>
  <r>
    <s v="T00831"/>
    <d v="2023-01-09T00:00:00"/>
    <d v="1899-12-30T20:45:00"/>
    <x v="2"/>
    <x v="8"/>
    <s v="Station_10"/>
    <s v="Station_18"/>
    <d v="1899-12-30T20:46:00"/>
    <d v="1899-12-30T21:22:00"/>
    <n v="10"/>
    <n v="14"/>
    <x v="1"/>
    <n v="8.6999999999999993"/>
    <n v="63"/>
    <n v="5"/>
    <n v="2.5"/>
    <x v="0"/>
    <n v="0"/>
    <n v="16"/>
    <x v="0"/>
    <x v="1"/>
    <x v="1"/>
    <x v="2"/>
    <x v="1"/>
    <x v="2"/>
  </r>
  <r>
    <s v="T00832"/>
    <d v="2023-01-09T00:00:00"/>
    <d v="1899-12-30T21:00:00"/>
    <x v="0"/>
    <x v="10"/>
    <s v="Station_18"/>
    <s v="Station_47"/>
    <d v="1899-12-30T21:00:00"/>
    <d v="1899-12-30T21:20:00"/>
    <n v="4"/>
    <n v="11"/>
    <x v="3"/>
    <n v="24.8"/>
    <n v="89"/>
    <n v="29"/>
    <n v="8.9"/>
    <x v="1"/>
    <n v="0"/>
    <n v="25"/>
    <x v="0"/>
    <x v="1"/>
    <x v="1"/>
    <x v="0"/>
    <x v="1"/>
    <x v="2"/>
  </r>
  <r>
    <s v="T00833"/>
    <d v="2023-01-09T00:00:00"/>
    <d v="1899-12-30T21:15:00"/>
    <x v="1"/>
    <x v="16"/>
    <s v="Station_38"/>
    <s v="Station_18"/>
    <d v="1899-12-30T21:16:00"/>
    <d v="1899-12-30T22:09:00"/>
    <n v="5"/>
    <n v="12"/>
    <x v="0"/>
    <n v="20"/>
    <n v="83"/>
    <n v="36"/>
    <n v="16.399999999999999"/>
    <x v="0"/>
    <n v="500"/>
    <n v="21"/>
    <x v="0"/>
    <x v="1"/>
    <x v="1"/>
    <x v="2"/>
    <x v="1"/>
    <x v="2"/>
  </r>
  <r>
    <s v="T00834"/>
    <d v="2023-01-09T00:00:00"/>
    <d v="1899-12-30T21:30:00"/>
    <x v="2"/>
    <x v="9"/>
    <s v="Station_19"/>
    <s v="Station_2"/>
    <d v="1899-12-30T21:33:00"/>
    <d v="1899-12-30T22:20:00"/>
    <n v="10"/>
    <n v="1"/>
    <x v="5"/>
    <n v="11.6"/>
    <n v="34"/>
    <n v="0"/>
    <n v="15.5"/>
    <x v="0"/>
    <n v="0"/>
    <n v="72"/>
    <x v="0"/>
    <x v="1"/>
    <x v="1"/>
    <x v="2"/>
    <x v="0"/>
    <x v="0"/>
  </r>
  <r>
    <s v="T00835"/>
    <d v="2023-01-09T00:00:00"/>
    <d v="1899-12-30T21:45:00"/>
    <x v="1"/>
    <x v="16"/>
    <s v="Station_36"/>
    <s v="Station_10"/>
    <d v="1899-12-30T21:45:00"/>
    <d v="1899-12-30T22:05:00"/>
    <n v="8"/>
    <n v="-2"/>
    <x v="1"/>
    <n v="33.6"/>
    <n v="65"/>
    <n v="50"/>
    <n v="4.7"/>
    <x v="1"/>
    <n v="0"/>
    <n v="63"/>
    <x v="0"/>
    <x v="1"/>
    <x v="1"/>
    <x v="1"/>
    <x v="0"/>
    <x v="1"/>
  </r>
  <r>
    <s v="T00836"/>
    <d v="2023-01-09T00:00:00"/>
    <d v="1899-12-30T22:00:00"/>
    <x v="0"/>
    <x v="9"/>
    <s v="Station_13"/>
    <s v="Station_45"/>
    <d v="1899-12-30T22:03:00"/>
    <d v="1899-12-30T22:22:00"/>
    <n v="6"/>
    <n v="24"/>
    <x v="0"/>
    <n v="24.4"/>
    <n v="83"/>
    <n v="41"/>
    <n v="3"/>
    <x v="0"/>
    <n v="2000"/>
    <n v="75"/>
    <x v="0"/>
    <x v="0"/>
    <x v="1"/>
    <x v="3"/>
    <x v="1"/>
    <x v="0"/>
  </r>
  <r>
    <s v="T00837"/>
    <d v="2023-01-09T00:00:00"/>
    <d v="1899-12-30T22:15:00"/>
    <x v="2"/>
    <x v="19"/>
    <s v="Station_46"/>
    <s v="Station_50"/>
    <d v="1899-12-30T22:16:00"/>
    <d v="1899-12-30T22:37:00"/>
    <n v="13"/>
    <n v="23"/>
    <x v="2"/>
    <n v="-2.5"/>
    <n v="65"/>
    <n v="24"/>
    <n v="7.8"/>
    <x v="5"/>
    <n v="0"/>
    <n v="85"/>
    <x v="0"/>
    <x v="1"/>
    <x v="1"/>
    <x v="2"/>
    <x v="1"/>
    <x v="0"/>
  </r>
  <r>
    <s v="T00838"/>
    <d v="2023-01-09T00:00:00"/>
    <d v="1899-12-30T22:30:00"/>
    <x v="1"/>
    <x v="17"/>
    <s v="Station_3"/>
    <s v="Station_47"/>
    <d v="1899-12-30T22:32:00"/>
    <d v="1899-12-30T23:26:00"/>
    <n v="7"/>
    <n v="27"/>
    <x v="0"/>
    <n v="24.8"/>
    <n v="98"/>
    <n v="45"/>
    <n v="17.7"/>
    <x v="0"/>
    <n v="0"/>
    <n v="57"/>
    <x v="0"/>
    <x v="0"/>
    <x v="1"/>
    <x v="1"/>
    <x v="1"/>
    <x v="1"/>
  </r>
  <r>
    <s v="T00839"/>
    <d v="2023-01-09T00:00:00"/>
    <d v="1899-12-30T22:45:00"/>
    <x v="2"/>
    <x v="15"/>
    <s v="Station_10"/>
    <s v="Station_12"/>
    <d v="1899-12-30T22:46:00"/>
    <d v="1899-12-30T23:23:00"/>
    <n v="8"/>
    <n v="-3"/>
    <x v="4"/>
    <n v="-4"/>
    <n v="68"/>
    <n v="56"/>
    <n v="1.8"/>
    <x v="0"/>
    <n v="500"/>
    <n v="86"/>
    <x v="0"/>
    <x v="0"/>
    <x v="1"/>
    <x v="1"/>
    <x v="0"/>
    <x v="0"/>
  </r>
  <r>
    <s v="T00840"/>
    <d v="2023-01-09T00:00:00"/>
    <d v="1899-12-30T23:00:00"/>
    <x v="0"/>
    <x v="14"/>
    <s v="Station_38"/>
    <s v="Station_47"/>
    <d v="1899-12-30T23:01:00"/>
    <d v="1899-12-30T23:48:00"/>
    <n v="9"/>
    <n v="25"/>
    <x v="4"/>
    <n v="21"/>
    <n v="99"/>
    <n v="20"/>
    <n v="10.9"/>
    <x v="0"/>
    <n v="10000"/>
    <n v="36"/>
    <x v="0"/>
    <x v="1"/>
    <x v="1"/>
    <x v="3"/>
    <x v="1"/>
    <x v="1"/>
  </r>
  <r>
    <s v="T00841"/>
    <d v="2023-01-09T00:00:00"/>
    <d v="1899-12-30T23:15:00"/>
    <x v="1"/>
    <x v="18"/>
    <s v="Station_1"/>
    <s v="Station_13"/>
    <d v="1899-12-30T23:16:00"/>
    <d v="1899-12-30T23:59:00"/>
    <n v="11"/>
    <n v="-3"/>
    <x v="5"/>
    <n v="3.4"/>
    <n v="33"/>
    <n v="34"/>
    <n v="1.8"/>
    <x v="0"/>
    <n v="0"/>
    <n v="77"/>
    <x v="0"/>
    <x v="1"/>
    <x v="1"/>
    <x v="1"/>
    <x v="0"/>
    <x v="0"/>
  </r>
  <r>
    <s v="T00842"/>
    <d v="2023-01-09T00:00:00"/>
    <d v="1899-12-30T23:30:00"/>
    <x v="2"/>
    <x v="8"/>
    <s v="Station_27"/>
    <s v="Station_50"/>
    <d v="1899-12-30T23:34:00"/>
    <d v="1899-12-30T00:22:00"/>
    <n v="16"/>
    <n v="4"/>
    <x v="3"/>
    <n v="22.9"/>
    <n v="94"/>
    <n v="37"/>
    <n v="9.4"/>
    <x v="4"/>
    <n v="0"/>
    <n v="87"/>
    <x v="0"/>
    <x v="1"/>
    <x v="1"/>
    <x v="1"/>
    <x v="0"/>
    <x v="0"/>
  </r>
  <r>
    <s v="T00843"/>
    <d v="2023-01-09T00:00:00"/>
    <d v="1899-12-30T23:45:00"/>
    <x v="0"/>
    <x v="7"/>
    <s v="Station_46"/>
    <s v="Station_47"/>
    <d v="1899-12-30T23:48:00"/>
    <d v="1899-12-30T00:40:00"/>
    <n v="9"/>
    <n v="12"/>
    <x v="5"/>
    <n v="7.4"/>
    <n v="69"/>
    <n v="4"/>
    <n v="2.5"/>
    <x v="0"/>
    <n v="500"/>
    <n v="71"/>
    <x v="0"/>
    <x v="0"/>
    <x v="1"/>
    <x v="3"/>
    <x v="1"/>
    <x v="0"/>
  </r>
  <r>
    <s v="T00844"/>
    <d v="2023-01-10T00:00:00"/>
    <d v="1899-12-30T00:00:00"/>
    <x v="2"/>
    <x v="15"/>
    <s v="Station_8"/>
    <s v="Station_11"/>
    <d v="1899-12-30T00:03:00"/>
    <d v="1899-12-30T00:48:00"/>
    <n v="15"/>
    <n v="24"/>
    <x v="3"/>
    <n v="29.9"/>
    <n v="66"/>
    <n v="48"/>
    <n v="1.6"/>
    <x v="0"/>
    <n v="500"/>
    <n v="89"/>
    <x v="1"/>
    <x v="1"/>
    <x v="2"/>
    <x v="0"/>
    <x v="1"/>
    <x v="0"/>
  </r>
  <r>
    <s v="T00845"/>
    <d v="2023-01-10T00:00:00"/>
    <d v="1899-12-30T00:15:00"/>
    <x v="2"/>
    <x v="17"/>
    <s v="Station_46"/>
    <s v="Station_19"/>
    <d v="1899-12-30T00:18:00"/>
    <d v="1899-12-30T01:00:00"/>
    <n v="18"/>
    <n v="18"/>
    <x v="3"/>
    <n v="8.5"/>
    <n v="96"/>
    <n v="49"/>
    <n v="3.8"/>
    <x v="5"/>
    <n v="0"/>
    <n v="95"/>
    <x v="0"/>
    <x v="1"/>
    <x v="2"/>
    <x v="3"/>
    <x v="1"/>
    <x v="0"/>
  </r>
  <r>
    <s v="T00846"/>
    <d v="2023-01-10T00:00:00"/>
    <d v="1899-12-30T00:30:00"/>
    <x v="3"/>
    <x v="0"/>
    <s v="Station_42"/>
    <s v="Station_35"/>
    <d v="1899-12-30T00:34:00"/>
    <d v="1899-12-30T00:53:00"/>
    <n v="14"/>
    <n v="14"/>
    <x v="3"/>
    <n v="19.8"/>
    <n v="60"/>
    <n v="11"/>
    <n v="5.0999999999999996"/>
    <x v="4"/>
    <n v="0"/>
    <n v="27"/>
    <x v="0"/>
    <x v="1"/>
    <x v="2"/>
    <x v="3"/>
    <x v="1"/>
    <x v="2"/>
  </r>
  <r>
    <s v="T00847"/>
    <d v="2023-01-10T00:00:00"/>
    <d v="1899-12-30T00:45:00"/>
    <x v="3"/>
    <x v="6"/>
    <s v="Station_17"/>
    <s v="Station_39"/>
    <d v="1899-12-30T00:47:00"/>
    <d v="1899-12-30T01:18:00"/>
    <n v="0"/>
    <n v="18"/>
    <x v="3"/>
    <n v="6.4"/>
    <n v="76"/>
    <n v="4"/>
    <n v="5.5"/>
    <x v="0"/>
    <n v="0"/>
    <n v="95"/>
    <x v="0"/>
    <x v="1"/>
    <x v="2"/>
    <x v="2"/>
    <x v="1"/>
    <x v="0"/>
  </r>
  <r>
    <s v="T00848"/>
    <d v="2023-01-10T00:00:00"/>
    <d v="1899-12-30T01:00:00"/>
    <x v="0"/>
    <x v="14"/>
    <s v="Station_9"/>
    <s v="Station_26"/>
    <d v="1899-12-30T01:01:00"/>
    <d v="1899-12-30T01:46:00"/>
    <n v="-2"/>
    <n v="8"/>
    <x v="4"/>
    <n v="31.7"/>
    <n v="56"/>
    <n v="8"/>
    <n v="12.9"/>
    <x v="0"/>
    <n v="2000"/>
    <n v="85"/>
    <x v="1"/>
    <x v="1"/>
    <x v="2"/>
    <x v="2"/>
    <x v="1"/>
    <x v="0"/>
  </r>
  <r>
    <s v="T00849"/>
    <d v="2023-01-10T00:00:00"/>
    <d v="1899-12-30T01:15:00"/>
    <x v="3"/>
    <x v="11"/>
    <s v="Station_6"/>
    <s v="Station_46"/>
    <d v="1899-12-30T01:17:00"/>
    <d v="1899-12-30T02:07:00"/>
    <n v="16"/>
    <n v="15"/>
    <x v="4"/>
    <n v="26.2"/>
    <n v="80"/>
    <n v="43"/>
    <n v="1.1000000000000001"/>
    <x v="0"/>
    <n v="0"/>
    <n v="48"/>
    <x v="0"/>
    <x v="1"/>
    <x v="2"/>
    <x v="0"/>
    <x v="1"/>
    <x v="1"/>
  </r>
  <r>
    <s v="T00850"/>
    <d v="2023-01-10T00:00:00"/>
    <d v="1899-12-30T01:30:00"/>
    <x v="0"/>
    <x v="1"/>
    <s v="Station_43"/>
    <s v="Station_14"/>
    <d v="1899-12-30T01:34:00"/>
    <d v="1899-12-30T02:11:00"/>
    <n v="1"/>
    <n v="21"/>
    <x v="1"/>
    <n v="4.7"/>
    <n v="49"/>
    <n v="51"/>
    <n v="1.6"/>
    <x v="1"/>
    <n v="10000"/>
    <n v="72"/>
    <x v="0"/>
    <x v="1"/>
    <x v="2"/>
    <x v="3"/>
    <x v="1"/>
    <x v="0"/>
  </r>
  <r>
    <s v="T00851"/>
    <d v="2023-01-10T00:00:00"/>
    <d v="1899-12-30T01:45:00"/>
    <x v="3"/>
    <x v="0"/>
    <s v="Station_25"/>
    <s v="Station_45"/>
    <d v="1899-12-30T01:48:00"/>
    <d v="1899-12-30T02:07:00"/>
    <n v="13"/>
    <n v="1"/>
    <x v="4"/>
    <n v="33"/>
    <n v="42"/>
    <n v="8"/>
    <n v="3.8"/>
    <x v="2"/>
    <n v="0"/>
    <n v="66"/>
    <x v="0"/>
    <x v="1"/>
    <x v="2"/>
    <x v="3"/>
    <x v="0"/>
    <x v="1"/>
  </r>
  <r>
    <s v="T00852"/>
    <d v="2023-01-10T00:00:00"/>
    <d v="1899-12-30T02:00:00"/>
    <x v="2"/>
    <x v="5"/>
    <s v="Station_39"/>
    <s v="Station_44"/>
    <d v="1899-12-30T02:01:00"/>
    <d v="1899-12-30T02:42:00"/>
    <n v="9"/>
    <n v="6"/>
    <x v="5"/>
    <n v="9.3000000000000007"/>
    <n v="92"/>
    <n v="34"/>
    <n v="17.399999999999999"/>
    <x v="0"/>
    <n v="500"/>
    <n v="88"/>
    <x v="0"/>
    <x v="1"/>
    <x v="2"/>
    <x v="0"/>
    <x v="1"/>
    <x v="0"/>
  </r>
  <r>
    <s v="T00853"/>
    <d v="2023-01-10T00:00:00"/>
    <d v="1899-12-30T02:15:00"/>
    <x v="0"/>
    <x v="11"/>
    <s v="Station_49"/>
    <s v="Station_24"/>
    <d v="1899-12-30T02:15:00"/>
    <d v="1899-12-30T02:55:00"/>
    <n v="18"/>
    <n v="3"/>
    <x v="4"/>
    <n v="21.1"/>
    <n v="73"/>
    <n v="0"/>
    <n v="12.6"/>
    <x v="0"/>
    <n v="50000"/>
    <n v="75"/>
    <x v="0"/>
    <x v="1"/>
    <x v="2"/>
    <x v="2"/>
    <x v="0"/>
    <x v="0"/>
  </r>
  <r>
    <s v="T00854"/>
    <d v="2023-01-10T00:00:00"/>
    <d v="1899-12-30T02:30:00"/>
    <x v="0"/>
    <x v="7"/>
    <s v="Station_28"/>
    <s v="Station_41"/>
    <d v="1899-12-30T02:30:00"/>
    <d v="1899-12-30T03:12:00"/>
    <n v="18"/>
    <n v="11"/>
    <x v="5"/>
    <n v="24.7"/>
    <n v="53"/>
    <n v="53"/>
    <n v="14.6"/>
    <x v="0"/>
    <n v="0"/>
    <n v="92"/>
    <x v="0"/>
    <x v="0"/>
    <x v="2"/>
    <x v="3"/>
    <x v="1"/>
    <x v="0"/>
  </r>
  <r>
    <s v="T00855"/>
    <d v="2023-01-10T00:00:00"/>
    <d v="1899-12-30T02:45:00"/>
    <x v="2"/>
    <x v="8"/>
    <s v="Station_33"/>
    <s v="Station_1"/>
    <d v="1899-12-30T02:47:00"/>
    <d v="1899-12-30T03:08:00"/>
    <n v="10"/>
    <n v="20"/>
    <x v="2"/>
    <n v="-4.0999999999999996"/>
    <n v="32"/>
    <n v="46"/>
    <n v="7.4"/>
    <x v="0"/>
    <n v="0"/>
    <n v="66"/>
    <x v="0"/>
    <x v="1"/>
    <x v="2"/>
    <x v="0"/>
    <x v="1"/>
    <x v="1"/>
  </r>
  <r>
    <s v="T00856"/>
    <d v="2023-01-10T00:00:00"/>
    <d v="1899-12-30T03:00:00"/>
    <x v="0"/>
    <x v="10"/>
    <s v="Station_37"/>
    <s v="Station_43"/>
    <d v="1899-12-30T03:03:00"/>
    <d v="1899-12-30T03:40:00"/>
    <n v="14"/>
    <n v="22"/>
    <x v="4"/>
    <n v="33.4"/>
    <n v="39"/>
    <n v="9"/>
    <n v="4.3"/>
    <x v="1"/>
    <n v="0"/>
    <n v="40"/>
    <x v="0"/>
    <x v="1"/>
    <x v="2"/>
    <x v="2"/>
    <x v="1"/>
    <x v="1"/>
  </r>
  <r>
    <s v="T00857"/>
    <d v="2023-01-10T00:00:00"/>
    <d v="1899-12-30T03:15:00"/>
    <x v="0"/>
    <x v="15"/>
    <s v="Station_9"/>
    <s v="Station_22"/>
    <d v="1899-12-30T03:15:00"/>
    <d v="1899-12-30T04:11:00"/>
    <n v="5"/>
    <n v="22"/>
    <x v="5"/>
    <n v="8.8000000000000007"/>
    <n v="94"/>
    <n v="45"/>
    <n v="0.8"/>
    <x v="0"/>
    <n v="0"/>
    <n v="45"/>
    <x v="0"/>
    <x v="1"/>
    <x v="2"/>
    <x v="1"/>
    <x v="1"/>
    <x v="1"/>
  </r>
  <r>
    <s v="T00858"/>
    <d v="2023-01-10T00:00:00"/>
    <d v="1899-12-30T03:30:00"/>
    <x v="3"/>
    <x v="11"/>
    <s v="Station_18"/>
    <s v="Station_23"/>
    <d v="1899-12-30T03:32:00"/>
    <d v="1899-12-30T04:20:00"/>
    <n v="10"/>
    <n v="22"/>
    <x v="3"/>
    <n v="2.6"/>
    <n v="78"/>
    <n v="38"/>
    <n v="9.8000000000000007"/>
    <x v="0"/>
    <n v="0"/>
    <n v="86"/>
    <x v="0"/>
    <x v="1"/>
    <x v="2"/>
    <x v="0"/>
    <x v="1"/>
    <x v="0"/>
  </r>
  <r>
    <s v="T00859"/>
    <d v="2023-01-10T00:00:00"/>
    <d v="1899-12-30T03:45:00"/>
    <x v="0"/>
    <x v="13"/>
    <s v="Station_21"/>
    <s v="Station_19"/>
    <d v="1899-12-30T03:49:00"/>
    <d v="1899-12-30T04:25:00"/>
    <n v="17"/>
    <n v="6"/>
    <x v="0"/>
    <n v="29"/>
    <n v="87"/>
    <n v="35"/>
    <n v="11.5"/>
    <x v="0"/>
    <n v="0"/>
    <n v="86"/>
    <x v="0"/>
    <x v="1"/>
    <x v="2"/>
    <x v="0"/>
    <x v="1"/>
    <x v="0"/>
  </r>
  <r>
    <s v="T00860"/>
    <d v="2023-01-10T00:00:00"/>
    <d v="1899-12-30T04:00:00"/>
    <x v="1"/>
    <x v="7"/>
    <s v="Station_2"/>
    <s v="Station_18"/>
    <d v="1899-12-30T04:02:00"/>
    <d v="1899-12-30T04:45:00"/>
    <n v="2"/>
    <n v="13"/>
    <x v="3"/>
    <n v="23.1"/>
    <n v="31"/>
    <n v="57"/>
    <n v="17.899999999999999"/>
    <x v="0"/>
    <n v="50000"/>
    <n v="54"/>
    <x v="0"/>
    <x v="1"/>
    <x v="2"/>
    <x v="3"/>
    <x v="1"/>
    <x v="1"/>
  </r>
  <r>
    <s v="T00861"/>
    <d v="2023-01-10T00:00:00"/>
    <d v="1899-12-30T04:15:00"/>
    <x v="2"/>
    <x v="15"/>
    <s v="Station_43"/>
    <s v="Station_12"/>
    <d v="1899-12-30T04:17:00"/>
    <d v="1899-12-30T05:09:00"/>
    <n v="15"/>
    <n v="10"/>
    <x v="1"/>
    <n v="-1.5"/>
    <n v="95"/>
    <n v="36"/>
    <n v="17.600000000000001"/>
    <x v="0"/>
    <n v="500"/>
    <n v="81"/>
    <x v="0"/>
    <x v="0"/>
    <x v="2"/>
    <x v="1"/>
    <x v="1"/>
    <x v="0"/>
  </r>
  <r>
    <s v="T00862"/>
    <d v="2023-01-10T00:00:00"/>
    <d v="1899-12-30T04:30:00"/>
    <x v="3"/>
    <x v="2"/>
    <s v="Station_38"/>
    <s v="Station_28"/>
    <d v="1899-12-30T04:32:00"/>
    <d v="1899-12-30T05:27:00"/>
    <n v="12"/>
    <n v="-2"/>
    <x v="5"/>
    <n v="-0.3"/>
    <n v="60"/>
    <n v="51"/>
    <n v="8.5"/>
    <x v="5"/>
    <n v="10000"/>
    <n v="10"/>
    <x v="1"/>
    <x v="1"/>
    <x v="2"/>
    <x v="2"/>
    <x v="0"/>
    <x v="2"/>
  </r>
  <r>
    <s v="T00863"/>
    <d v="2023-01-10T00:00:00"/>
    <d v="1899-12-30T04:45:00"/>
    <x v="3"/>
    <x v="12"/>
    <s v="Station_40"/>
    <s v="Station_28"/>
    <d v="1899-12-30T04:46:00"/>
    <d v="1899-12-30T05:28:00"/>
    <n v="9"/>
    <n v="9"/>
    <x v="3"/>
    <n v="23.6"/>
    <n v="97"/>
    <n v="47"/>
    <n v="8.5"/>
    <x v="1"/>
    <n v="0"/>
    <n v="99"/>
    <x v="0"/>
    <x v="1"/>
    <x v="2"/>
    <x v="1"/>
    <x v="1"/>
    <x v="0"/>
  </r>
  <r>
    <s v="T00864"/>
    <d v="2023-01-10T00:00:00"/>
    <d v="1899-12-30T05:00:00"/>
    <x v="1"/>
    <x v="14"/>
    <s v="Station_36"/>
    <s v="Station_33"/>
    <d v="1899-12-30T05:02:00"/>
    <d v="1899-12-30T05:30:00"/>
    <n v="14"/>
    <n v="23"/>
    <x v="4"/>
    <n v="-2"/>
    <n v="66"/>
    <n v="34"/>
    <n v="3.2"/>
    <x v="0"/>
    <n v="0"/>
    <n v="25"/>
    <x v="0"/>
    <x v="0"/>
    <x v="2"/>
    <x v="3"/>
    <x v="1"/>
    <x v="2"/>
  </r>
  <r>
    <s v="T00865"/>
    <d v="2023-01-10T00:00:00"/>
    <d v="1899-12-30T05:15:00"/>
    <x v="2"/>
    <x v="13"/>
    <s v="Station_50"/>
    <s v="Station_19"/>
    <d v="1899-12-30T05:17:00"/>
    <d v="1899-12-30T06:03:00"/>
    <n v="12"/>
    <n v="5"/>
    <x v="4"/>
    <n v="31.7"/>
    <n v="53"/>
    <n v="16"/>
    <n v="5.0999999999999996"/>
    <x v="1"/>
    <n v="0"/>
    <n v="71"/>
    <x v="0"/>
    <x v="1"/>
    <x v="2"/>
    <x v="3"/>
    <x v="0"/>
    <x v="0"/>
  </r>
  <r>
    <s v="T00866"/>
    <d v="2023-01-10T00:00:00"/>
    <d v="1899-12-30T05:30:00"/>
    <x v="2"/>
    <x v="9"/>
    <s v="Station_43"/>
    <s v="Station_28"/>
    <d v="1899-12-30T05:31:00"/>
    <d v="1899-12-30T05:52:00"/>
    <n v="-1"/>
    <n v="3"/>
    <x v="2"/>
    <n v="24.7"/>
    <n v="73"/>
    <n v="12"/>
    <n v="18.5"/>
    <x v="4"/>
    <n v="0"/>
    <n v="91"/>
    <x v="0"/>
    <x v="1"/>
    <x v="2"/>
    <x v="2"/>
    <x v="0"/>
    <x v="0"/>
  </r>
  <r>
    <s v="T00867"/>
    <d v="2023-01-10T00:00:00"/>
    <d v="1899-12-30T05:45:00"/>
    <x v="3"/>
    <x v="0"/>
    <s v="Station_37"/>
    <s v="Station_49"/>
    <d v="1899-12-30T05:46:00"/>
    <d v="1899-12-30T06:05:00"/>
    <n v="3"/>
    <n v="6"/>
    <x v="0"/>
    <n v="8.4"/>
    <n v="70"/>
    <n v="5"/>
    <n v="2.8"/>
    <x v="0"/>
    <n v="0"/>
    <n v="81"/>
    <x v="0"/>
    <x v="1"/>
    <x v="2"/>
    <x v="2"/>
    <x v="1"/>
    <x v="0"/>
  </r>
  <r>
    <s v="T00868"/>
    <d v="2023-01-10T00:00:00"/>
    <d v="1899-12-30T06:00:00"/>
    <x v="0"/>
    <x v="15"/>
    <s v="Station_15"/>
    <s v="Station_37"/>
    <d v="1899-12-30T06:04:00"/>
    <d v="1899-12-30T06:38:00"/>
    <n v="14"/>
    <n v="5"/>
    <x v="5"/>
    <n v="9.5"/>
    <n v="80"/>
    <n v="57"/>
    <n v="19.399999999999999"/>
    <x v="0"/>
    <n v="0"/>
    <n v="12"/>
    <x v="0"/>
    <x v="0"/>
    <x v="2"/>
    <x v="2"/>
    <x v="0"/>
    <x v="2"/>
  </r>
  <r>
    <s v="T00869"/>
    <d v="2023-01-10T00:00:00"/>
    <d v="1899-12-30T06:15:00"/>
    <x v="3"/>
    <x v="16"/>
    <s v="Station_28"/>
    <s v="Station_26"/>
    <d v="1899-12-30T06:18:00"/>
    <d v="1899-12-30T06:56:00"/>
    <n v="13"/>
    <n v="18"/>
    <x v="3"/>
    <n v="15.3"/>
    <n v="71"/>
    <n v="36"/>
    <n v="10.1"/>
    <x v="0"/>
    <n v="2000"/>
    <n v="35"/>
    <x v="0"/>
    <x v="1"/>
    <x v="2"/>
    <x v="3"/>
    <x v="1"/>
    <x v="1"/>
  </r>
  <r>
    <s v="T00870"/>
    <d v="2023-01-10T00:00:00"/>
    <d v="1899-12-30T06:30:00"/>
    <x v="2"/>
    <x v="16"/>
    <s v="Station_18"/>
    <s v="Station_35"/>
    <d v="1899-12-30T06:30:00"/>
    <d v="1899-12-30T07:03:00"/>
    <n v="14"/>
    <n v="19"/>
    <x v="0"/>
    <n v="9.4"/>
    <n v="69"/>
    <n v="47"/>
    <n v="9.1"/>
    <x v="0"/>
    <n v="0"/>
    <n v="63"/>
    <x v="0"/>
    <x v="1"/>
    <x v="2"/>
    <x v="2"/>
    <x v="1"/>
    <x v="1"/>
  </r>
  <r>
    <s v="T00871"/>
    <d v="2023-01-10T00:00:00"/>
    <d v="1899-12-30T06:45:00"/>
    <x v="1"/>
    <x v="15"/>
    <s v="Station_34"/>
    <s v="Station_34"/>
    <d v="1899-12-30T06:45:00"/>
    <d v="1899-12-30T07:18:00"/>
    <n v="17"/>
    <n v="3"/>
    <x v="2"/>
    <n v="26.3"/>
    <n v="77"/>
    <n v="31"/>
    <n v="3.5"/>
    <x v="2"/>
    <n v="0"/>
    <n v="50"/>
    <x v="0"/>
    <x v="1"/>
    <x v="2"/>
    <x v="2"/>
    <x v="0"/>
    <x v="1"/>
  </r>
  <r>
    <s v="T00872"/>
    <d v="2023-01-10T00:00:00"/>
    <d v="1899-12-30T07:00:00"/>
    <x v="3"/>
    <x v="8"/>
    <s v="Station_22"/>
    <s v="Station_35"/>
    <d v="1899-12-30T07:02:00"/>
    <d v="1899-12-30T07:35:00"/>
    <n v="6"/>
    <n v="5"/>
    <x v="1"/>
    <n v="34"/>
    <n v="33"/>
    <n v="10"/>
    <n v="13.2"/>
    <x v="0"/>
    <n v="0"/>
    <n v="75"/>
    <x v="0"/>
    <x v="0"/>
    <x v="2"/>
    <x v="2"/>
    <x v="0"/>
    <x v="0"/>
  </r>
  <r>
    <s v="T00873"/>
    <d v="2023-01-10T00:00:00"/>
    <d v="1899-12-30T07:15:00"/>
    <x v="2"/>
    <x v="13"/>
    <s v="Station_11"/>
    <s v="Station_40"/>
    <d v="1899-12-30T07:19:00"/>
    <d v="1899-12-30T08:07:00"/>
    <n v="2"/>
    <n v="23"/>
    <x v="0"/>
    <n v="18.399999999999999"/>
    <n v="89"/>
    <n v="16"/>
    <n v="9.1999999999999993"/>
    <x v="5"/>
    <n v="50000"/>
    <n v="21"/>
    <x v="0"/>
    <x v="0"/>
    <x v="2"/>
    <x v="0"/>
    <x v="1"/>
    <x v="2"/>
  </r>
  <r>
    <s v="T00874"/>
    <d v="2023-01-10T00:00:00"/>
    <d v="1899-12-30T07:30:00"/>
    <x v="3"/>
    <x v="14"/>
    <s v="Station_13"/>
    <s v="Station_16"/>
    <d v="1899-12-30T07:32:00"/>
    <d v="1899-12-30T08:02:00"/>
    <n v="-2"/>
    <n v="20"/>
    <x v="2"/>
    <n v="12.8"/>
    <n v="68"/>
    <n v="4"/>
    <n v="7.4"/>
    <x v="1"/>
    <n v="0"/>
    <n v="59"/>
    <x v="0"/>
    <x v="1"/>
    <x v="2"/>
    <x v="2"/>
    <x v="1"/>
    <x v="1"/>
  </r>
  <r>
    <s v="T00875"/>
    <d v="2023-01-10T00:00:00"/>
    <d v="1899-12-30T07:45:00"/>
    <x v="0"/>
    <x v="8"/>
    <s v="Station_4"/>
    <s v="Station_38"/>
    <d v="1899-12-30T07:45:00"/>
    <d v="1899-12-30T08:42:00"/>
    <n v="3"/>
    <n v="25"/>
    <x v="5"/>
    <n v="3.9"/>
    <n v="34"/>
    <n v="5"/>
    <n v="5.3"/>
    <x v="0"/>
    <n v="0"/>
    <n v="1"/>
    <x v="0"/>
    <x v="1"/>
    <x v="2"/>
    <x v="3"/>
    <x v="1"/>
    <x v="2"/>
  </r>
  <r>
    <s v="T00876"/>
    <d v="2023-01-10T00:00:00"/>
    <d v="1899-12-30T08:00:00"/>
    <x v="3"/>
    <x v="11"/>
    <s v="Station_22"/>
    <s v="Station_13"/>
    <d v="1899-12-30T08:01:00"/>
    <d v="1899-12-30T08:31:00"/>
    <n v="11"/>
    <n v="13"/>
    <x v="1"/>
    <n v="21.1"/>
    <n v="35"/>
    <n v="9"/>
    <n v="1.3"/>
    <x v="2"/>
    <n v="0"/>
    <n v="55"/>
    <x v="0"/>
    <x v="1"/>
    <x v="2"/>
    <x v="0"/>
    <x v="1"/>
    <x v="1"/>
  </r>
  <r>
    <s v="T00877"/>
    <d v="2023-01-10T00:00:00"/>
    <d v="1899-12-30T08:15:00"/>
    <x v="3"/>
    <x v="16"/>
    <s v="Station_7"/>
    <s v="Station_23"/>
    <d v="1899-12-30T08:18:00"/>
    <d v="1899-12-30T09:12:00"/>
    <n v="14"/>
    <n v="16"/>
    <x v="4"/>
    <n v="22.4"/>
    <n v="43"/>
    <n v="52"/>
    <n v="10.4"/>
    <x v="0"/>
    <n v="0"/>
    <n v="39"/>
    <x v="0"/>
    <x v="1"/>
    <x v="2"/>
    <x v="3"/>
    <x v="1"/>
    <x v="1"/>
  </r>
  <r>
    <s v="T00878"/>
    <d v="2023-01-10T00:00:00"/>
    <d v="1899-12-30T08:30:00"/>
    <x v="2"/>
    <x v="19"/>
    <s v="Station_43"/>
    <s v="Station_22"/>
    <d v="1899-12-30T08:34:00"/>
    <d v="1899-12-30T09:28:00"/>
    <n v="16"/>
    <n v="3"/>
    <x v="2"/>
    <n v="22.4"/>
    <n v="99"/>
    <n v="32"/>
    <n v="6.3"/>
    <x v="0"/>
    <n v="500"/>
    <n v="27"/>
    <x v="0"/>
    <x v="0"/>
    <x v="2"/>
    <x v="1"/>
    <x v="0"/>
    <x v="2"/>
  </r>
  <r>
    <s v="T00879"/>
    <d v="2023-01-10T00:00:00"/>
    <d v="1899-12-30T08:45:00"/>
    <x v="2"/>
    <x v="18"/>
    <s v="Station_24"/>
    <s v="Station_16"/>
    <d v="1899-12-30T08:46:00"/>
    <d v="1899-12-30T09:37:00"/>
    <n v="-2"/>
    <n v="3"/>
    <x v="4"/>
    <n v="-3.9"/>
    <n v="41"/>
    <n v="29"/>
    <n v="14.2"/>
    <x v="4"/>
    <n v="0"/>
    <n v="76"/>
    <x v="0"/>
    <x v="1"/>
    <x v="2"/>
    <x v="0"/>
    <x v="0"/>
    <x v="0"/>
  </r>
  <r>
    <s v="T00880"/>
    <d v="2023-01-10T00:00:00"/>
    <d v="1899-12-30T09:00:00"/>
    <x v="2"/>
    <x v="13"/>
    <s v="Station_4"/>
    <s v="Station_28"/>
    <d v="1899-12-30T09:03:00"/>
    <d v="1899-12-30T09:52:00"/>
    <n v="-2"/>
    <n v="24"/>
    <x v="1"/>
    <n v="31"/>
    <n v="91"/>
    <n v="20"/>
    <n v="14.5"/>
    <x v="0"/>
    <n v="0"/>
    <n v="96"/>
    <x v="0"/>
    <x v="1"/>
    <x v="2"/>
    <x v="2"/>
    <x v="1"/>
    <x v="0"/>
  </r>
  <r>
    <s v="T00881"/>
    <d v="2023-01-10T00:00:00"/>
    <d v="1899-12-30T09:15:00"/>
    <x v="3"/>
    <x v="19"/>
    <s v="Station_28"/>
    <s v="Station_48"/>
    <d v="1899-12-30T09:19:00"/>
    <d v="1899-12-30T10:03:00"/>
    <n v="10"/>
    <n v="15"/>
    <x v="2"/>
    <n v="8.5"/>
    <n v="56"/>
    <n v="41"/>
    <n v="6.6"/>
    <x v="0"/>
    <n v="0"/>
    <n v="2"/>
    <x v="0"/>
    <x v="1"/>
    <x v="2"/>
    <x v="0"/>
    <x v="1"/>
    <x v="2"/>
  </r>
  <r>
    <s v="T00882"/>
    <d v="2023-01-10T00:00:00"/>
    <d v="1899-12-30T09:30:00"/>
    <x v="0"/>
    <x v="13"/>
    <s v="Station_15"/>
    <s v="Station_35"/>
    <d v="1899-12-30T09:34:00"/>
    <d v="1899-12-30T09:54:00"/>
    <n v="11"/>
    <n v="16"/>
    <x v="2"/>
    <n v="24.8"/>
    <n v="83"/>
    <n v="16"/>
    <n v="13.4"/>
    <x v="4"/>
    <n v="10000"/>
    <n v="62"/>
    <x v="0"/>
    <x v="1"/>
    <x v="2"/>
    <x v="3"/>
    <x v="1"/>
    <x v="1"/>
  </r>
  <r>
    <s v="T00883"/>
    <d v="2023-01-10T00:00:00"/>
    <d v="1899-12-30T09:45:00"/>
    <x v="1"/>
    <x v="2"/>
    <s v="Station_1"/>
    <s v="Station_45"/>
    <d v="1899-12-30T09:45:00"/>
    <d v="1899-12-30T10:10:00"/>
    <n v="3"/>
    <n v="3"/>
    <x v="1"/>
    <n v="25.4"/>
    <n v="41"/>
    <n v="26"/>
    <n v="5.2"/>
    <x v="5"/>
    <n v="0"/>
    <n v="97"/>
    <x v="0"/>
    <x v="1"/>
    <x v="2"/>
    <x v="0"/>
    <x v="0"/>
    <x v="0"/>
  </r>
  <r>
    <s v="T00884"/>
    <d v="2023-01-10T00:00:00"/>
    <d v="1899-12-30T10:00:00"/>
    <x v="1"/>
    <x v="13"/>
    <s v="Station_3"/>
    <s v="Station_46"/>
    <d v="1899-12-30T10:01:00"/>
    <d v="1899-12-30T10:50:00"/>
    <n v="3"/>
    <n v="2"/>
    <x v="5"/>
    <n v="21"/>
    <n v="37"/>
    <n v="2"/>
    <n v="14.5"/>
    <x v="0"/>
    <n v="0"/>
    <n v="22"/>
    <x v="0"/>
    <x v="0"/>
    <x v="2"/>
    <x v="1"/>
    <x v="0"/>
    <x v="2"/>
  </r>
  <r>
    <s v="T00885"/>
    <d v="2023-01-10T00:00:00"/>
    <d v="1899-12-30T10:15:00"/>
    <x v="2"/>
    <x v="14"/>
    <s v="Station_14"/>
    <s v="Station_8"/>
    <d v="1899-12-30T10:19:00"/>
    <d v="1899-12-30T10:50:00"/>
    <n v="-2"/>
    <n v="21"/>
    <x v="2"/>
    <n v="10.8"/>
    <n v="45"/>
    <n v="59"/>
    <n v="0.3"/>
    <x v="0"/>
    <n v="0"/>
    <n v="54"/>
    <x v="0"/>
    <x v="1"/>
    <x v="2"/>
    <x v="2"/>
    <x v="1"/>
    <x v="1"/>
  </r>
  <r>
    <s v="T00886"/>
    <d v="2023-01-10T00:00:00"/>
    <d v="1899-12-30T10:30:00"/>
    <x v="2"/>
    <x v="15"/>
    <s v="Station_38"/>
    <s v="Station_44"/>
    <d v="1899-12-30T10:34:00"/>
    <d v="1899-12-30T11:20:00"/>
    <n v="11"/>
    <n v="9"/>
    <x v="1"/>
    <n v="19.3"/>
    <n v="81"/>
    <n v="28"/>
    <n v="3"/>
    <x v="0"/>
    <n v="0"/>
    <n v="31"/>
    <x v="0"/>
    <x v="1"/>
    <x v="2"/>
    <x v="2"/>
    <x v="1"/>
    <x v="2"/>
  </r>
  <r>
    <s v="T00887"/>
    <d v="2023-01-10T00:00:00"/>
    <d v="1899-12-30T10:45:00"/>
    <x v="3"/>
    <x v="15"/>
    <s v="Station_50"/>
    <s v="Station_22"/>
    <d v="1899-12-30T10:48:00"/>
    <d v="1899-12-30T11:29:00"/>
    <n v="0"/>
    <n v="18"/>
    <x v="0"/>
    <n v="-3.4"/>
    <n v="55"/>
    <n v="1"/>
    <n v="4.9000000000000004"/>
    <x v="4"/>
    <n v="0"/>
    <n v="83"/>
    <x v="0"/>
    <x v="1"/>
    <x v="2"/>
    <x v="1"/>
    <x v="1"/>
    <x v="0"/>
  </r>
  <r>
    <s v="T00888"/>
    <d v="2023-01-10T00:00:00"/>
    <d v="1899-12-30T11:00:00"/>
    <x v="1"/>
    <x v="9"/>
    <s v="Station_1"/>
    <s v="Station_21"/>
    <d v="1899-12-30T11:00:00"/>
    <d v="1899-12-30T11:52:00"/>
    <n v="7"/>
    <n v="13"/>
    <x v="4"/>
    <n v="25.5"/>
    <n v="37"/>
    <n v="28"/>
    <n v="15.5"/>
    <x v="0"/>
    <n v="0"/>
    <n v="27"/>
    <x v="0"/>
    <x v="1"/>
    <x v="2"/>
    <x v="3"/>
    <x v="1"/>
    <x v="2"/>
  </r>
  <r>
    <s v="T00889"/>
    <d v="2023-01-10T00:00:00"/>
    <d v="1899-12-30T11:15:00"/>
    <x v="2"/>
    <x v="7"/>
    <s v="Station_38"/>
    <s v="Station_26"/>
    <d v="1899-12-30T11:17:00"/>
    <d v="1899-12-30T11:47:00"/>
    <n v="16"/>
    <n v="18"/>
    <x v="2"/>
    <n v="-1"/>
    <n v="74"/>
    <n v="48"/>
    <n v="1.3"/>
    <x v="5"/>
    <n v="0"/>
    <n v="7"/>
    <x v="0"/>
    <x v="1"/>
    <x v="2"/>
    <x v="0"/>
    <x v="1"/>
    <x v="2"/>
  </r>
  <r>
    <s v="T00890"/>
    <d v="2023-01-10T00:00:00"/>
    <d v="1899-12-30T11:30:00"/>
    <x v="0"/>
    <x v="10"/>
    <s v="Station_38"/>
    <s v="Station_40"/>
    <d v="1899-12-30T11:30:00"/>
    <d v="1899-12-30T11:59:00"/>
    <n v="16"/>
    <n v="4"/>
    <x v="0"/>
    <n v="10.9"/>
    <n v="48"/>
    <n v="35"/>
    <n v="3.8"/>
    <x v="4"/>
    <n v="0"/>
    <n v="2"/>
    <x v="0"/>
    <x v="1"/>
    <x v="2"/>
    <x v="3"/>
    <x v="0"/>
    <x v="2"/>
  </r>
  <r>
    <s v="T00891"/>
    <d v="2023-01-10T00:00:00"/>
    <d v="1899-12-30T11:45:00"/>
    <x v="0"/>
    <x v="16"/>
    <s v="Station_21"/>
    <s v="Station_21"/>
    <d v="1899-12-30T11:47:00"/>
    <d v="1899-12-30T12:28:00"/>
    <n v="16"/>
    <n v="14"/>
    <x v="2"/>
    <n v="-0.9"/>
    <n v="46"/>
    <n v="33"/>
    <n v="7.2"/>
    <x v="4"/>
    <n v="10000"/>
    <n v="93"/>
    <x v="0"/>
    <x v="1"/>
    <x v="2"/>
    <x v="3"/>
    <x v="1"/>
    <x v="0"/>
  </r>
  <r>
    <s v="T00892"/>
    <d v="2023-01-10T00:00:00"/>
    <d v="1899-12-30T12:00:00"/>
    <x v="2"/>
    <x v="4"/>
    <s v="Station_48"/>
    <s v="Station_25"/>
    <d v="1899-12-30T12:01:00"/>
    <d v="1899-12-30T12:29:00"/>
    <n v="1"/>
    <n v="20"/>
    <x v="5"/>
    <n v="28.5"/>
    <n v="94"/>
    <n v="36"/>
    <n v="0.2"/>
    <x v="5"/>
    <n v="0"/>
    <n v="88"/>
    <x v="0"/>
    <x v="1"/>
    <x v="2"/>
    <x v="3"/>
    <x v="1"/>
    <x v="0"/>
  </r>
  <r>
    <s v="T00893"/>
    <d v="2023-01-10T00:00:00"/>
    <d v="1899-12-30T12:15:00"/>
    <x v="2"/>
    <x v="16"/>
    <s v="Station_29"/>
    <s v="Station_41"/>
    <d v="1899-12-30T12:16:00"/>
    <d v="1899-12-30T13:05:00"/>
    <n v="17"/>
    <n v="-2"/>
    <x v="1"/>
    <n v="17"/>
    <n v="58"/>
    <n v="41"/>
    <n v="15.2"/>
    <x v="5"/>
    <n v="0"/>
    <n v="52"/>
    <x v="0"/>
    <x v="1"/>
    <x v="2"/>
    <x v="2"/>
    <x v="0"/>
    <x v="1"/>
  </r>
  <r>
    <s v="T00894"/>
    <d v="2023-01-10T00:00:00"/>
    <d v="1899-12-30T12:30:00"/>
    <x v="1"/>
    <x v="18"/>
    <s v="Station_5"/>
    <s v="Station_1"/>
    <d v="1899-12-30T12:34:00"/>
    <d v="1899-12-30T13:02:00"/>
    <n v="16"/>
    <n v="-2"/>
    <x v="2"/>
    <n v="22.6"/>
    <n v="43"/>
    <n v="0"/>
    <n v="11.2"/>
    <x v="0"/>
    <n v="0"/>
    <n v="93"/>
    <x v="0"/>
    <x v="1"/>
    <x v="2"/>
    <x v="0"/>
    <x v="0"/>
    <x v="0"/>
  </r>
  <r>
    <s v="T00895"/>
    <d v="2023-01-10T00:00:00"/>
    <d v="1899-12-30T12:45:00"/>
    <x v="1"/>
    <x v="0"/>
    <s v="Station_49"/>
    <s v="Station_6"/>
    <d v="1899-12-30T12:46:00"/>
    <d v="1899-12-30T13:07:00"/>
    <n v="7"/>
    <n v="23"/>
    <x v="1"/>
    <n v="22.3"/>
    <n v="46"/>
    <n v="59"/>
    <n v="18"/>
    <x v="0"/>
    <n v="0"/>
    <n v="28"/>
    <x v="0"/>
    <x v="0"/>
    <x v="2"/>
    <x v="2"/>
    <x v="1"/>
    <x v="2"/>
  </r>
  <r>
    <s v="T00896"/>
    <d v="2023-01-10T00:00:00"/>
    <d v="1899-12-30T13:00:00"/>
    <x v="3"/>
    <x v="18"/>
    <s v="Station_10"/>
    <s v="Station_23"/>
    <d v="1899-12-30T13:04:00"/>
    <d v="1899-12-30T13:53:00"/>
    <n v="-1"/>
    <n v="10"/>
    <x v="3"/>
    <n v="28.7"/>
    <n v="42"/>
    <n v="25"/>
    <n v="0.6"/>
    <x v="1"/>
    <n v="0"/>
    <n v="93"/>
    <x v="0"/>
    <x v="1"/>
    <x v="2"/>
    <x v="2"/>
    <x v="1"/>
    <x v="0"/>
  </r>
  <r>
    <s v="T00897"/>
    <d v="2023-01-10T00:00:00"/>
    <d v="1899-12-30T13:15:00"/>
    <x v="1"/>
    <x v="10"/>
    <s v="Station_28"/>
    <s v="Station_23"/>
    <d v="1899-12-30T13:15:00"/>
    <d v="1899-12-30T14:02:00"/>
    <n v="1"/>
    <n v="8"/>
    <x v="2"/>
    <n v="0.3"/>
    <n v="92"/>
    <n v="0"/>
    <n v="5.4"/>
    <x v="3"/>
    <n v="0"/>
    <n v="97"/>
    <x v="0"/>
    <x v="0"/>
    <x v="2"/>
    <x v="2"/>
    <x v="1"/>
    <x v="0"/>
  </r>
  <r>
    <s v="T00898"/>
    <d v="2023-01-10T00:00:00"/>
    <d v="1899-12-30T13:30:00"/>
    <x v="0"/>
    <x v="1"/>
    <s v="Station_21"/>
    <s v="Station_43"/>
    <d v="1899-12-30T13:31:00"/>
    <d v="1899-12-30T14:08:00"/>
    <n v="3"/>
    <n v="28"/>
    <x v="5"/>
    <n v="21.4"/>
    <n v="62"/>
    <n v="58"/>
    <n v="14.6"/>
    <x v="4"/>
    <n v="0"/>
    <n v="88"/>
    <x v="0"/>
    <x v="1"/>
    <x v="2"/>
    <x v="0"/>
    <x v="1"/>
    <x v="0"/>
  </r>
  <r>
    <s v="T00899"/>
    <d v="2023-01-10T00:00:00"/>
    <d v="1899-12-30T13:45:00"/>
    <x v="0"/>
    <x v="10"/>
    <s v="Station_50"/>
    <s v="Station_43"/>
    <d v="1899-12-30T13:45:00"/>
    <d v="1899-12-30T14:27:00"/>
    <n v="4"/>
    <n v="24"/>
    <x v="5"/>
    <n v="18"/>
    <n v="58"/>
    <n v="57"/>
    <n v="13.5"/>
    <x v="0"/>
    <n v="0"/>
    <n v="80"/>
    <x v="0"/>
    <x v="1"/>
    <x v="2"/>
    <x v="1"/>
    <x v="1"/>
    <x v="0"/>
  </r>
  <r>
    <s v="T00900"/>
    <d v="2023-01-10T00:00:00"/>
    <d v="1899-12-30T14:00:00"/>
    <x v="2"/>
    <x v="13"/>
    <s v="Station_7"/>
    <s v="Station_23"/>
    <d v="1899-12-30T14:00:00"/>
    <d v="1899-12-30T14:51:00"/>
    <n v="13"/>
    <n v="24"/>
    <x v="0"/>
    <n v="-3.8"/>
    <n v="66"/>
    <n v="3"/>
    <n v="4.9000000000000004"/>
    <x v="4"/>
    <n v="0"/>
    <n v="58"/>
    <x v="0"/>
    <x v="0"/>
    <x v="2"/>
    <x v="2"/>
    <x v="1"/>
    <x v="1"/>
  </r>
  <r>
    <s v="T00901"/>
    <d v="2023-01-10T00:00:00"/>
    <d v="1899-12-30T14:15:00"/>
    <x v="1"/>
    <x v="14"/>
    <s v="Station_3"/>
    <s v="Station_32"/>
    <d v="1899-12-30T14:16:00"/>
    <d v="1899-12-30T14:47:00"/>
    <n v="4"/>
    <n v="21"/>
    <x v="5"/>
    <n v="3.1"/>
    <n v="75"/>
    <n v="38"/>
    <n v="11.9"/>
    <x v="0"/>
    <n v="10000"/>
    <n v="23"/>
    <x v="1"/>
    <x v="1"/>
    <x v="2"/>
    <x v="2"/>
    <x v="1"/>
    <x v="2"/>
  </r>
  <r>
    <s v="T00902"/>
    <d v="2023-01-10T00:00:00"/>
    <d v="1899-12-30T14:30:00"/>
    <x v="3"/>
    <x v="8"/>
    <s v="Station_45"/>
    <s v="Station_30"/>
    <d v="1899-12-30T14:30:00"/>
    <d v="1899-12-30T15:22:00"/>
    <n v="15"/>
    <n v="0"/>
    <x v="1"/>
    <n v="5.7"/>
    <n v="53"/>
    <n v="13"/>
    <n v="15.9"/>
    <x v="3"/>
    <n v="0"/>
    <n v="37"/>
    <x v="0"/>
    <x v="1"/>
    <x v="2"/>
    <x v="2"/>
    <x v="0"/>
    <x v="1"/>
  </r>
  <r>
    <s v="T00903"/>
    <d v="2023-01-10T00:00:00"/>
    <d v="1899-12-30T14:45:00"/>
    <x v="0"/>
    <x v="7"/>
    <s v="Station_47"/>
    <s v="Station_13"/>
    <d v="1899-12-30T14:46:00"/>
    <d v="1899-12-30T15:38:00"/>
    <n v="17"/>
    <n v="22"/>
    <x v="3"/>
    <n v="-2.1"/>
    <n v="43"/>
    <n v="45"/>
    <n v="0.7"/>
    <x v="0"/>
    <n v="0"/>
    <n v="27"/>
    <x v="0"/>
    <x v="1"/>
    <x v="2"/>
    <x v="0"/>
    <x v="1"/>
    <x v="2"/>
  </r>
  <r>
    <s v="T00904"/>
    <d v="2023-01-10T00:00:00"/>
    <d v="1899-12-30T15:00:00"/>
    <x v="0"/>
    <x v="17"/>
    <s v="Station_20"/>
    <s v="Station_43"/>
    <d v="1899-12-30T15:01:00"/>
    <d v="1899-12-30T15:52:00"/>
    <n v="19"/>
    <n v="-1"/>
    <x v="5"/>
    <n v="9.1999999999999993"/>
    <n v="34"/>
    <n v="17"/>
    <n v="14.4"/>
    <x v="5"/>
    <n v="0"/>
    <n v="96"/>
    <x v="0"/>
    <x v="0"/>
    <x v="2"/>
    <x v="0"/>
    <x v="0"/>
    <x v="0"/>
  </r>
  <r>
    <s v="T00905"/>
    <d v="2023-01-10T00:00:00"/>
    <d v="1899-12-30T15:15:00"/>
    <x v="3"/>
    <x v="16"/>
    <s v="Station_19"/>
    <s v="Station_18"/>
    <d v="1899-12-30T15:16:00"/>
    <d v="1899-12-30T15:39:00"/>
    <n v="16"/>
    <n v="-3"/>
    <x v="2"/>
    <n v="-3.9"/>
    <n v="82"/>
    <n v="33"/>
    <n v="5"/>
    <x v="0"/>
    <n v="0"/>
    <n v="61"/>
    <x v="0"/>
    <x v="1"/>
    <x v="2"/>
    <x v="3"/>
    <x v="0"/>
    <x v="1"/>
  </r>
  <r>
    <s v="T00906"/>
    <d v="2023-01-10T00:00:00"/>
    <d v="1899-12-30T15:30:00"/>
    <x v="3"/>
    <x v="3"/>
    <s v="Station_35"/>
    <s v="Station_23"/>
    <d v="1899-12-30T15:32:00"/>
    <d v="1899-12-30T15:52:00"/>
    <n v="6"/>
    <n v="13"/>
    <x v="5"/>
    <n v="17.100000000000001"/>
    <n v="59"/>
    <n v="0"/>
    <n v="19"/>
    <x v="5"/>
    <n v="0"/>
    <n v="99"/>
    <x v="0"/>
    <x v="1"/>
    <x v="2"/>
    <x v="2"/>
    <x v="1"/>
    <x v="0"/>
  </r>
  <r>
    <s v="T00907"/>
    <d v="2023-01-10T00:00:00"/>
    <d v="1899-12-30T15:45:00"/>
    <x v="0"/>
    <x v="3"/>
    <s v="Station_4"/>
    <s v="Station_15"/>
    <d v="1899-12-30T15:45:00"/>
    <d v="1899-12-30T16:11:00"/>
    <n v="17"/>
    <n v="3"/>
    <x v="3"/>
    <n v="3.5"/>
    <n v="89"/>
    <n v="52"/>
    <n v="10.8"/>
    <x v="0"/>
    <n v="0"/>
    <n v="50"/>
    <x v="0"/>
    <x v="1"/>
    <x v="2"/>
    <x v="2"/>
    <x v="0"/>
    <x v="1"/>
  </r>
  <r>
    <s v="T00908"/>
    <d v="2023-01-10T00:00:00"/>
    <d v="1899-12-30T16:00:00"/>
    <x v="0"/>
    <x v="6"/>
    <s v="Station_5"/>
    <s v="Station_33"/>
    <d v="1899-12-30T16:03:00"/>
    <d v="1899-12-30T16:43:00"/>
    <n v="7"/>
    <n v="1"/>
    <x v="1"/>
    <n v="6.5"/>
    <n v="57"/>
    <n v="21"/>
    <n v="0.7"/>
    <x v="1"/>
    <n v="0"/>
    <n v="6"/>
    <x v="0"/>
    <x v="0"/>
    <x v="2"/>
    <x v="0"/>
    <x v="0"/>
    <x v="2"/>
  </r>
  <r>
    <s v="T00909"/>
    <d v="2023-01-10T00:00:00"/>
    <d v="1899-12-30T16:15:00"/>
    <x v="3"/>
    <x v="3"/>
    <s v="Station_1"/>
    <s v="Station_21"/>
    <d v="1899-12-30T16:16:00"/>
    <d v="1899-12-30T16:56:00"/>
    <n v="10"/>
    <n v="15"/>
    <x v="2"/>
    <n v="31.4"/>
    <n v="55"/>
    <n v="15"/>
    <n v="8.1"/>
    <x v="3"/>
    <n v="0"/>
    <n v="22"/>
    <x v="1"/>
    <x v="1"/>
    <x v="2"/>
    <x v="0"/>
    <x v="1"/>
    <x v="2"/>
  </r>
  <r>
    <s v="T00910"/>
    <d v="2023-01-10T00:00:00"/>
    <d v="1899-12-30T16:30:00"/>
    <x v="0"/>
    <x v="16"/>
    <s v="Station_4"/>
    <s v="Station_39"/>
    <d v="1899-12-30T16:30:00"/>
    <d v="1899-12-30T17:12:00"/>
    <n v="15"/>
    <n v="12"/>
    <x v="0"/>
    <n v="15.1"/>
    <n v="47"/>
    <n v="21"/>
    <n v="19.3"/>
    <x v="4"/>
    <n v="0"/>
    <n v="45"/>
    <x v="0"/>
    <x v="1"/>
    <x v="2"/>
    <x v="2"/>
    <x v="1"/>
    <x v="1"/>
  </r>
  <r>
    <s v="T00911"/>
    <d v="2023-01-10T00:00:00"/>
    <d v="1899-12-30T16:45:00"/>
    <x v="2"/>
    <x v="11"/>
    <s v="Station_12"/>
    <s v="Station_23"/>
    <d v="1899-12-30T16:49:00"/>
    <d v="1899-12-30T17:34:00"/>
    <n v="13"/>
    <n v="23"/>
    <x v="0"/>
    <n v="5.8"/>
    <n v="65"/>
    <n v="49"/>
    <n v="14.6"/>
    <x v="4"/>
    <n v="0"/>
    <n v="89"/>
    <x v="0"/>
    <x v="1"/>
    <x v="2"/>
    <x v="1"/>
    <x v="1"/>
    <x v="0"/>
  </r>
  <r>
    <s v="T00912"/>
    <d v="2023-01-10T00:00:00"/>
    <d v="1899-12-30T17:00:00"/>
    <x v="2"/>
    <x v="16"/>
    <s v="Station_27"/>
    <s v="Station_27"/>
    <d v="1899-12-30T17:01:00"/>
    <d v="1899-12-30T17:37:00"/>
    <n v="19"/>
    <n v="21"/>
    <x v="0"/>
    <n v="18.899999999999999"/>
    <n v="37"/>
    <n v="15"/>
    <n v="6"/>
    <x v="0"/>
    <n v="500"/>
    <n v="77"/>
    <x v="0"/>
    <x v="0"/>
    <x v="2"/>
    <x v="3"/>
    <x v="1"/>
    <x v="0"/>
  </r>
  <r>
    <s v="T00913"/>
    <d v="2023-01-10T00:00:00"/>
    <d v="1899-12-30T17:15:00"/>
    <x v="3"/>
    <x v="17"/>
    <s v="Station_42"/>
    <s v="Station_45"/>
    <d v="1899-12-30T17:16:00"/>
    <d v="1899-12-30T18:06:00"/>
    <n v="14"/>
    <n v="22"/>
    <x v="2"/>
    <n v="3.1"/>
    <n v="47"/>
    <n v="27"/>
    <n v="11.5"/>
    <x v="0"/>
    <n v="50000"/>
    <n v="27"/>
    <x v="0"/>
    <x v="1"/>
    <x v="2"/>
    <x v="3"/>
    <x v="1"/>
    <x v="2"/>
  </r>
  <r>
    <s v="T00914"/>
    <d v="2023-01-10T00:00:00"/>
    <d v="1899-12-30T17:30:00"/>
    <x v="1"/>
    <x v="8"/>
    <s v="Station_23"/>
    <s v="Station_44"/>
    <d v="1899-12-30T17:33:00"/>
    <d v="1899-12-30T17:56:00"/>
    <n v="19"/>
    <n v="10"/>
    <x v="0"/>
    <n v="-2"/>
    <n v="87"/>
    <n v="27"/>
    <n v="12"/>
    <x v="5"/>
    <n v="500"/>
    <n v="23"/>
    <x v="0"/>
    <x v="1"/>
    <x v="2"/>
    <x v="2"/>
    <x v="1"/>
    <x v="2"/>
  </r>
  <r>
    <s v="T00915"/>
    <d v="2023-01-10T00:00:00"/>
    <d v="1899-12-30T17:45:00"/>
    <x v="3"/>
    <x v="0"/>
    <s v="Station_25"/>
    <s v="Station_18"/>
    <d v="1899-12-30T17:47:00"/>
    <d v="1899-12-30T18:37:00"/>
    <n v="10"/>
    <n v="10"/>
    <x v="5"/>
    <n v="-4.2"/>
    <n v="61"/>
    <n v="54"/>
    <n v="0.5"/>
    <x v="0"/>
    <n v="0"/>
    <n v="6"/>
    <x v="0"/>
    <x v="0"/>
    <x v="2"/>
    <x v="3"/>
    <x v="1"/>
    <x v="2"/>
  </r>
  <r>
    <s v="T00916"/>
    <d v="2023-01-10T00:00:00"/>
    <d v="1899-12-30T18:00:00"/>
    <x v="3"/>
    <x v="9"/>
    <s v="Station_21"/>
    <s v="Station_24"/>
    <d v="1899-12-30T18:02:00"/>
    <d v="1899-12-30T18:24:00"/>
    <n v="9"/>
    <n v="10"/>
    <x v="2"/>
    <n v="33.1"/>
    <n v="78"/>
    <n v="21"/>
    <n v="3.6"/>
    <x v="1"/>
    <n v="500"/>
    <n v="99"/>
    <x v="0"/>
    <x v="1"/>
    <x v="2"/>
    <x v="3"/>
    <x v="1"/>
    <x v="0"/>
  </r>
  <r>
    <s v="T00917"/>
    <d v="2023-01-10T00:00:00"/>
    <d v="1899-12-30T18:15:00"/>
    <x v="1"/>
    <x v="3"/>
    <s v="Station_24"/>
    <s v="Station_47"/>
    <d v="1899-12-30T18:16:00"/>
    <d v="1899-12-30T19:02:00"/>
    <n v="7"/>
    <n v="21"/>
    <x v="2"/>
    <n v="24"/>
    <n v="77"/>
    <n v="55"/>
    <n v="11"/>
    <x v="4"/>
    <n v="0"/>
    <n v="78"/>
    <x v="1"/>
    <x v="1"/>
    <x v="2"/>
    <x v="2"/>
    <x v="1"/>
    <x v="0"/>
  </r>
  <r>
    <s v="T00918"/>
    <d v="2023-01-10T00:00:00"/>
    <d v="1899-12-30T18:30:00"/>
    <x v="1"/>
    <x v="9"/>
    <s v="Station_25"/>
    <s v="Station_40"/>
    <d v="1899-12-30T18:30:00"/>
    <d v="1899-12-30T18:57:00"/>
    <n v="-2"/>
    <n v="0"/>
    <x v="2"/>
    <n v="27"/>
    <n v="94"/>
    <n v="5"/>
    <n v="8.1"/>
    <x v="0"/>
    <n v="10000"/>
    <n v="48"/>
    <x v="0"/>
    <x v="0"/>
    <x v="2"/>
    <x v="3"/>
    <x v="0"/>
    <x v="1"/>
  </r>
  <r>
    <s v="T00919"/>
    <d v="2023-01-10T00:00:00"/>
    <d v="1899-12-30T18:45:00"/>
    <x v="1"/>
    <x v="15"/>
    <s v="Station_45"/>
    <s v="Station_42"/>
    <d v="1899-12-30T18:49:00"/>
    <d v="1899-12-30T19:19:00"/>
    <n v="5"/>
    <n v="11"/>
    <x v="4"/>
    <n v="34.200000000000003"/>
    <n v="62"/>
    <n v="24"/>
    <n v="3.8"/>
    <x v="0"/>
    <n v="500"/>
    <n v="2"/>
    <x v="0"/>
    <x v="0"/>
    <x v="2"/>
    <x v="0"/>
    <x v="1"/>
    <x v="2"/>
  </r>
  <r>
    <s v="T00920"/>
    <d v="2023-01-10T00:00:00"/>
    <d v="1899-12-30T19:00:00"/>
    <x v="2"/>
    <x v="9"/>
    <s v="Station_46"/>
    <s v="Station_7"/>
    <d v="1899-12-30T19:04:00"/>
    <d v="1899-12-30T19:23:00"/>
    <n v="18"/>
    <n v="28"/>
    <x v="1"/>
    <n v="32.299999999999997"/>
    <n v="79"/>
    <n v="41"/>
    <n v="15.5"/>
    <x v="0"/>
    <n v="500"/>
    <n v="1"/>
    <x v="0"/>
    <x v="1"/>
    <x v="2"/>
    <x v="2"/>
    <x v="1"/>
    <x v="2"/>
  </r>
  <r>
    <s v="T00921"/>
    <d v="2023-01-10T00:00:00"/>
    <d v="1899-12-30T19:15:00"/>
    <x v="0"/>
    <x v="13"/>
    <s v="Station_32"/>
    <s v="Station_50"/>
    <d v="1899-12-30T19:15:00"/>
    <d v="1899-12-30T20:08:00"/>
    <n v="19"/>
    <n v="14"/>
    <x v="4"/>
    <n v="24.5"/>
    <n v="33"/>
    <n v="1"/>
    <n v="9.8000000000000007"/>
    <x v="0"/>
    <n v="0"/>
    <n v="6"/>
    <x v="0"/>
    <x v="1"/>
    <x v="2"/>
    <x v="0"/>
    <x v="1"/>
    <x v="2"/>
  </r>
  <r>
    <s v="T00922"/>
    <d v="2023-01-10T00:00:00"/>
    <d v="1899-12-30T19:30:00"/>
    <x v="2"/>
    <x v="3"/>
    <s v="Station_32"/>
    <s v="Station_48"/>
    <d v="1899-12-30T19:31:00"/>
    <d v="1899-12-30T19:54:00"/>
    <n v="15"/>
    <n v="10"/>
    <x v="4"/>
    <n v="22.8"/>
    <n v="65"/>
    <n v="6"/>
    <n v="6.2"/>
    <x v="5"/>
    <n v="0"/>
    <n v="79"/>
    <x v="0"/>
    <x v="1"/>
    <x v="2"/>
    <x v="2"/>
    <x v="1"/>
    <x v="0"/>
  </r>
  <r>
    <s v="T00923"/>
    <d v="2023-01-10T00:00:00"/>
    <d v="1899-12-30T19:45:00"/>
    <x v="0"/>
    <x v="12"/>
    <s v="Station_5"/>
    <s v="Station_20"/>
    <d v="1899-12-30T19:49:00"/>
    <d v="1899-12-30T20:37:00"/>
    <n v="-1"/>
    <n v="-3"/>
    <x v="4"/>
    <n v="8.5"/>
    <n v="57"/>
    <n v="52"/>
    <n v="3.2"/>
    <x v="1"/>
    <n v="0"/>
    <n v="20"/>
    <x v="0"/>
    <x v="0"/>
    <x v="2"/>
    <x v="0"/>
    <x v="0"/>
    <x v="2"/>
  </r>
  <r>
    <s v="T00924"/>
    <d v="2023-01-10T00:00:00"/>
    <d v="1899-12-30T20:00:00"/>
    <x v="2"/>
    <x v="2"/>
    <s v="Station_36"/>
    <s v="Station_27"/>
    <d v="1899-12-30T20:02:00"/>
    <d v="1899-12-30T20:24:00"/>
    <n v="13"/>
    <n v="16"/>
    <x v="1"/>
    <n v="-0.8"/>
    <n v="32"/>
    <n v="16"/>
    <n v="12.2"/>
    <x v="0"/>
    <n v="0"/>
    <n v="8"/>
    <x v="0"/>
    <x v="0"/>
    <x v="2"/>
    <x v="3"/>
    <x v="1"/>
    <x v="2"/>
  </r>
  <r>
    <s v="T00925"/>
    <d v="2023-01-10T00:00:00"/>
    <d v="1899-12-30T20:15:00"/>
    <x v="0"/>
    <x v="2"/>
    <s v="Station_46"/>
    <s v="Station_6"/>
    <d v="1899-12-30T20:15:00"/>
    <d v="1899-12-30T21:12:00"/>
    <n v="9"/>
    <n v="6"/>
    <x v="4"/>
    <n v="17.899999999999999"/>
    <n v="35"/>
    <n v="34"/>
    <n v="13.3"/>
    <x v="0"/>
    <n v="0"/>
    <n v="11"/>
    <x v="0"/>
    <x v="1"/>
    <x v="2"/>
    <x v="1"/>
    <x v="1"/>
    <x v="2"/>
  </r>
  <r>
    <s v="T00926"/>
    <d v="2023-01-10T00:00:00"/>
    <d v="1899-12-30T20:30:00"/>
    <x v="2"/>
    <x v="19"/>
    <s v="Station_42"/>
    <s v="Station_27"/>
    <d v="1899-12-30T20:33:00"/>
    <d v="1899-12-30T21:23:00"/>
    <n v="6"/>
    <n v="6"/>
    <x v="0"/>
    <n v="18.100000000000001"/>
    <n v="74"/>
    <n v="19"/>
    <n v="13.4"/>
    <x v="4"/>
    <n v="0"/>
    <n v="92"/>
    <x v="0"/>
    <x v="1"/>
    <x v="2"/>
    <x v="0"/>
    <x v="1"/>
    <x v="0"/>
  </r>
  <r>
    <s v="T00927"/>
    <d v="2023-01-10T00:00:00"/>
    <d v="1899-12-30T20:45:00"/>
    <x v="1"/>
    <x v="18"/>
    <s v="Station_49"/>
    <s v="Station_9"/>
    <d v="1899-12-30T20:46:00"/>
    <d v="1899-12-30T21:30:00"/>
    <n v="0"/>
    <n v="20"/>
    <x v="2"/>
    <n v="33.1"/>
    <n v="52"/>
    <n v="43"/>
    <n v="4.4000000000000004"/>
    <x v="0"/>
    <n v="0"/>
    <n v="23"/>
    <x v="0"/>
    <x v="0"/>
    <x v="2"/>
    <x v="0"/>
    <x v="1"/>
    <x v="2"/>
  </r>
  <r>
    <s v="T00928"/>
    <d v="2023-01-10T00:00:00"/>
    <d v="1899-12-30T21:00:00"/>
    <x v="3"/>
    <x v="18"/>
    <s v="Station_42"/>
    <s v="Station_45"/>
    <d v="1899-12-30T21:00:00"/>
    <d v="1899-12-30T21:20:00"/>
    <n v="19"/>
    <n v="24"/>
    <x v="2"/>
    <n v="12.7"/>
    <n v="36"/>
    <n v="1"/>
    <n v="11.9"/>
    <x v="0"/>
    <n v="50000"/>
    <n v="32"/>
    <x v="0"/>
    <x v="1"/>
    <x v="2"/>
    <x v="1"/>
    <x v="1"/>
    <x v="2"/>
  </r>
  <r>
    <s v="T00929"/>
    <d v="2023-01-10T00:00:00"/>
    <d v="1899-12-30T21:15:00"/>
    <x v="2"/>
    <x v="12"/>
    <s v="Station_39"/>
    <s v="Station_31"/>
    <d v="1899-12-30T21:19:00"/>
    <d v="1899-12-30T21:38:00"/>
    <n v="18"/>
    <n v="23"/>
    <x v="5"/>
    <n v="22.6"/>
    <n v="90"/>
    <n v="6"/>
    <n v="18.100000000000001"/>
    <x v="0"/>
    <n v="0"/>
    <n v="77"/>
    <x v="0"/>
    <x v="1"/>
    <x v="2"/>
    <x v="1"/>
    <x v="1"/>
    <x v="0"/>
  </r>
  <r>
    <s v="T00930"/>
    <d v="2023-01-10T00:00:00"/>
    <d v="1899-12-30T21:30:00"/>
    <x v="0"/>
    <x v="4"/>
    <s v="Station_16"/>
    <s v="Station_21"/>
    <d v="1899-12-30T21:31:00"/>
    <d v="1899-12-30T22:28:00"/>
    <n v="1"/>
    <n v="-3"/>
    <x v="3"/>
    <n v="18"/>
    <n v="94"/>
    <n v="31"/>
    <n v="7.1"/>
    <x v="5"/>
    <n v="0"/>
    <n v="42"/>
    <x v="0"/>
    <x v="1"/>
    <x v="2"/>
    <x v="0"/>
    <x v="0"/>
    <x v="1"/>
  </r>
  <r>
    <s v="T00931"/>
    <d v="2023-01-10T00:00:00"/>
    <d v="1899-12-30T21:45:00"/>
    <x v="1"/>
    <x v="5"/>
    <s v="Station_33"/>
    <s v="Station_26"/>
    <d v="1899-12-30T21:47:00"/>
    <d v="1899-12-30T22:30:00"/>
    <n v="-1"/>
    <n v="29"/>
    <x v="0"/>
    <n v="2.1"/>
    <n v="35"/>
    <n v="48"/>
    <n v="4.2"/>
    <x v="0"/>
    <n v="10000"/>
    <n v="81"/>
    <x v="0"/>
    <x v="1"/>
    <x v="2"/>
    <x v="0"/>
    <x v="1"/>
    <x v="0"/>
  </r>
  <r>
    <s v="T00932"/>
    <d v="2023-01-10T00:00:00"/>
    <d v="1899-12-30T22:00:00"/>
    <x v="2"/>
    <x v="6"/>
    <s v="Station_49"/>
    <s v="Station_40"/>
    <d v="1899-12-30T22:01:00"/>
    <d v="1899-12-30T22:52:00"/>
    <n v="5"/>
    <n v="0"/>
    <x v="1"/>
    <n v="18.7"/>
    <n v="53"/>
    <n v="18"/>
    <n v="15.4"/>
    <x v="0"/>
    <n v="50000"/>
    <n v="4"/>
    <x v="0"/>
    <x v="0"/>
    <x v="2"/>
    <x v="0"/>
    <x v="0"/>
    <x v="2"/>
  </r>
  <r>
    <s v="T00933"/>
    <d v="2023-01-10T00:00:00"/>
    <d v="1899-12-30T22:15:00"/>
    <x v="2"/>
    <x v="12"/>
    <s v="Station_21"/>
    <s v="Station_48"/>
    <d v="1899-12-30T22:16:00"/>
    <d v="1899-12-30T23:07:00"/>
    <n v="7"/>
    <n v="3"/>
    <x v="3"/>
    <n v="16.600000000000001"/>
    <n v="66"/>
    <n v="11"/>
    <n v="3.5"/>
    <x v="3"/>
    <n v="0"/>
    <n v="78"/>
    <x v="0"/>
    <x v="0"/>
    <x v="2"/>
    <x v="2"/>
    <x v="0"/>
    <x v="0"/>
  </r>
  <r>
    <s v="T00934"/>
    <d v="2023-01-10T00:00:00"/>
    <d v="1899-12-30T22:30:00"/>
    <x v="1"/>
    <x v="14"/>
    <s v="Station_9"/>
    <s v="Station_45"/>
    <d v="1899-12-30T22:32:00"/>
    <d v="1899-12-30T22:57:00"/>
    <n v="13"/>
    <n v="5"/>
    <x v="2"/>
    <n v="14.8"/>
    <n v="74"/>
    <n v="8"/>
    <n v="5.0999999999999996"/>
    <x v="0"/>
    <n v="0"/>
    <n v="70"/>
    <x v="0"/>
    <x v="1"/>
    <x v="2"/>
    <x v="0"/>
    <x v="0"/>
    <x v="0"/>
  </r>
  <r>
    <s v="T00935"/>
    <d v="2023-01-10T00:00:00"/>
    <d v="1899-12-30T22:45:00"/>
    <x v="2"/>
    <x v="14"/>
    <s v="Station_6"/>
    <s v="Station_13"/>
    <d v="1899-12-30T22:47:00"/>
    <d v="1899-12-30T23:24:00"/>
    <n v="8"/>
    <n v="12"/>
    <x v="4"/>
    <n v="15.5"/>
    <n v="80"/>
    <n v="26"/>
    <n v="2"/>
    <x v="5"/>
    <n v="0"/>
    <n v="88"/>
    <x v="0"/>
    <x v="1"/>
    <x v="2"/>
    <x v="0"/>
    <x v="1"/>
    <x v="0"/>
  </r>
  <r>
    <s v="T00936"/>
    <d v="2023-01-10T00:00:00"/>
    <d v="1899-12-30T23:00:00"/>
    <x v="3"/>
    <x v="18"/>
    <s v="Station_45"/>
    <s v="Station_49"/>
    <d v="1899-12-30T23:01:00"/>
    <d v="1899-12-30T23:35:00"/>
    <n v="15"/>
    <n v="1"/>
    <x v="5"/>
    <n v="1.6"/>
    <n v="74"/>
    <n v="13"/>
    <n v="5.4"/>
    <x v="0"/>
    <n v="0"/>
    <n v="13"/>
    <x v="0"/>
    <x v="1"/>
    <x v="2"/>
    <x v="1"/>
    <x v="0"/>
    <x v="2"/>
  </r>
  <r>
    <s v="T00937"/>
    <d v="2023-01-10T00:00:00"/>
    <d v="1899-12-30T23:15:00"/>
    <x v="2"/>
    <x v="7"/>
    <s v="Station_35"/>
    <s v="Station_23"/>
    <d v="1899-12-30T23:17:00"/>
    <d v="1899-12-30T23:55:00"/>
    <n v="19"/>
    <n v="19"/>
    <x v="5"/>
    <n v="13.5"/>
    <n v="92"/>
    <n v="1"/>
    <n v="8.1999999999999993"/>
    <x v="0"/>
    <n v="10000"/>
    <n v="35"/>
    <x v="0"/>
    <x v="0"/>
    <x v="2"/>
    <x v="1"/>
    <x v="1"/>
    <x v="1"/>
  </r>
  <r>
    <s v="T00938"/>
    <d v="2023-01-10T00:00:00"/>
    <d v="1899-12-30T23:30:00"/>
    <x v="3"/>
    <x v="12"/>
    <s v="Station_39"/>
    <s v="Station_20"/>
    <d v="1899-12-30T23:30:00"/>
    <d v="1899-12-30T00:15:00"/>
    <n v="11"/>
    <n v="21"/>
    <x v="2"/>
    <n v="19.2"/>
    <n v="58"/>
    <n v="20"/>
    <n v="1.3"/>
    <x v="0"/>
    <n v="2000"/>
    <n v="34"/>
    <x v="0"/>
    <x v="1"/>
    <x v="2"/>
    <x v="2"/>
    <x v="1"/>
    <x v="1"/>
  </r>
  <r>
    <s v="T00939"/>
    <d v="2023-01-10T00:00:00"/>
    <d v="1899-12-30T23:45:00"/>
    <x v="3"/>
    <x v="8"/>
    <s v="Station_22"/>
    <s v="Station_37"/>
    <d v="1899-12-30T23:47:00"/>
    <d v="1899-12-30T00:27:00"/>
    <n v="5"/>
    <n v="9"/>
    <x v="0"/>
    <n v="14.6"/>
    <n v="54"/>
    <n v="3"/>
    <n v="17.399999999999999"/>
    <x v="0"/>
    <n v="0"/>
    <n v="49"/>
    <x v="0"/>
    <x v="1"/>
    <x v="2"/>
    <x v="2"/>
    <x v="1"/>
    <x v="1"/>
  </r>
  <r>
    <s v="T00940"/>
    <d v="2023-01-11T00:00:00"/>
    <d v="1899-12-30T00:00:00"/>
    <x v="1"/>
    <x v="6"/>
    <s v="Station_41"/>
    <s v="Station_28"/>
    <d v="1899-12-30T00:02:00"/>
    <d v="1899-12-30T00:37:00"/>
    <n v="12"/>
    <n v="20"/>
    <x v="3"/>
    <n v="14.5"/>
    <n v="39"/>
    <n v="59"/>
    <n v="10.3"/>
    <x v="0"/>
    <n v="10000"/>
    <n v="87"/>
    <x v="0"/>
    <x v="1"/>
    <x v="3"/>
    <x v="3"/>
    <x v="1"/>
    <x v="0"/>
  </r>
  <r>
    <s v="T00941"/>
    <d v="2023-01-11T00:00:00"/>
    <d v="1899-12-30T00:15:00"/>
    <x v="2"/>
    <x v="14"/>
    <s v="Station_5"/>
    <s v="Station_17"/>
    <d v="1899-12-30T00:16:00"/>
    <d v="1899-12-30T01:05:00"/>
    <n v="14"/>
    <n v="7"/>
    <x v="5"/>
    <n v="-1.9"/>
    <n v="64"/>
    <n v="50"/>
    <n v="11.8"/>
    <x v="0"/>
    <n v="500"/>
    <n v="78"/>
    <x v="0"/>
    <x v="1"/>
    <x v="3"/>
    <x v="0"/>
    <x v="1"/>
    <x v="0"/>
  </r>
  <r>
    <s v="T00942"/>
    <d v="2023-01-11T00:00:00"/>
    <d v="1899-12-30T00:30:00"/>
    <x v="1"/>
    <x v="15"/>
    <s v="Station_42"/>
    <s v="Station_28"/>
    <d v="1899-12-30T00:30:00"/>
    <d v="1899-12-30T01:01:00"/>
    <n v="18"/>
    <n v="13"/>
    <x v="2"/>
    <n v="2.6"/>
    <n v="84"/>
    <n v="20"/>
    <n v="7.4"/>
    <x v="0"/>
    <n v="50000"/>
    <n v="10"/>
    <x v="0"/>
    <x v="1"/>
    <x v="3"/>
    <x v="0"/>
    <x v="1"/>
    <x v="2"/>
  </r>
  <r>
    <s v="T00943"/>
    <d v="2023-01-11T00:00:00"/>
    <d v="1899-12-30T00:45:00"/>
    <x v="2"/>
    <x v="12"/>
    <s v="Station_23"/>
    <s v="Station_41"/>
    <d v="1899-12-30T00:48:00"/>
    <d v="1899-12-30T01:05:00"/>
    <n v="15"/>
    <n v="9"/>
    <x v="0"/>
    <n v="7.8"/>
    <n v="54"/>
    <n v="47"/>
    <n v="13.4"/>
    <x v="0"/>
    <n v="50000"/>
    <n v="23"/>
    <x v="0"/>
    <x v="0"/>
    <x v="3"/>
    <x v="1"/>
    <x v="1"/>
    <x v="2"/>
  </r>
  <r>
    <s v="T00944"/>
    <d v="2023-01-11T00:00:00"/>
    <d v="1899-12-30T01:00:00"/>
    <x v="2"/>
    <x v="13"/>
    <s v="Station_17"/>
    <s v="Station_2"/>
    <d v="1899-12-30T01:03:00"/>
    <d v="1899-12-30T01:28:00"/>
    <n v="3"/>
    <n v="23"/>
    <x v="2"/>
    <n v="11.8"/>
    <n v="74"/>
    <n v="21"/>
    <n v="8.6"/>
    <x v="4"/>
    <n v="0"/>
    <n v="74"/>
    <x v="0"/>
    <x v="1"/>
    <x v="3"/>
    <x v="3"/>
    <x v="1"/>
    <x v="0"/>
  </r>
  <r>
    <s v="T00945"/>
    <d v="2023-01-11T00:00:00"/>
    <d v="1899-12-30T01:15:00"/>
    <x v="0"/>
    <x v="12"/>
    <s v="Station_12"/>
    <s v="Station_25"/>
    <d v="1899-12-30T01:19:00"/>
    <d v="1899-12-30T01:37:00"/>
    <n v="11"/>
    <n v="16"/>
    <x v="2"/>
    <n v="18.8"/>
    <n v="41"/>
    <n v="48"/>
    <n v="15.2"/>
    <x v="2"/>
    <n v="0"/>
    <n v="43"/>
    <x v="0"/>
    <x v="1"/>
    <x v="3"/>
    <x v="0"/>
    <x v="1"/>
    <x v="1"/>
  </r>
  <r>
    <s v="T00946"/>
    <d v="2023-01-11T00:00:00"/>
    <d v="1899-12-30T01:30:00"/>
    <x v="2"/>
    <x v="6"/>
    <s v="Station_23"/>
    <s v="Station_50"/>
    <d v="1899-12-30T01:32:00"/>
    <d v="1899-12-30T02:15:00"/>
    <n v="0"/>
    <n v="29"/>
    <x v="0"/>
    <n v="29.5"/>
    <n v="33"/>
    <n v="1"/>
    <n v="16.399999999999999"/>
    <x v="5"/>
    <n v="0"/>
    <n v="50"/>
    <x v="0"/>
    <x v="1"/>
    <x v="3"/>
    <x v="3"/>
    <x v="1"/>
    <x v="1"/>
  </r>
  <r>
    <s v="T00947"/>
    <d v="2023-01-11T00:00:00"/>
    <d v="1899-12-30T01:45:00"/>
    <x v="1"/>
    <x v="6"/>
    <s v="Station_16"/>
    <s v="Station_41"/>
    <d v="1899-12-30T01:47:00"/>
    <d v="1899-12-30T02:13:00"/>
    <n v="4"/>
    <n v="28"/>
    <x v="0"/>
    <n v="1.4"/>
    <n v="96"/>
    <n v="16"/>
    <n v="13.4"/>
    <x v="0"/>
    <n v="50000"/>
    <n v="16"/>
    <x v="0"/>
    <x v="1"/>
    <x v="3"/>
    <x v="2"/>
    <x v="1"/>
    <x v="2"/>
  </r>
  <r>
    <s v="T00948"/>
    <d v="2023-01-11T00:00:00"/>
    <d v="1899-12-30T02:00:00"/>
    <x v="3"/>
    <x v="16"/>
    <s v="Station_3"/>
    <s v="Station_6"/>
    <d v="1899-12-30T02:00:00"/>
    <d v="1899-12-30T02:35:00"/>
    <n v="12"/>
    <n v="4"/>
    <x v="0"/>
    <n v="-4.4000000000000004"/>
    <n v="46"/>
    <n v="18"/>
    <n v="9.8000000000000007"/>
    <x v="5"/>
    <n v="50000"/>
    <n v="69"/>
    <x v="0"/>
    <x v="1"/>
    <x v="3"/>
    <x v="0"/>
    <x v="0"/>
    <x v="0"/>
  </r>
  <r>
    <s v="T00949"/>
    <d v="2023-01-11T00:00:00"/>
    <d v="1899-12-30T02:15:00"/>
    <x v="2"/>
    <x v="7"/>
    <s v="Station_30"/>
    <s v="Station_11"/>
    <d v="1899-12-30T02:18:00"/>
    <d v="1899-12-30T02:58:00"/>
    <n v="18"/>
    <n v="25"/>
    <x v="2"/>
    <n v="13"/>
    <n v="94"/>
    <n v="39"/>
    <n v="15.6"/>
    <x v="0"/>
    <n v="0"/>
    <n v="84"/>
    <x v="1"/>
    <x v="1"/>
    <x v="3"/>
    <x v="0"/>
    <x v="1"/>
    <x v="0"/>
  </r>
  <r>
    <s v="T00950"/>
    <d v="2023-01-11T00:00:00"/>
    <d v="1899-12-30T02:30:00"/>
    <x v="0"/>
    <x v="0"/>
    <s v="Station_22"/>
    <s v="Station_38"/>
    <d v="1899-12-30T02:34:00"/>
    <d v="1899-12-30T03:03:00"/>
    <n v="13"/>
    <n v="15"/>
    <x v="5"/>
    <n v="12.3"/>
    <n v="82"/>
    <n v="23"/>
    <n v="9.9"/>
    <x v="0"/>
    <n v="0"/>
    <n v="7"/>
    <x v="0"/>
    <x v="0"/>
    <x v="3"/>
    <x v="2"/>
    <x v="1"/>
    <x v="2"/>
  </r>
  <r>
    <s v="T00951"/>
    <d v="2023-01-11T00:00:00"/>
    <d v="1899-12-30T02:45:00"/>
    <x v="1"/>
    <x v="11"/>
    <s v="Station_9"/>
    <s v="Station_6"/>
    <d v="1899-12-30T02:45:00"/>
    <d v="1899-12-30T03:07:00"/>
    <n v="13"/>
    <n v="2"/>
    <x v="1"/>
    <n v="17.100000000000001"/>
    <n v="86"/>
    <n v="19"/>
    <n v="2.2000000000000002"/>
    <x v="0"/>
    <n v="0"/>
    <n v="78"/>
    <x v="0"/>
    <x v="1"/>
    <x v="3"/>
    <x v="0"/>
    <x v="0"/>
    <x v="0"/>
  </r>
  <r>
    <s v="T00952"/>
    <d v="2023-01-11T00:00:00"/>
    <d v="1899-12-30T03:00:00"/>
    <x v="2"/>
    <x v="12"/>
    <s v="Station_29"/>
    <s v="Station_45"/>
    <d v="1899-12-30T03:02:00"/>
    <d v="1899-12-30T03:53:00"/>
    <n v="5"/>
    <n v="17"/>
    <x v="1"/>
    <n v="28.3"/>
    <n v="57"/>
    <n v="37"/>
    <n v="2.2999999999999998"/>
    <x v="1"/>
    <n v="2000"/>
    <n v="95"/>
    <x v="0"/>
    <x v="1"/>
    <x v="3"/>
    <x v="2"/>
    <x v="1"/>
    <x v="0"/>
  </r>
  <r>
    <s v="T00953"/>
    <d v="2023-01-11T00:00:00"/>
    <d v="1899-12-30T03:15:00"/>
    <x v="1"/>
    <x v="6"/>
    <s v="Station_47"/>
    <s v="Station_11"/>
    <d v="1899-12-30T03:18:00"/>
    <d v="1899-12-30T04:07:00"/>
    <n v="4"/>
    <n v="18"/>
    <x v="2"/>
    <n v="27.1"/>
    <n v="45"/>
    <n v="11"/>
    <n v="19"/>
    <x v="5"/>
    <n v="0"/>
    <n v="73"/>
    <x v="0"/>
    <x v="1"/>
    <x v="3"/>
    <x v="2"/>
    <x v="1"/>
    <x v="0"/>
  </r>
  <r>
    <s v="T00954"/>
    <d v="2023-01-11T00:00:00"/>
    <d v="1899-12-30T03:30:00"/>
    <x v="0"/>
    <x v="19"/>
    <s v="Station_37"/>
    <s v="Station_14"/>
    <d v="1899-12-30T03:34:00"/>
    <d v="1899-12-30T04:13:00"/>
    <n v="3"/>
    <n v="6"/>
    <x v="2"/>
    <n v="-1"/>
    <n v="50"/>
    <n v="24"/>
    <n v="4.3"/>
    <x v="4"/>
    <n v="0"/>
    <n v="27"/>
    <x v="0"/>
    <x v="0"/>
    <x v="3"/>
    <x v="3"/>
    <x v="1"/>
    <x v="2"/>
  </r>
  <r>
    <s v="T00955"/>
    <d v="2023-01-11T00:00:00"/>
    <d v="1899-12-30T03:45:00"/>
    <x v="0"/>
    <x v="10"/>
    <s v="Station_23"/>
    <s v="Station_2"/>
    <d v="1899-12-30T03:46:00"/>
    <d v="1899-12-30T04:13:00"/>
    <n v="-1"/>
    <n v="6"/>
    <x v="5"/>
    <n v="32.4"/>
    <n v="71"/>
    <n v="22"/>
    <n v="16.3"/>
    <x v="0"/>
    <n v="0"/>
    <n v="78"/>
    <x v="0"/>
    <x v="1"/>
    <x v="3"/>
    <x v="1"/>
    <x v="1"/>
    <x v="0"/>
  </r>
  <r>
    <s v="T00956"/>
    <d v="2023-01-11T00:00:00"/>
    <d v="1899-12-30T04:00:00"/>
    <x v="1"/>
    <x v="8"/>
    <s v="Station_13"/>
    <s v="Station_40"/>
    <d v="1899-12-30T04:03:00"/>
    <d v="1899-12-30T04:32:00"/>
    <n v="19"/>
    <n v="25"/>
    <x v="0"/>
    <n v="-0.6"/>
    <n v="83"/>
    <n v="49"/>
    <n v="4.9000000000000004"/>
    <x v="4"/>
    <n v="2000"/>
    <n v="11"/>
    <x v="0"/>
    <x v="0"/>
    <x v="3"/>
    <x v="1"/>
    <x v="1"/>
    <x v="2"/>
  </r>
  <r>
    <s v="T00957"/>
    <d v="2023-01-11T00:00:00"/>
    <d v="1899-12-30T04:15:00"/>
    <x v="2"/>
    <x v="10"/>
    <s v="Station_32"/>
    <s v="Station_3"/>
    <d v="1899-12-30T04:19:00"/>
    <d v="1899-12-30T04:36:00"/>
    <n v="10"/>
    <n v="12"/>
    <x v="2"/>
    <n v="20.399999999999999"/>
    <n v="61"/>
    <n v="58"/>
    <n v="8.6"/>
    <x v="0"/>
    <n v="10000"/>
    <n v="42"/>
    <x v="0"/>
    <x v="1"/>
    <x v="3"/>
    <x v="2"/>
    <x v="1"/>
    <x v="1"/>
  </r>
  <r>
    <s v="T00958"/>
    <d v="2023-01-11T00:00:00"/>
    <d v="1899-12-30T04:30:00"/>
    <x v="3"/>
    <x v="8"/>
    <s v="Station_46"/>
    <s v="Station_35"/>
    <d v="1899-12-30T04:30:00"/>
    <d v="1899-12-30T04:56:00"/>
    <n v="9"/>
    <n v="-3"/>
    <x v="4"/>
    <n v="21.9"/>
    <n v="67"/>
    <n v="33"/>
    <n v="13.1"/>
    <x v="0"/>
    <n v="0"/>
    <n v="81"/>
    <x v="0"/>
    <x v="1"/>
    <x v="3"/>
    <x v="3"/>
    <x v="0"/>
    <x v="0"/>
  </r>
  <r>
    <s v="T00959"/>
    <d v="2023-01-11T00:00:00"/>
    <d v="1899-12-30T04:45:00"/>
    <x v="0"/>
    <x v="6"/>
    <s v="Station_47"/>
    <s v="Station_33"/>
    <d v="1899-12-30T04:46:00"/>
    <d v="1899-12-30T05:25:00"/>
    <n v="12"/>
    <n v="13"/>
    <x v="0"/>
    <n v="22.2"/>
    <n v="99"/>
    <n v="31"/>
    <n v="3.2"/>
    <x v="0"/>
    <n v="0"/>
    <n v="36"/>
    <x v="0"/>
    <x v="1"/>
    <x v="3"/>
    <x v="2"/>
    <x v="1"/>
    <x v="1"/>
  </r>
  <r>
    <s v="T00960"/>
    <d v="2023-01-11T00:00:00"/>
    <d v="1899-12-30T05:00:00"/>
    <x v="2"/>
    <x v="10"/>
    <s v="Station_48"/>
    <s v="Station_24"/>
    <d v="1899-12-30T05:04:00"/>
    <d v="1899-12-30T05:38:00"/>
    <n v="6"/>
    <n v="26"/>
    <x v="2"/>
    <n v="5.6"/>
    <n v="67"/>
    <n v="50"/>
    <n v="14.7"/>
    <x v="0"/>
    <n v="500"/>
    <n v="87"/>
    <x v="0"/>
    <x v="0"/>
    <x v="3"/>
    <x v="3"/>
    <x v="1"/>
    <x v="0"/>
  </r>
  <r>
    <s v="T00961"/>
    <d v="2023-01-11T00:00:00"/>
    <d v="1899-12-30T05:15:00"/>
    <x v="2"/>
    <x v="18"/>
    <s v="Station_23"/>
    <s v="Station_19"/>
    <d v="1899-12-30T05:19:00"/>
    <d v="1899-12-30T05:59:00"/>
    <n v="-1"/>
    <n v="22"/>
    <x v="4"/>
    <n v="8.1999999999999993"/>
    <n v="83"/>
    <n v="23"/>
    <n v="13.8"/>
    <x v="0"/>
    <n v="50000"/>
    <n v="62"/>
    <x v="0"/>
    <x v="1"/>
    <x v="3"/>
    <x v="3"/>
    <x v="1"/>
    <x v="1"/>
  </r>
  <r>
    <s v="T00962"/>
    <d v="2023-01-11T00:00:00"/>
    <d v="1899-12-30T05:30:00"/>
    <x v="3"/>
    <x v="5"/>
    <s v="Station_45"/>
    <s v="Station_18"/>
    <d v="1899-12-30T05:32:00"/>
    <d v="1899-12-30T06:11:00"/>
    <n v="14"/>
    <n v="15"/>
    <x v="3"/>
    <n v="16.899999999999999"/>
    <n v="89"/>
    <n v="41"/>
    <n v="10.9"/>
    <x v="1"/>
    <n v="0"/>
    <n v="92"/>
    <x v="0"/>
    <x v="1"/>
    <x v="3"/>
    <x v="1"/>
    <x v="1"/>
    <x v="0"/>
  </r>
  <r>
    <s v="T00963"/>
    <d v="2023-01-11T00:00:00"/>
    <d v="1899-12-30T05:45:00"/>
    <x v="0"/>
    <x v="15"/>
    <s v="Station_17"/>
    <s v="Station_49"/>
    <d v="1899-12-30T05:48:00"/>
    <d v="1899-12-30T06:15:00"/>
    <n v="2"/>
    <n v="17"/>
    <x v="5"/>
    <n v="3"/>
    <n v="76"/>
    <n v="24"/>
    <n v="11.3"/>
    <x v="0"/>
    <n v="0"/>
    <n v="62"/>
    <x v="0"/>
    <x v="1"/>
    <x v="3"/>
    <x v="1"/>
    <x v="1"/>
    <x v="1"/>
  </r>
  <r>
    <s v="T00964"/>
    <d v="2023-01-11T00:00:00"/>
    <d v="1899-12-30T06:00:00"/>
    <x v="0"/>
    <x v="5"/>
    <s v="Station_40"/>
    <s v="Station_24"/>
    <d v="1899-12-30T06:02:00"/>
    <d v="1899-12-30T06:52:00"/>
    <n v="8"/>
    <n v="13"/>
    <x v="4"/>
    <n v="-4.2"/>
    <n v="41"/>
    <n v="2"/>
    <n v="2.1"/>
    <x v="0"/>
    <n v="0"/>
    <n v="9"/>
    <x v="0"/>
    <x v="1"/>
    <x v="3"/>
    <x v="3"/>
    <x v="1"/>
    <x v="2"/>
  </r>
  <r>
    <s v="T00965"/>
    <d v="2023-01-11T00:00:00"/>
    <d v="1899-12-30T06:15:00"/>
    <x v="2"/>
    <x v="17"/>
    <s v="Station_21"/>
    <s v="Station_45"/>
    <d v="1899-12-30T06:16:00"/>
    <d v="1899-12-30T07:06:00"/>
    <n v="19"/>
    <n v="17"/>
    <x v="2"/>
    <n v="17.5"/>
    <n v="82"/>
    <n v="24"/>
    <n v="8.6999999999999993"/>
    <x v="0"/>
    <n v="0"/>
    <n v="77"/>
    <x v="0"/>
    <x v="1"/>
    <x v="3"/>
    <x v="1"/>
    <x v="1"/>
    <x v="0"/>
  </r>
  <r>
    <s v="T00966"/>
    <d v="2023-01-11T00:00:00"/>
    <d v="1899-12-30T06:30:00"/>
    <x v="2"/>
    <x v="14"/>
    <s v="Station_2"/>
    <s v="Station_35"/>
    <d v="1899-12-30T06:34:00"/>
    <d v="1899-12-30T07:10:00"/>
    <n v="16"/>
    <n v="15"/>
    <x v="1"/>
    <n v="13.6"/>
    <n v="62"/>
    <n v="27"/>
    <n v="1.7"/>
    <x v="3"/>
    <n v="0"/>
    <n v="79"/>
    <x v="0"/>
    <x v="1"/>
    <x v="3"/>
    <x v="3"/>
    <x v="1"/>
    <x v="0"/>
  </r>
  <r>
    <s v="T00967"/>
    <d v="2023-01-11T00:00:00"/>
    <d v="1899-12-30T06:45:00"/>
    <x v="3"/>
    <x v="18"/>
    <s v="Station_37"/>
    <s v="Station_1"/>
    <d v="1899-12-30T06:47:00"/>
    <d v="1899-12-30T07:43:00"/>
    <n v="4"/>
    <n v="3"/>
    <x v="2"/>
    <n v="21.3"/>
    <n v="57"/>
    <n v="11"/>
    <n v="6.2"/>
    <x v="0"/>
    <n v="0"/>
    <n v="36"/>
    <x v="0"/>
    <x v="1"/>
    <x v="3"/>
    <x v="0"/>
    <x v="0"/>
    <x v="1"/>
  </r>
  <r>
    <s v="T00968"/>
    <d v="2023-01-11T00:00:00"/>
    <d v="1899-12-30T07:00:00"/>
    <x v="3"/>
    <x v="16"/>
    <s v="Station_6"/>
    <s v="Station_36"/>
    <d v="1899-12-30T07:03:00"/>
    <d v="1899-12-30T07:39:00"/>
    <n v="-1"/>
    <n v="13"/>
    <x v="1"/>
    <n v="0.9"/>
    <n v="32"/>
    <n v="25"/>
    <n v="18"/>
    <x v="0"/>
    <n v="0"/>
    <n v="10"/>
    <x v="0"/>
    <x v="1"/>
    <x v="3"/>
    <x v="2"/>
    <x v="1"/>
    <x v="2"/>
  </r>
  <r>
    <s v="T00969"/>
    <d v="2023-01-11T00:00:00"/>
    <d v="1899-12-30T07:15:00"/>
    <x v="0"/>
    <x v="14"/>
    <s v="Station_44"/>
    <s v="Station_25"/>
    <d v="1899-12-30T07:16:00"/>
    <d v="1899-12-30T07:42:00"/>
    <n v="13"/>
    <n v="-3"/>
    <x v="5"/>
    <n v="28.6"/>
    <n v="55"/>
    <n v="47"/>
    <n v="11.5"/>
    <x v="0"/>
    <n v="500"/>
    <n v="89"/>
    <x v="0"/>
    <x v="1"/>
    <x v="3"/>
    <x v="1"/>
    <x v="0"/>
    <x v="0"/>
  </r>
  <r>
    <s v="T00970"/>
    <d v="2023-01-11T00:00:00"/>
    <d v="1899-12-30T07:30:00"/>
    <x v="1"/>
    <x v="2"/>
    <s v="Station_18"/>
    <s v="Station_45"/>
    <d v="1899-12-30T07:30:00"/>
    <d v="1899-12-30T08:26:00"/>
    <n v="9"/>
    <n v="2"/>
    <x v="5"/>
    <n v="0.8"/>
    <n v="83"/>
    <n v="43"/>
    <n v="14.9"/>
    <x v="4"/>
    <n v="0"/>
    <n v="18"/>
    <x v="0"/>
    <x v="1"/>
    <x v="3"/>
    <x v="2"/>
    <x v="0"/>
    <x v="2"/>
  </r>
  <r>
    <s v="T00971"/>
    <d v="2023-01-11T00:00:00"/>
    <d v="1899-12-30T07:45:00"/>
    <x v="0"/>
    <x v="8"/>
    <s v="Station_30"/>
    <s v="Station_49"/>
    <d v="1899-12-30T07:47:00"/>
    <d v="1899-12-30T08:13:00"/>
    <n v="12"/>
    <n v="22"/>
    <x v="0"/>
    <n v="30.7"/>
    <n v="69"/>
    <n v="7"/>
    <n v="11.5"/>
    <x v="0"/>
    <n v="0"/>
    <n v="51"/>
    <x v="0"/>
    <x v="1"/>
    <x v="3"/>
    <x v="1"/>
    <x v="1"/>
    <x v="1"/>
  </r>
  <r>
    <s v="T00972"/>
    <d v="2023-01-11T00:00:00"/>
    <d v="1899-12-30T08:00:00"/>
    <x v="2"/>
    <x v="4"/>
    <s v="Station_22"/>
    <s v="Station_43"/>
    <d v="1899-12-30T08:01:00"/>
    <d v="1899-12-30T08:44:00"/>
    <n v="-2"/>
    <n v="-2"/>
    <x v="0"/>
    <n v="13"/>
    <n v="95"/>
    <n v="4"/>
    <n v="3.9"/>
    <x v="0"/>
    <n v="0"/>
    <n v="17"/>
    <x v="0"/>
    <x v="1"/>
    <x v="3"/>
    <x v="2"/>
    <x v="0"/>
    <x v="2"/>
  </r>
  <r>
    <s v="T00973"/>
    <d v="2023-01-11T00:00:00"/>
    <d v="1899-12-30T08:15:00"/>
    <x v="0"/>
    <x v="15"/>
    <s v="Station_33"/>
    <s v="Station_34"/>
    <d v="1899-12-30T08:15:00"/>
    <d v="1899-12-30T08:59:00"/>
    <n v="10"/>
    <n v="28"/>
    <x v="1"/>
    <n v="17"/>
    <n v="97"/>
    <n v="10"/>
    <n v="11.9"/>
    <x v="0"/>
    <n v="0"/>
    <n v="93"/>
    <x v="0"/>
    <x v="1"/>
    <x v="3"/>
    <x v="2"/>
    <x v="1"/>
    <x v="0"/>
  </r>
  <r>
    <s v="T00974"/>
    <d v="2023-01-11T00:00:00"/>
    <d v="1899-12-30T08:30:00"/>
    <x v="1"/>
    <x v="9"/>
    <s v="Station_30"/>
    <s v="Station_25"/>
    <d v="1899-12-30T08:32:00"/>
    <d v="1899-12-30T09:22:00"/>
    <n v="3"/>
    <n v="1"/>
    <x v="1"/>
    <n v="30.9"/>
    <n v="76"/>
    <n v="41"/>
    <n v="15.1"/>
    <x v="0"/>
    <n v="0"/>
    <n v="31"/>
    <x v="0"/>
    <x v="1"/>
    <x v="3"/>
    <x v="1"/>
    <x v="0"/>
    <x v="2"/>
  </r>
  <r>
    <s v="T00975"/>
    <d v="2023-01-11T00:00:00"/>
    <d v="1899-12-30T08:45:00"/>
    <x v="3"/>
    <x v="14"/>
    <s v="Station_17"/>
    <s v="Station_16"/>
    <d v="1899-12-30T08:46:00"/>
    <d v="1899-12-30T09:06:00"/>
    <n v="10"/>
    <n v="27"/>
    <x v="5"/>
    <n v="7"/>
    <n v="31"/>
    <n v="34"/>
    <n v="2.8"/>
    <x v="0"/>
    <n v="10000"/>
    <n v="22"/>
    <x v="0"/>
    <x v="1"/>
    <x v="3"/>
    <x v="1"/>
    <x v="1"/>
    <x v="2"/>
  </r>
  <r>
    <s v="T00976"/>
    <d v="2023-01-11T00:00:00"/>
    <d v="1899-12-30T09:00:00"/>
    <x v="1"/>
    <x v="7"/>
    <s v="Station_43"/>
    <s v="Station_34"/>
    <d v="1899-12-30T09:01:00"/>
    <d v="1899-12-30T09:38:00"/>
    <n v="15"/>
    <n v="8"/>
    <x v="4"/>
    <n v="2.2999999999999998"/>
    <n v="71"/>
    <n v="26"/>
    <n v="16.3"/>
    <x v="4"/>
    <n v="0"/>
    <n v="11"/>
    <x v="0"/>
    <x v="1"/>
    <x v="3"/>
    <x v="1"/>
    <x v="1"/>
    <x v="2"/>
  </r>
  <r>
    <s v="T00977"/>
    <d v="2023-01-11T00:00:00"/>
    <d v="1899-12-30T09:15:00"/>
    <x v="1"/>
    <x v="11"/>
    <s v="Station_32"/>
    <s v="Station_29"/>
    <d v="1899-12-30T09:17:00"/>
    <d v="1899-12-30T09:54:00"/>
    <n v="0"/>
    <n v="26"/>
    <x v="1"/>
    <n v="12.8"/>
    <n v="63"/>
    <n v="54"/>
    <n v="11.1"/>
    <x v="5"/>
    <n v="0"/>
    <n v="57"/>
    <x v="0"/>
    <x v="1"/>
    <x v="3"/>
    <x v="1"/>
    <x v="1"/>
    <x v="1"/>
  </r>
  <r>
    <s v="T00978"/>
    <d v="2023-01-11T00:00:00"/>
    <d v="1899-12-30T09:30:00"/>
    <x v="1"/>
    <x v="11"/>
    <s v="Station_42"/>
    <s v="Station_19"/>
    <d v="1899-12-30T09:31:00"/>
    <d v="1899-12-30T10:18:00"/>
    <n v="-2"/>
    <n v="2"/>
    <x v="1"/>
    <n v="4.8"/>
    <n v="50"/>
    <n v="40"/>
    <n v="0.1"/>
    <x v="5"/>
    <n v="0"/>
    <n v="76"/>
    <x v="0"/>
    <x v="1"/>
    <x v="3"/>
    <x v="3"/>
    <x v="0"/>
    <x v="0"/>
  </r>
  <r>
    <s v="T00979"/>
    <d v="2023-01-11T00:00:00"/>
    <d v="1899-12-30T09:45:00"/>
    <x v="3"/>
    <x v="10"/>
    <s v="Station_14"/>
    <s v="Station_23"/>
    <d v="1899-12-30T09:49:00"/>
    <d v="1899-12-30T10:10:00"/>
    <n v="12"/>
    <n v="11"/>
    <x v="4"/>
    <n v="16.100000000000001"/>
    <n v="73"/>
    <n v="43"/>
    <n v="10.4"/>
    <x v="4"/>
    <n v="10000"/>
    <n v="20"/>
    <x v="0"/>
    <x v="1"/>
    <x v="3"/>
    <x v="1"/>
    <x v="1"/>
    <x v="2"/>
  </r>
  <r>
    <s v="T00980"/>
    <d v="2023-01-11T00:00:00"/>
    <d v="1899-12-30T10:00:00"/>
    <x v="1"/>
    <x v="5"/>
    <s v="Station_10"/>
    <s v="Station_19"/>
    <d v="1899-12-30T10:02:00"/>
    <d v="1899-12-30T10:36:00"/>
    <n v="10"/>
    <n v="11"/>
    <x v="0"/>
    <n v="6"/>
    <n v="31"/>
    <n v="37"/>
    <n v="7.9"/>
    <x v="0"/>
    <n v="0"/>
    <n v="20"/>
    <x v="0"/>
    <x v="1"/>
    <x v="3"/>
    <x v="1"/>
    <x v="1"/>
    <x v="2"/>
  </r>
  <r>
    <s v="T00981"/>
    <d v="2023-01-11T00:00:00"/>
    <d v="1899-12-30T10:15:00"/>
    <x v="1"/>
    <x v="9"/>
    <s v="Station_47"/>
    <s v="Station_25"/>
    <d v="1899-12-30T10:16:00"/>
    <d v="1899-12-30T10:59:00"/>
    <n v="2"/>
    <n v="12"/>
    <x v="0"/>
    <n v="29.6"/>
    <n v="88"/>
    <n v="18"/>
    <n v="5.9"/>
    <x v="2"/>
    <n v="0"/>
    <n v="92"/>
    <x v="0"/>
    <x v="1"/>
    <x v="3"/>
    <x v="1"/>
    <x v="1"/>
    <x v="0"/>
  </r>
  <r>
    <s v="T00982"/>
    <d v="2023-01-11T00:00:00"/>
    <d v="1899-12-30T10:30:00"/>
    <x v="1"/>
    <x v="5"/>
    <s v="Station_36"/>
    <s v="Station_16"/>
    <d v="1899-12-30T10:30:00"/>
    <d v="1899-12-30T11:27:00"/>
    <n v="10"/>
    <n v="16"/>
    <x v="1"/>
    <n v="19.3"/>
    <n v="45"/>
    <n v="47"/>
    <n v="15.4"/>
    <x v="2"/>
    <n v="0"/>
    <n v="92"/>
    <x v="0"/>
    <x v="1"/>
    <x v="3"/>
    <x v="0"/>
    <x v="1"/>
    <x v="0"/>
  </r>
  <r>
    <s v="T00983"/>
    <d v="2023-01-11T00:00:00"/>
    <d v="1899-12-30T10:45:00"/>
    <x v="2"/>
    <x v="9"/>
    <s v="Station_34"/>
    <s v="Station_9"/>
    <d v="1899-12-30T10:45:00"/>
    <d v="1899-12-30T11:08:00"/>
    <n v="19"/>
    <n v="9"/>
    <x v="0"/>
    <n v="-5"/>
    <n v="49"/>
    <n v="52"/>
    <n v="18"/>
    <x v="2"/>
    <n v="0"/>
    <n v="90"/>
    <x v="0"/>
    <x v="1"/>
    <x v="3"/>
    <x v="2"/>
    <x v="1"/>
    <x v="0"/>
  </r>
  <r>
    <s v="T00984"/>
    <d v="2023-01-11T00:00:00"/>
    <d v="1899-12-30T11:00:00"/>
    <x v="1"/>
    <x v="9"/>
    <s v="Station_9"/>
    <s v="Station_1"/>
    <d v="1899-12-30T11:04:00"/>
    <d v="1899-12-30T11:49:00"/>
    <n v="2"/>
    <n v="27"/>
    <x v="0"/>
    <n v="27.2"/>
    <n v="55"/>
    <n v="54"/>
    <n v="15.3"/>
    <x v="0"/>
    <n v="2000"/>
    <n v="28"/>
    <x v="1"/>
    <x v="1"/>
    <x v="3"/>
    <x v="1"/>
    <x v="1"/>
    <x v="2"/>
  </r>
  <r>
    <s v="T00985"/>
    <d v="2023-01-11T00:00:00"/>
    <d v="1899-12-30T11:15:00"/>
    <x v="3"/>
    <x v="19"/>
    <s v="Station_42"/>
    <s v="Station_42"/>
    <d v="1899-12-30T11:17:00"/>
    <d v="1899-12-30T11:54:00"/>
    <n v="16"/>
    <n v="25"/>
    <x v="3"/>
    <n v="8.1999999999999993"/>
    <n v="45"/>
    <n v="55"/>
    <n v="16.899999999999999"/>
    <x v="0"/>
    <n v="0"/>
    <n v="78"/>
    <x v="1"/>
    <x v="0"/>
    <x v="3"/>
    <x v="1"/>
    <x v="1"/>
    <x v="0"/>
  </r>
  <r>
    <s v="T00986"/>
    <d v="2023-01-11T00:00:00"/>
    <d v="1899-12-30T11:30:00"/>
    <x v="1"/>
    <x v="16"/>
    <s v="Station_28"/>
    <s v="Station_19"/>
    <d v="1899-12-30T11:31:00"/>
    <d v="1899-12-30T11:52:00"/>
    <n v="18"/>
    <n v="-1"/>
    <x v="0"/>
    <n v="7.8"/>
    <n v="99"/>
    <n v="31"/>
    <n v="18.2"/>
    <x v="3"/>
    <n v="10000"/>
    <n v="46"/>
    <x v="0"/>
    <x v="1"/>
    <x v="3"/>
    <x v="2"/>
    <x v="0"/>
    <x v="1"/>
  </r>
  <r>
    <s v="T00987"/>
    <d v="2023-01-11T00:00:00"/>
    <d v="1899-12-30T11:45:00"/>
    <x v="1"/>
    <x v="2"/>
    <s v="Station_11"/>
    <s v="Station_33"/>
    <d v="1899-12-30T11:46:00"/>
    <d v="1899-12-30T12:27:00"/>
    <n v="15"/>
    <n v="5"/>
    <x v="5"/>
    <n v="10.3"/>
    <n v="52"/>
    <n v="45"/>
    <n v="18.3"/>
    <x v="3"/>
    <n v="0"/>
    <n v="11"/>
    <x v="0"/>
    <x v="0"/>
    <x v="3"/>
    <x v="2"/>
    <x v="0"/>
    <x v="2"/>
  </r>
  <r>
    <s v="T00988"/>
    <d v="2023-01-11T00:00:00"/>
    <d v="1899-12-30T12:00:00"/>
    <x v="3"/>
    <x v="19"/>
    <s v="Station_14"/>
    <s v="Station_34"/>
    <d v="1899-12-30T12:00:00"/>
    <d v="1899-12-30T12:37:00"/>
    <n v="18"/>
    <n v="7"/>
    <x v="2"/>
    <n v="20.2"/>
    <n v="71"/>
    <n v="27"/>
    <n v="2.2999999999999998"/>
    <x v="0"/>
    <n v="50000"/>
    <n v="57"/>
    <x v="0"/>
    <x v="1"/>
    <x v="3"/>
    <x v="3"/>
    <x v="1"/>
    <x v="1"/>
  </r>
  <r>
    <s v="T00989"/>
    <d v="2023-01-11T00:00:00"/>
    <d v="1899-12-30T12:15:00"/>
    <x v="1"/>
    <x v="11"/>
    <s v="Station_39"/>
    <s v="Station_16"/>
    <d v="1899-12-30T12:19:00"/>
    <d v="1899-12-30T13:00:00"/>
    <n v="19"/>
    <n v="7"/>
    <x v="1"/>
    <n v="12.7"/>
    <n v="66"/>
    <n v="35"/>
    <n v="9.1"/>
    <x v="3"/>
    <n v="0"/>
    <n v="40"/>
    <x v="0"/>
    <x v="0"/>
    <x v="3"/>
    <x v="2"/>
    <x v="1"/>
    <x v="1"/>
  </r>
  <r>
    <s v="T00990"/>
    <d v="2023-01-11T00:00:00"/>
    <d v="1899-12-30T12:30:00"/>
    <x v="3"/>
    <x v="8"/>
    <s v="Station_47"/>
    <s v="Station_44"/>
    <d v="1899-12-30T12:30:00"/>
    <d v="1899-12-30T13:25:00"/>
    <n v="7"/>
    <n v="21"/>
    <x v="1"/>
    <n v="20.100000000000001"/>
    <n v="35"/>
    <n v="17"/>
    <n v="0"/>
    <x v="1"/>
    <n v="10000"/>
    <n v="18"/>
    <x v="0"/>
    <x v="1"/>
    <x v="3"/>
    <x v="2"/>
    <x v="1"/>
    <x v="2"/>
  </r>
  <r>
    <s v="T00991"/>
    <d v="2023-01-11T00:00:00"/>
    <d v="1899-12-30T12:45:00"/>
    <x v="1"/>
    <x v="4"/>
    <s v="Station_19"/>
    <s v="Station_40"/>
    <d v="1899-12-30T12:45:00"/>
    <d v="1899-12-30T13:12:00"/>
    <n v="5"/>
    <n v="18"/>
    <x v="5"/>
    <n v="0.9"/>
    <n v="66"/>
    <n v="9"/>
    <n v="10.1"/>
    <x v="0"/>
    <n v="0"/>
    <n v="11"/>
    <x v="0"/>
    <x v="0"/>
    <x v="3"/>
    <x v="0"/>
    <x v="1"/>
    <x v="2"/>
  </r>
  <r>
    <s v="T00992"/>
    <d v="2023-01-11T00:00:00"/>
    <d v="1899-12-30T13:00:00"/>
    <x v="3"/>
    <x v="17"/>
    <s v="Station_15"/>
    <s v="Station_18"/>
    <d v="1899-12-30T13:04:00"/>
    <d v="1899-12-30T13:36:00"/>
    <n v="12"/>
    <n v="5"/>
    <x v="2"/>
    <n v="33.799999999999997"/>
    <n v="51"/>
    <n v="31"/>
    <n v="18.5"/>
    <x v="0"/>
    <n v="0"/>
    <n v="22"/>
    <x v="0"/>
    <x v="1"/>
    <x v="3"/>
    <x v="3"/>
    <x v="0"/>
    <x v="2"/>
  </r>
  <r>
    <s v="T00993"/>
    <d v="2023-01-11T00:00:00"/>
    <d v="1899-12-30T13:15:00"/>
    <x v="1"/>
    <x v="16"/>
    <s v="Station_28"/>
    <s v="Station_34"/>
    <d v="1899-12-30T13:17:00"/>
    <d v="1899-12-30T14:05:00"/>
    <n v="18"/>
    <n v="16"/>
    <x v="2"/>
    <n v="24.2"/>
    <n v="35"/>
    <n v="17"/>
    <n v="4"/>
    <x v="0"/>
    <n v="0"/>
    <n v="4"/>
    <x v="0"/>
    <x v="1"/>
    <x v="3"/>
    <x v="0"/>
    <x v="1"/>
    <x v="2"/>
  </r>
  <r>
    <s v="T00994"/>
    <d v="2023-01-11T00:00:00"/>
    <d v="1899-12-30T13:30:00"/>
    <x v="1"/>
    <x v="4"/>
    <s v="Station_24"/>
    <s v="Station_25"/>
    <d v="1899-12-30T13:31:00"/>
    <d v="1899-12-30T14:26:00"/>
    <n v="17"/>
    <n v="17"/>
    <x v="5"/>
    <n v="5"/>
    <n v="61"/>
    <n v="11"/>
    <n v="12.8"/>
    <x v="0"/>
    <n v="10000"/>
    <n v="25"/>
    <x v="0"/>
    <x v="1"/>
    <x v="3"/>
    <x v="2"/>
    <x v="1"/>
    <x v="2"/>
  </r>
  <r>
    <s v="T00995"/>
    <d v="2023-01-11T00:00:00"/>
    <d v="1899-12-30T13:45:00"/>
    <x v="2"/>
    <x v="4"/>
    <s v="Station_8"/>
    <s v="Station_45"/>
    <d v="1899-12-30T13:47:00"/>
    <d v="1899-12-30T14:37:00"/>
    <n v="19"/>
    <n v="6"/>
    <x v="4"/>
    <n v="24"/>
    <n v="46"/>
    <n v="50"/>
    <n v="12.9"/>
    <x v="3"/>
    <n v="0"/>
    <n v="62"/>
    <x v="0"/>
    <x v="0"/>
    <x v="3"/>
    <x v="1"/>
    <x v="1"/>
    <x v="1"/>
  </r>
  <r>
    <s v="T00996"/>
    <d v="2023-01-11T00:00:00"/>
    <d v="1899-12-30T14:00:00"/>
    <x v="2"/>
    <x v="5"/>
    <s v="Station_43"/>
    <s v="Station_6"/>
    <d v="1899-12-30T14:03:00"/>
    <d v="1899-12-30T14:46:00"/>
    <n v="1"/>
    <n v="18"/>
    <x v="4"/>
    <n v="18"/>
    <n v="67"/>
    <n v="7"/>
    <n v="3.2"/>
    <x v="0"/>
    <n v="0"/>
    <n v="51"/>
    <x v="0"/>
    <x v="0"/>
    <x v="3"/>
    <x v="3"/>
    <x v="1"/>
    <x v="1"/>
  </r>
  <r>
    <s v="T00997"/>
    <d v="2023-01-11T00:00:00"/>
    <d v="1899-12-30T14:15:00"/>
    <x v="1"/>
    <x v="0"/>
    <s v="Station_9"/>
    <s v="Station_21"/>
    <d v="1899-12-30T14:18:00"/>
    <d v="1899-12-30T14:38:00"/>
    <n v="-1"/>
    <n v="25"/>
    <x v="2"/>
    <n v="-0.6"/>
    <n v="46"/>
    <n v="32"/>
    <n v="4.8"/>
    <x v="2"/>
    <n v="0"/>
    <n v="9"/>
    <x v="0"/>
    <x v="1"/>
    <x v="3"/>
    <x v="2"/>
    <x v="1"/>
    <x v="2"/>
  </r>
  <r>
    <s v="T00998"/>
    <d v="2023-01-11T00:00:00"/>
    <d v="1899-12-30T14:30:00"/>
    <x v="1"/>
    <x v="5"/>
    <s v="Station_47"/>
    <s v="Station_6"/>
    <d v="1899-12-30T14:33:00"/>
    <d v="1899-12-30T15:11:00"/>
    <n v="3"/>
    <n v="5"/>
    <x v="4"/>
    <n v="2.1"/>
    <n v="66"/>
    <n v="45"/>
    <n v="9.1999999999999993"/>
    <x v="2"/>
    <n v="50000"/>
    <n v="85"/>
    <x v="0"/>
    <x v="1"/>
    <x v="3"/>
    <x v="2"/>
    <x v="0"/>
    <x v="0"/>
  </r>
  <r>
    <s v="T00999"/>
    <d v="2023-01-11T00:00:00"/>
    <d v="1899-12-30T14:45:00"/>
    <x v="0"/>
    <x v="10"/>
    <s v="Station_33"/>
    <s v="Station_32"/>
    <d v="1899-12-30T14:49:00"/>
    <d v="1899-12-30T15:30:00"/>
    <n v="0"/>
    <n v="1"/>
    <x v="4"/>
    <n v="-3.3"/>
    <n v="52"/>
    <n v="54"/>
    <n v="3.8"/>
    <x v="0"/>
    <n v="0"/>
    <n v="38"/>
    <x v="0"/>
    <x v="1"/>
    <x v="3"/>
    <x v="1"/>
    <x v="0"/>
    <x v="1"/>
  </r>
  <r>
    <s v="T01000"/>
    <d v="2023-01-11T00:00:00"/>
    <d v="1899-12-30T15:00:00"/>
    <x v="3"/>
    <x v="3"/>
    <s v="Station_33"/>
    <s v="Station_41"/>
    <d v="1899-12-30T15:00:00"/>
    <d v="1899-12-30T15:51:00"/>
    <n v="4"/>
    <n v="7"/>
    <x v="4"/>
    <n v="27.4"/>
    <n v="78"/>
    <n v="37"/>
    <n v="11.7"/>
    <x v="0"/>
    <n v="0"/>
    <n v="22"/>
    <x v="0"/>
    <x v="1"/>
    <x v="3"/>
    <x v="1"/>
    <x v="1"/>
    <x v="2"/>
  </r>
  <r>
    <s v="T01001"/>
    <d v="2023-01-11T00:00:00"/>
    <d v="1899-12-30T15:15:00"/>
    <x v="0"/>
    <x v="6"/>
    <s v="Station_19"/>
    <s v="Station_48"/>
    <d v="1899-12-30T15:17:00"/>
    <d v="1899-12-30T15:58:00"/>
    <n v="7"/>
    <n v="-3"/>
    <x v="2"/>
    <n v="17.100000000000001"/>
    <n v="90"/>
    <n v="13"/>
    <n v="9.6999999999999993"/>
    <x v="4"/>
    <n v="50000"/>
    <n v="10"/>
    <x v="0"/>
    <x v="1"/>
    <x v="3"/>
    <x v="1"/>
    <x v="0"/>
    <x v="2"/>
  </r>
  <r>
    <s v="T01002"/>
    <d v="2023-01-11T00:00:00"/>
    <d v="1899-12-30T15:30:00"/>
    <x v="2"/>
    <x v="1"/>
    <s v="Station_3"/>
    <s v="Station_43"/>
    <d v="1899-12-30T15:31:00"/>
    <d v="1899-12-30T16:24:00"/>
    <n v="3"/>
    <n v="-3"/>
    <x v="4"/>
    <n v="7.7"/>
    <n v="78"/>
    <n v="1"/>
    <n v="10.4"/>
    <x v="0"/>
    <n v="50000"/>
    <n v="91"/>
    <x v="0"/>
    <x v="0"/>
    <x v="3"/>
    <x v="3"/>
    <x v="0"/>
    <x v="0"/>
  </r>
  <r>
    <s v="T01003"/>
    <d v="2023-01-11T00:00:00"/>
    <d v="1899-12-30T15:45:00"/>
    <x v="2"/>
    <x v="19"/>
    <s v="Station_10"/>
    <s v="Station_39"/>
    <d v="1899-12-30T15:48:00"/>
    <d v="1899-12-30T16:41:00"/>
    <n v="13"/>
    <n v="1"/>
    <x v="1"/>
    <n v="0.1"/>
    <n v="90"/>
    <n v="8"/>
    <n v="2.7"/>
    <x v="4"/>
    <n v="0"/>
    <n v="94"/>
    <x v="1"/>
    <x v="1"/>
    <x v="3"/>
    <x v="0"/>
    <x v="0"/>
    <x v="0"/>
  </r>
  <r>
    <s v="T01004"/>
    <d v="2023-01-11T00:00:00"/>
    <d v="1899-12-30T16:00:00"/>
    <x v="2"/>
    <x v="6"/>
    <s v="Station_40"/>
    <s v="Station_31"/>
    <d v="1899-12-30T16:02:00"/>
    <d v="1899-12-30T16:51:00"/>
    <n v="-1"/>
    <n v="18"/>
    <x v="3"/>
    <n v="14.4"/>
    <n v="61"/>
    <n v="43"/>
    <n v="10.3"/>
    <x v="0"/>
    <n v="10000"/>
    <n v="71"/>
    <x v="0"/>
    <x v="1"/>
    <x v="3"/>
    <x v="3"/>
    <x v="1"/>
    <x v="0"/>
  </r>
  <r>
    <s v="T01005"/>
    <d v="2023-01-11T00:00:00"/>
    <d v="1899-12-30T16:15:00"/>
    <x v="2"/>
    <x v="4"/>
    <s v="Station_47"/>
    <s v="Station_42"/>
    <d v="1899-12-30T16:18:00"/>
    <d v="1899-12-30T16:41:00"/>
    <n v="14"/>
    <n v="22"/>
    <x v="2"/>
    <n v="16"/>
    <n v="92"/>
    <n v="4"/>
    <n v="1"/>
    <x v="0"/>
    <n v="0"/>
    <n v="47"/>
    <x v="0"/>
    <x v="1"/>
    <x v="3"/>
    <x v="1"/>
    <x v="1"/>
    <x v="1"/>
  </r>
  <r>
    <s v="T01006"/>
    <d v="2023-01-11T00:00:00"/>
    <d v="1899-12-30T16:30:00"/>
    <x v="1"/>
    <x v="10"/>
    <s v="Station_42"/>
    <s v="Station_10"/>
    <d v="1899-12-30T16:33:00"/>
    <d v="1899-12-30T17:22:00"/>
    <n v="10"/>
    <n v="2"/>
    <x v="5"/>
    <n v="23.1"/>
    <n v="36"/>
    <n v="33"/>
    <n v="17.600000000000001"/>
    <x v="0"/>
    <n v="0"/>
    <n v="91"/>
    <x v="0"/>
    <x v="1"/>
    <x v="3"/>
    <x v="3"/>
    <x v="0"/>
    <x v="0"/>
  </r>
  <r>
    <s v="T01007"/>
    <d v="2023-01-11T00:00:00"/>
    <d v="1899-12-30T16:45:00"/>
    <x v="2"/>
    <x v="4"/>
    <s v="Station_1"/>
    <s v="Station_30"/>
    <d v="1899-12-30T16:46:00"/>
    <d v="1899-12-30T17:35:00"/>
    <n v="-2"/>
    <n v="28"/>
    <x v="4"/>
    <n v="33.799999999999997"/>
    <n v="51"/>
    <n v="18"/>
    <n v="6.9"/>
    <x v="0"/>
    <n v="10000"/>
    <n v="15"/>
    <x v="1"/>
    <x v="1"/>
    <x v="3"/>
    <x v="1"/>
    <x v="1"/>
    <x v="2"/>
  </r>
  <r>
    <s v="T01008"/>
    <d v="2023-01-11T00:00:00"/>
    <d v="1899-12-30T17:00:00"/>
    <x v="1"/>
    <x v="17"/>
    <s v="Station_29"/>
    <s v="Station_18"/>
    <d v="1899-12-30T17:04:00"/>
    <d v="1899-12-30T17:31:00"/>
    <n v="3"/>
    <n v="7"/>
    <x v="0"/>
    <n v="12.4"/>
    <n v="35"/>
    <n v="6"/>
    <n v="17.100000000000001"/>
    <x v="0"/>
    <n v="2000"/>
    <n v="45"/>
    <x v="0"/>
    <x v="1"/>
    <x v="3"/>
    <x v="0"/>
    <x v="1"/>
    <x v="1"/>
  </r>
  <r>
    <s v="T01009"/>
    <d v="2023-01-11T00:00:00"/>
    <d v="1899-12-30T17:15:00"/>
    <x v="1"/>
    <x v="19"/>
    <s v="Station_50"/>
    <s v="Station_24"/>
    <d v="1899-12-30T17:15:00"/>
    <d v="1899-12-30T17:45:00"/>
    <n v="2"/>
    <n v="6"/>
    <x v="2"/>
    <n v="11.2"/>
    <n v="90"/>
    <n v="38"/>
    <n v="14"/>
    <x v="3"/>
    <n v="0"/>
    <n v="46"/>
    <x v="0"/>
    <x v="1"/>
    <x v="3"/>
    <x v="3"/>
    <x v="1"/>
    <x v="1"/>
  </r>
  <r>
    <s v="T01010"/>
    <d v="2023-01-11T00:00:00"/>
    <d v="1899-12-30T17:30:00"/>
    <x v="2"/>
    <x v="10"/>
    <s v="Station_34"/>
    <s v="Station_9"/>
    <d v="1899-12-30T17:34:00"/>
    <d v="1899-12-30T18:13:00"/>
    <n v="10"/>
    <n v="27"/>
    <x v="5"/>
    <n v="9.8000000000000007"/>
    <n v="43"/>
    <n v="41"/>
    <n v="15.3"/>
    <x v="0"/>
    <n v="0"/>
    <n v="94"/>
    <x v="0"/>
    <x v="1"/>
    <x v="3"/>
    <x v="0"/>
    <x v="1"/>
    <x v="0"/>
  </r>
  <r>
    <s v="T01011"/>
    <d v="2023-01-11T00:00:00"/>
    <d v="1899-12-30T17:45:00"/>
    <x v="2"/>
    <x v="3"/>
    <s v="Station_13"/>
    <s v="Station_31"/>
    <d v="1899-12-30T17:47:00"/>
    <d v="1899-12-30T18:12:00"/>
    <n v="15"/>
    <n v="8"/>
    <x v="3"/>
    <n v="28.1"/>
    <n v="45"/>
    <n v="16"/>
    <n v="6.3"/>
    <x v="5"/>
    <n v="0"/>
    <n v="47"/>
    <x v="0"/>
    <x v="1"/>
    <x v="3"/>
    <x v="0"/>
    <x v="1"/>
    <x v="1"/>
  </r>
  <r>
    <s v="T01012"/>
    <d v="2023-01-11T00:00:00"/>
    <d v="1899-12-30T18:00:00"/>
    <x v="3"/>
    <x v="15"/>
    <s v="Station_1"/>
    <s v="Station_15"/>
    <d v="1899-12-30T18:04:00"/>
    <d v="1899-12-30T18:51:00"/>
    <n v="9"/>
    <n v="12"/>
    <x v="1"/>
    <n v="1.3"/>
    <n v="32"/>
    <n v="25"/>
    <n v="4.5999999999999996"/>
    <x v="3"/>
    <n v="2000"/>
    <n v="79"/>
    <x v="0"/>
    <x v="1"/>
    <x v="3"/>
    <x v="1"/>
    <x v="1"/>
    <x v="0"/>
  </r>
  <r>
    <s v="T01013"/>
    <d v="2023-01-11T00:00:00"/>
    <d v="1899-12-30T18:15:00"/>
    <x v="0"/>
    <x v="5"/>
    <s v="Station_34"/>
    <s v="Station_4"/>
    <d v="1899-12-30T18:17:00"/>
    <d v="1899-12-30T19:12:00"/>
    <n v="4"/>
    <n v="-1"/>
    <x v="5"/>
    <n v="8.8000000000000007"/>
    <n v="38"/>
    <n v="45"/>
    <n v="8.1"/>
    <x v="5"/>
    <n v="50000"/>
    <n v="68"/>
    <x v="0"/>
    <x v="0"/>
    <x v="3"/>
    <x v="3"/>
    <x v="0"/>
    <x v="0"/>
  </r>
  <r>
    <s v="T01014"/>
    <d v="2023-01-11T00:00:00"/>
    <d v="1899-12-30T18:30:00"/>
    <x v="2"/>
    <x v="6"/>
    <s v="Station_29"/>
    <s v="Station_40"/>
    <d v="1899-12-30T18:32:00"/>
    <d v="1899-12-30T19:11:00"/>
    <n v="12"/>
    <n v="-2"/>
    <x v="4"/>
    <n v="24"/>
    <n v="76"/>
    <n v="26"/>
    <n v="0.5"/>
    <x v="0"/>
    <n v="0"/>
    <n v="98"/>
    <x v="0"/>
    <x v="1"/>
    <x v="3"/>
    <x v="3"/>
    <x v="0"/>
    <x v="0"/>
  </r>
  <r>
    <s v="T01015"/>
    <d v="2023-01-11T00:00:00"/>
    <d v="1899-12-30T18:45:00"/>
    <x v="3"/>
    <x v="14"/>
    <s v="Station_48"/>
    <s v="Station_9"/>
    <d v="1899-12-30T18:45:00"/>
    <d v="1899-12-30T19:38:00"/>
    <n v="0"/>
    <n v="1"/>
    <x v="0"/>
    <n v="-4.4000000000000004"/>
    <n v="71"/>
    <n v="42"/>
    <n v="18.399999999999999"/>
    <x v="1"/>
    <n v="10000"/>
    <n v="24"/>
    <x v="0"/>
    <x v="0"/>
    <x v="3"/>
    <x v="0"/>
    <x v="0"/>
    <x v="2"/>
  </r>
  <r>
    <s v="T01016"/>
    <d v="2023-01-11T00:00:00"/>
    <d v="1899-12-30T19:00:00"/>
    <x v="3"/>
    <x v="4"/>
    <s v="Station_47"/>
    <s v="Station_45"/>
    <d v="1899-12-30T19:01:00"/>
    <d v="1899-12-30T19:38:00"/>
    <n v="13"/>
    <n v="7"/>
    <x v="4"/>
    <n v="6.6"/>
    <n v="71"/>
    <n v="27"/>
    <n v="7.7"/>
    <x v="0"/>
    <n v="0"/>
    <n v="76"/>
    <x v="0"/>
    <x v="1"/>
    <x v="3"/>
    <x v="1"/>
    <x v="1"/>
    <x v="0"/>
  </r>
  <r>
    <s v="T01017"/>
    <d v="2023-01-11T00:00:00"/>
    <d v="1899-12-30T19:15:00"/>
    <x v="0"/>
    <x v="13"/>
    <s v="Station_13"/>
    <s v="Station_9"/>
    <d v="1899-12-30T19:15:00"/>
    <d v="1899-12-30T19:54:00"/>
    <n v="-2"/>
    <n v="21"/>
    <x v="5"/>
    <n v="20.7"/>
    <n v="52"/>
    <n v="19"/>
    <n v="19.8"/>
    <x v="0"/>
    <n v="500"/>
    <n v="92"/>
    <x v="0"/>
    <x v="1"/>
    <x v="3"/>
    <x v="0"/>
    <x v="1"/>
    <x v="0"/>
  </r>
  <r>
    <s v="T01018"/>
    <d v="2023-01-11T00:00:00"/>
    <d v="1899-12-30T19:30:00"/>
    <x v="1"/>
    <x v="18"/>
    <s v="Station_48"/>
    <s v="Station_26"/>
    <d v="1899-12-30T19:34:00"/>
    <d v="1899-12-30T20:03:00"/>
    <n v="13"/>
    <n v="18"/>
    <x v="2"/>
    <n v="2.4"/>
    <n v="32"/>
    <n v="5"/>
    <n v="15.2"/>
    <x v="5"/>
    <n v="0"/>
    <n v="90"/>
    <x v="0"/>
    <x v="1"/>
    <x v="3"/>
    <x v="0"/>
    <x v="1"/>
    <x v="0"/>
  </r>
  <r>
    <s v="T01019"/>
    <d v="2023-01-11T00:00:00"/>
    <d v="1899-12-30T19:45:00"/>
    <x v="2"/>
    <x v="17"/>
    <s v="Station_49"/>
    <s v="Station_4"/>
    <d v="1899-12-30T19:47:00"/>
    <d v="1899-12-30T20:37:00"/>
    <n v="9"/>
    <n v="18"/>
    <x v="0"/>
    <n v="7.1"/>
    <n v="30"/>
    <n v="7"/>
    <n v="1.6"/>
    <x v="0"/>
    <n v="0"/>
    <n v="80"/>
    <x v="0"/>
    <x v="1"/>
    <x v="3"/>
    <x v="0"/>
    <x v="1"/>
    <x v="0"/>
  </r>
  <r>
    <s v="T01020"/>
    <d v="2023-01-11T00:00:00"/>
    <d v="1899-12-30T20:00:00"/>
    <x v="0"/>
    <x v="14"/>
    <s v="Station_29"/>
    <s v="Station_17"/>
    <d v="1899-12-30T20:03:00"/>
    <d v="1899-12-30T20:29:00"/>
    <n v="16"/>
    <n v="7"/>
    <x v="0"/>
    <n v="14.4"/>
    <n v="96"/>
    <n v="31"/>
    <n v="13.2"/>
    <x v="3"/>
    <n v="0"/>
    <n v="36"/>
    <x v="0"/>
    <x v="0"/>
    <x v="3"/>
    <x v="0"/>
    <x v="1"/>
    <x v="1"/>
  </r>
  <r>
    <s v="T01021"/>
    <d v="2023-01-11T00:00:00"/>
    <d v="1899-12-30T20:15:00"/>
    <x v="2"/>
    <x v="0"/>
    <s v="Station_39"/>
    <s v="Station_16"/>
    <d v="1899-12-30T20:18:00"/>
    <d v="1899-12-30T20:50:00"/>
    <n v="5"/>
    <n v="28"/>
    <x v="5"/>
    <n v="11.9"/>
    <n v="32"/>
    <n v="18"/>
    <n v="5.4"/>
    <x v="4"/>
    <n v="50000"/>
    <n v="62"/>
    <x v="0"/>
    <x v="1"/>
    <x v="3"/>
    <x v="3"/>
    <x v="1"/>
    <x v="1"/>
  </r>
  <r>
    <s v="T01022"/>
    <d v="2023-01-11T00:00:00"/>
    <d v="1899-12-30T20:30:00"/>
    <x v="3"/>
    <x v="3"/>
    <s v="Station_24"/>
    <s v="Station_15"/>
    <d v="1899-12-30T20:32:00"/>
    <d v="1899-12-30T20:53:00"/>
    <n v="9"/>
    <n v="27"/>
    <x v="3"/>
    <n v="-0.8"/>
    <n v="78"/>
    <n v="31"/>
    <n v="4.9000000000000004"/>
    <x v="0"/>
    <n v="0"/>
    <n v="28"/>
    <x v="0"/>
    <x v="1"/>
    <x v="3"/>
    <x v="2"/>
    <x v="1"/>
    <x v="2"/>
  </r>
  <r>
    <s v="T01023"/>
    <d v="2023-01-11T00:00:00"/>
    <d v="1899-12-30T20:45:00"/>
    <x v="3"/>
    <x v="12"/>
    <s v="Station_26"/>
    <s v="Station_35"/>
    <d v="1899-12-30T20:45:00"/>
    <d v="1899-12-30T21:31:00"/>
    <n v="12"/>
    <n v="4"/>
    <x v="3"/>
    <n v="32.5"/>
    <n v="96"/>
    <n v="18"/>
    <n v="5.0999999999999996"/>
    <x v="0"/>
    <n v="0"/>
    <n v="57"/>
    <x v="0"/>
    <x v="1"/>
    <x v="3"/>
    <x v="3"/>
    <x v="0"/>
    <x v="1"/>
  </r>
  <r>
    <s v="T01024"/>
    <d v="2023-01-11T00:00:00"/>
    <d v="1899-12-30T21:00:00"/>
    <x v="1"/>
    <x v="3"/>
    <s v="Station_17"/>
    <s v="Station_5"/>
    <d v="1899-12-30T21:01:00"/>
    <d v="1899-12-30T21:47:00"/>
    <n v="-1"/>
    <n v="16"/>
    <x v="4"/>
    <n v="-3.2"/>
    <n v="84"/>
    <n v="23"/>
    <n v="18.3"/>
    <x v="1"/>
    <n v="10000"/>
    <n v="97"/>
    <x v="0"/>
    <x v="1"/>
    <x v="3"/>
    <x v="1"/>
    <x v="1"/>
    <x v="0"/>
  </r>
  <r>
    <s v="T01025"/>
    <d v="2023-01-11T00:00:00"/>
    <d v="1899-12-30T21:15:00"/>
    <x v="3"/>
    <x v="3"/>
    <s v="Station_7"/>
    <s v="Station_5"/>
    <d v="1899-12-30T21:15:00"/>
    <d v="1899-12-30T21:50:00"/>
    <n v="14"/>
    <n v="0"/>
    <x v="5"/>
    <n v="25"/>
    <n v="33"/>
    <n v="23"/>
    <n v="10"/>
    <x v="0"/>
    <n v="0"/>
    <n v="93"/>
    <x v="0"/>
    <x v="1"/>
    <x v="3"/>
    <x v="2"/>
    <x v="0"/>
    <x v="0"/>
  </r>
  <r>
    <s v="T01026"/>
    <d v="2023-01-11T00:00:00"/>
    <d v="1899-12-30T21:30:00"/>
    <x v="3"/>
    <x v="17"/>
    <s v="Station_13"/>
    <s v="Station_20"/>
    <d v="1899-12-30T21:32:00"/>
    <d v="1899-12-30T22:22:00"/>
    <n v="4"/>
    <n v="14"/>
    <x v="0"/>
    <n v="-2.1"/>
    <n v="60"/>
    <n v="55"/>
    <n v="13.4"/>
    <x v="1"/>
    <n v="0"/>
    <n v="30"/>
    <x v="0"/>
    <x v="1"/>
    <x v="3"/>
    <x v="0"/>
    <x v="1"/>
    <x v="2"/>
  </r>
  <r>
    <s v="T01027"/>
    <d v="2023-01-11T00:00:00"/>
    <d v="1899-12-30T21:45:00"/>
    <x v="0"/>
    <x v="6"/>
    <s v="Station_5"/>
    <s v="Station_15"/>
    <d v="1899-12-30T21:47:00"/>
    <d v="1899-12-30T22:23:00"/>
    <n v="10"/>
    <n v="0"/>
    <x v="5"/>
    <n v="13.7"/>
    <n v="95"/>
    <n v="16"/>
    <n v="5.6"/>
    <x v="0"/>
    <n v="0"/>
    <n v="85"/>
    <x v="0"/>
    <x v="1"/>
    <x v="3"/>
    <x v="3"/>
    <x v="0"/>
    <x v="0"/>
  </r>
  <r>
    <s v="T01028"/>
    <d v="2023-01-11T00:00:00"/>
    <d v="1899-12-30T22:00:00"/>
    <x v="2"/>
    <x v="6"/>
    <s v="Station_26"/>
    <s v="Station_18"/>
    <d v="1899-12-30T22:01:00"/>
    <d v="1899-12-30T22:40:00"/>
    <n v="-2"/>
    <n v="16"/>
    <x v="0"/>
    <n v="2"/>
    <n v="93"/>
    <n v="55"/>
    <n v="10.5"/>
    <x v="0"/>
    <n v="10000"/>
    <n v="88"/>
    <x v="1"/>
    <x v="1"/>
    <x v="3"/>
    <x v="2"/>
    <x v="1"/>
    <x v="0"/>
  </r>
  <r>
    <s v="T01029"/>
    <d v="2023-01-11T00:00:00"/>
    <d v="1899-12-30T22:15:00"/>
    <x v="2"/>
    <x v="4"/>
    <s v="Station_49"/>
    <s v="Station_47"/>
    <d v="1899-12-30T22:19:00"/>
    <d v="1899-12-30T22:56:00"/>
    <n v="3"/>
    <n v="5"/>
    <x v="4"/>
    <n v="0.6"/>
    <n v="60"/>
    <n v="55"/>
    <n v="7"/>
    <x v="0"/>
    <n v="0"/>
    <n v="67"/>
    <x v="0"/>
    <x v="1"/>
    <x v="3"/>
    <x v="0"/>
    <x v="0"/>
    <x v="0"/>
  </r>
  <r>
    <s v="T01030"/>
    <d v="2023-01-11T00:00:00"/>
    <d v="1899-12-30T22:30:00"/>
    <x v="0"/>
    <x v="11"/>
    <s v="Station_3"/>
    <s v="Station_2"/>
    <d v="1899-12-30T22:34:00"/>
    <d v="1899-12-30T22:58:00"/>
    <n v="10"/>
    <n v="12"/>
    <x v="2"/>
    <n v="0"/>
    <n v="92"/>
    <n v="17"/>
    <n v="6.4"/>
    <x v="0"/>
    <n v="0"/>
    <n v="98"/>
    <x v="0"/>
    <x v="1"/>
    <x v="3"/>
    <x v="3"/>
    <x v="1"/>
    <x v="0"/>
  </r>
  <r>
    <s v="T01031"/>
    <d v="2023-01-11T00:00:00"/>
    <d v="1899-12-30T22:45:00"/>
    <x v="1"/>
    <x v="7"/>
    <s v="Station_7"/>
    <s v="Station_29"/>
    <d v="1899-12-30T22:46:00"/>
    <d v="1899-12-30T23:13:00"/>
    <n v="8"/>
    <n v="22"/>
    <x v="2"/>
    <n v="13.1"/>
    <n v="95"/>
    <n v="11"/>
    <n v="4.9000000000000004"/>
    <x v="0"/>
    <n v="0"/>
    <n v="40"/>
    <x v="1"/>
    <x v="1"/>
    <x v="3"/>
    <x v="2"/>
    <x v="1"/>
    <x v="1"/>
  </r>
  <r>
    <s v="T01032"/>
    <d v="2023-01-11T00:00:00"/>
    <d v="1899-12-30T23:00:00"/>
    <x v="2"/>
    <x v="0"/>
    <s v="Station_49"/>
    <s v="Station_13"/>
    <d v="1899-12-30T23:04:00"/>
    <d v="1899-12-30T23:28:00"/>
    <n v="7"/>
    <n v="21"/>
    <x v="5"/>
    <n v="15.6"/>
    <n v="60"/>
    <n v="40"/>
    <n v="8.1999999999999993"/>
    <x v="0"/>
    <n v="50000"/>
    <n v="49"/>
    <x v="0"/>
    <x v="1"/>
    <x v="3"/>
    <x v="3"/>
    <x v="1"/>
    <x v="1"/>
  </r>
  <r>
    <s v="T01033"/>
    <d v="2023-01-11T00:00:00"/>
    <d v="1899-12-30T23:15:00"/>
    <x v="3"/>
    <x v="2"/>
    <s v="Station_39"/>
    <s v="Station_4"/>
    <d v="1899-12-30T23:18:00"/>
    <d v="1899-12-30T00:01:00"/>
    <n v="13"/>
    <n v="0"/>
    <x v="0"/>
    <n v="0.3"/>
    <n v="76"/>
    <n v="22"/>
    <n v="13.2"/>
    <x v="0"/>
    <n v="0"/>
    <n v="43"/>
    <x v="0"/>
    <x v="1"/>
    <x v="3"/>
    <x v="2"/>
    <x v="0"/>
    <x v="1"/>
  </r>
  <r>
    <s v="T01034"/>
    <d v="2023-01-11T00:00:00"/>
    <d v="1899-12-30T23:30:00"/>
    <x v="2"/>
    <x v="5"/>
    <s v="Station_1"/>
    <s v="Station_42"/>
    <d v="1899-12-30T23:34:00"/>
    <d v="1899-12-30T00:06:00"/>
    <n v="17"/>
    <n v="15"/>
    <x v="2"/>
    <n v="34.200000000000003"/>
    <n v="51"/>
    <n v="55"/>
    <n v="4.4000000000000004"/>
    <x v="1"/>
    <n v="0"/>
    <n v="8"/>
    <x v="0"/>
    <x v="1"/>
    <x v="3"/>
    <x v="1"/>
    <x v="1"/>
    <x v="2"/>
  </r>
  <r>
    <s v="T01035"/>
    <d v="2023-01-11T00:00:00"/>
    <d v="1899-12-30T23:45:00"/>
    <x v="3"/>
    <x v="4"/>
    <s v="Station_49"/>
    <s v="Station_45"/>
    <d v="1899-12-30T23:49:00"/>
    <d v="1899-12-30T00:12:00"/>
    <n v="14"/>
    <n v="10"/>
    <x v="0"/>
    <n v="5.3"/>
    <n v="75"/>
    <n v="47"/>
    <n v="19.3"/>
    <x v="4"/>
    <n v="500"/>
    <n v="58"/>
    <x v="0"/>
    <x v="1"/>
    <x v="3"/>
    <x v="3"/>
    <x v="1"/>
    <x v="1"/>
  </r>
  <r>
    <s v="T01036"/>
    <d v="2023-01-12T00:00:00"/>
    <d v="1899-12-30T00:00:00"/>
    <x v="1"/>
    <x v="4"/>
    <s v="Station_17"/>
    <s v="Station_10"/>
    <d v="1899-12-30T00:04:00"/>
    <d v="1899-12-30T00:35:00"/>
    <n v="14"/>
    <n v="17"/>
    <x v="4"/>
    <n v="13.4"/>
    <n v="87"/>
    <n v="17"/>
    <n v="2.5"/>
    <x v="0"/>
    <n v="0"/>
    <n v="89"/>
    <x v="0"/>
    <x v="0"/>
    <x v="4"/>
    <x v="3"/>
    <x v="1"/>
    <x v="0"/>
  </r>
  <r>
    <s v="T01037"/>
    <d v="2023-01-12T00:00:00"/>
    <d v="1899-12-30T00:15:00"/>
    <x v="0"/>
    <x v="9"/>
    <s v="Station_43"/>
    <s v="Station_31"/>
    <d v="1899-12-30T00:18:00"/>
    <d v="1899-12-30T00:52:00"/>
    <n v="1"/>
    <n v="11"/>
    <x v="5"/>
    <n v="3.7"/>
    <n v="90"/>
    <n v="15"/>
    <n v="9.6"/>
    <x v="4"/>
    <n v="0"/>
    <n v="90"/>
    <x v="0"/>
    <x v="1"/>
    <x v="4"/>
    <x v="2"/>
    <x v="1"/>
    <x v="0"/>
  </r>
  <r>
    <s v="T01038"/>
    <d v="2023-01-12T00:00:00"/>
    <d v="1899-12-30T00:30:00"/>
    <x v="2"/>
    <x v="16"/>
    <s v="Station_25"/>
    <s v="Station_41"/>
    <d v="1899-12-30T00:34:00"/>
    <d v="1899-12-30T01:22:00"/>
    <n v="2"/>
    <n v="-1"/>
    <x v="0"/>
    <n v="14.8"/>
    <n v="75"/>
    <n v="15"/>
    <n v="1.7"/>
    <x v="4"/>
    <n v="50000"/>
    <n v="26"/>
    <x v="0"/>
    <x v="1"/>
    <x v="4"/>
    <x v="1"/>
    <x v="0"/>
    <x v="2"/>
  </r>
  <r>
    <s v="T01039"/>
    <d v="2023-01-12T00:00:00"/>
    <d v="1899-12-30T00:45:00"/>
    <x v="0"/>
    <x v="0"/>
    <s v="Station_3"/>
    <s v="Station_8"/>
    <d v="1899-12-30T00:48:00"/>
    <d v="1899-12-30T01:05:00"/>
    <n v="11"/>
    <n v="12"/>
    <x v="5"/>
    <n v="25.2"/>
    <n v="30"/>
    <n v="35"/>
    <n v="0.5"/>
    <x v="0"/>
    <n v="0"/>
    <n v="81"/>
    <x v="0"/>
    <x v="0"/>
    <x v="4"/>
    <x v="3"/>
    <x v="1"/>
    <x v="0"/>
  </r>
  <r>
    <s v="T01040"/>
    <d v="2023-01-12T00:00:00"/>
    <d v="1899-12-30T01:00:00"/>
    <x v="2"/>
    <x v="8"/>
    <s v="Station_15"/>
    <s v="Station_3"/>
    <d v="1899-12-30T01:01:00"/>
    <d v="1899-12-30T01:31:00"/>
    <n v="17"/>
    <n v="10"/>
    <x v="0"/>
    <n v="15.8"/>
    <n v="54"/>
    <n v="22"/>
    <n v="18.5"/>
    <x v="0"/>
    <n v="2000"/>
    <n v="93"/>
    <x v="0"/>
    <x v="1"/>
    <x v="4"/>
    <x v="1"/>
    <x v="1"/>
    <x v="0"/>
  </r>
  <r>
    <s v="T01041"/>
    <d v="2023-01-12T00:00:00"/>
    <d v="1899-12-30T01:15:00"/>
    <x v="3"/>
    <x v="15"/>
    <s v="Station_29"/>
    <s v="Station_48"/>
    <d v="1899-12-30T01:15:00"/>
    <d v="1899-12-30T01:40:00"/>
    <n v="7"/>
    <n v="5"/>
    <x v="3"/>
    <n v="6.4"/>
    <n v="90"/>
    <n v="21"/>
    <n v="16.2"/>
    <x v="0"/>
    <n v="10000"/>
    <n v="58"/>
    <x v="0"/>
    <x v="1"/>
    <x v="4"/>
    <x v="1"/>
    <x v="0"/>
    <x v="1"/>
  </r>
  <r>
    <s v="T01042"/>
    <d v="2023-01-12T00:00:00"/>
    <d v="1899-12-30T01:30:00"/>
    <x v="0"/>
    <x v="5"/>
    <s v="Station_43"/>
    <s v="Station_46"/>
    <d v="1899-12-30T01:31:00"/>
    <d v="1899-12-30T01:54:00"/>
    <n v="11"/>
    <n v="3"/>
    <x v="3"/>
    <n v="4.9000000000000004"/>
    <n v="43"/>
    <n v="38"/>
    <n v="13.9"/>
    <x v="0"/>
    <n v="0"/>
    <n v="94"/>
    <x v="0"/>
    <x v="1"/>
    <x v="4"/>
    <x v="3"/>
    <x v="0"/>
    <x v="0"/>
  </r>
  <r>
    <s v="T01043"/>
    <d v="2023-01-12T00:00:00"/>
    <d v="1899-12-30T01:45:00"/>
    <x v="2"/>
    <x v="18"/>
    <s v="Station_32"/>
    <s v="Station_9"/>
    <d v="1899-12-30T01:45:00"/>
    <d v="1899-12-30T02:20:00"/>
    <n v="-2"/>
    <n v="10"/>
    <x v="0"/>
    <n v="25.4"/>
    <n v="74"/>
    <n v="32"/>
    <n v="17.3"/>
    <x v="0"/>
    <n v="0"/>
    <n v="2"/>
    <x v="0"/>
    <x v="0"/>
    <x v="4"/>
    <x v="0"/>
    <x v="1"/>
    <x v="2"/>
  </r>
  <r>
    <s v="T01044"/>
    <d v="2023-01-12T00:00:00"/>
    <d v="1899-12-30T02:00:00"/>
    <x v="3"/>
    <x v="18"/>
    <s v="Station_26"/>
    <s v="Station_30"/>
    <d v="1899-12-30T02:01:00"/>
    <d v="1899-12-30T02:37:00"/>
    <n v="8"/>
    <n v="2"/>
    <x v="4"/>
    <n v="-0.3"/>
    <n v="68"/>
    <n v="23"/>
    <n v="16.100000000000001"/>
    <x v="0"/>
    <n v="50000"/>
    <n v="92"/>
    <x v="0"/>
    <x v="0"/>
    <x v="4"/>
    <x v="2"/>
    <x v="0"/>
    <x v="0"/>
  </r>
  <r>
    <s v="T01045"/>
    <d v="2023-01-12T00:00:00"/>
    <d v="1899-12-30T02:15:00"/>
    <x v="0"/>
    <x v="13"/>
    <s v="Station_16"/>
    <s v="Station_11"/>
    <d v="1899-12-30T02:15:00"/>
    <d v="1899-12-30T02:52:00"/>
    <n v="15"/>
    <n v="17"/>
    <x v="5"/>
    <n v="9.8000000000000007"/>
    <n v="95"/>
    <n v="54"/>
    <n v="12.9"/>
    <x v="0"/>
    <n v="2000"/>
    <n v="6"/>
    <x v="0"/>
    <x v="1"/>
    <x v="4"/>
    <x v="3"/>
    <x v="1"/>
    <x v="2"/>
  </r>
  <r>
    <s v="T01046"/>
    <d v="2023-01-12T00:00:00"/>
    <d v="1899-12-30T02:30:00"/>
    <x v="0"/>
    <x v="9"/>
    <s v="Station_25"/>
    <s v="Station_35"/>
    <d v="1899-12-30T02:30:00"/>
    <d v="1899-12-30T02:50:00"/>
    <n v="13"/>
    <n v="11"/>
    <x v="1"/>
    <n v="1.1000000000000001"/>
    <n v="61"/>
    <n v="19"/>
    <n v="16.899999999999999"/>
    <x v="5"/>
    <n v="0"/>
    <n v="81"/>
    <x v="0"/>
    <x v="1"/>
    <x v="4"/>
    <x v="1"/>
    <x v="1"/>
    <x v="0"/>
  </r>
  <r>
    <s v="T01047"/>
    <d v="2023-01-12T00:00:00"/>
    <d v="1899-12-30T02:45:00"/>
    <x v="2"/>
    <x v="9"/>
    <s v="Station_28"/>
    <s v="Station_37"/>
    <d v="1899-12-30T02:47:00"/>
    <d v="1899-12-30T03:23:00"/>
    <n v="15"/>
    <n v="4"/>
    <x v="0"/>
    <n v="5.3"/>
    <n v="87"/>
    <n v="32"/>
    <n v="7.8"/>
    <x v="0"/>
    <n v="0"/>
    <n v="15"/>
    <x v="0"/>
    <x v="1"/>
    <x v="4"/>
    <x v="2"/>
    <x v="0"/>
    <x v="2"/>
  </r>
  <r>
    <s v="T01048"/>
    <d v="2023-01-12T00:00:00"/>
    <d v="1899-12-30T03:00:00"/>
    <x v="2"/>
    <x v="8"/>
    <s v="Station_9"/>
    <s v="Station_42"/>
    <d v="1899-12-30T03:00:00"/>
    <d v="1899-12-30T03:27:00"/>
    <n v="5"/>
    <n v="-3"/>
    <x v="0"/>
    <n v="1.1000000000000001"/>
    <n v="85"/>
    <n v="30"/>
    <n v="11.1"/>
    <x v="1"/>
    <n v="500"/>
    <n v="48"/>
    <x v="0"/>
    <x v="1"/>
    <x v="4"/>
    <x v="3"/>
    <x v="0"/>
    <x v="1"/>
  </r>
  <r>
    <s v="T01049"/>
    <d v="2023-01-12T00:00:00"/>
    <d v="1899-12-30T03:15:00"/>
    <x v="2"/>
    <x v="11"/>
    <s v="Station_1"/>
    <s v="Station_13"/>
    <d v="1899-12-30T03:15:00"/>
    <d v="1899-12-30T03:37:00"/>
    <n v="7"/>
    <n v="28"/>
    <x v="3"/>
    <n v="30.5"/>
    <n v="35"/>
    <n v="39"/>
    <n v="15.5"/>
    <x v="2"/>
    <n v="0"/>
    <n v="31"/>
    <x v="0"/>
    <x v="1"/>
    <x v="4"/>
    <x v="2"/>
    <x v="1"/>
    <x v="2"/>
  </r>
  <r>
    <s v="T01050"/>
    <d v="2023-01-12T00:00:00"/>
    <d v="1899-12-30T03:30:00"/>
    <x v="3"/>
    <x v="18"/>
    <s v="Station_29"/>
    <s v="Station_36"/>
    <d v="1899-12-30T03:32:00"/>
    <d v="1899-12-30T04:14:00"/>
    <n v="7"/>
    <n v="1"/>
    <x v="2"/>
    <n v="24.3"/>
    <n v="96"/>
    <n v="57"/>
    <n v="1.7"/>
    <x v="0"/>
    <n v="0"/>
    <n v="88"/>
    <x v="0"/>
    <x v="1"/>
    <x v="4"/>
    <x v="2"/>
    <x v="0"/>
    <x v="0"/>
  </r>
  <r>
    <s v="T01051"/>
    <d v="2023-01-12T00:00:00"/>
    <d v="1899-12-30T03:45:00"/>
    <x v="2"/>
    <x v="1"/>
    <s v="Station_22"/>
    <s v="Station_13"/>
    <d v="1899-12-30T03:49:00"/>
    <d v="1899-12-30T04:09:00"/>
    <n v="2"/>
    <n v="26"/>
    <x v="3"/>
    <n v="17.399999999999999"/>
    <n v="79"/>
    <n v="54"/>
    <n v="17.2"/>
    <x v="5"/>
    <n v="50000"/>
    <n v="43"/>
    <x v="0"/>
    <x v="1"/>
    <x v="4"/>
    <x v="1"/>
    <x v="1"/>
    <x v="1"/>
  </r>
  <r>
    <s v="T01052"/>
    <d v="2023-01-12T00:00:00"/>
    <d v="1899-12-30T04:00:00"/>
    <x v="0"/>
    <x v="4"/>
    <s v="Station_16"/>
    <s v="Station_12"/>
    <d v="1899-12-30T04:04:00"/>
    <d v="1899-12-30T04:59:00"/>
    <n v="7"/>
    <n v="18"/>
    <x v="5"/>
    <n v="4"/>
    <n v="67"/>
    <n v="7"/>
    <n v="3.1"/>
    <x v="0"/>
    <n v="0"/>
    <n v="95"/>
    <x v="0"/>
    <x v="0"/>
    <x v="4"/>
    <x v="0"/>
    <x v="1"/>
    <x v="0"/>
  </r>
  <r>
    <s v="T01053"/>
    <d v="2023-01-12T00:00:00"/>
    <d v="1899-12-30T04:15:00"/>
    <x v="0"/>
    <x v="16"/>
    <s v="Station_41"/>
    <s v="Station_37"/>
    <d v="1899-12-30T04:17:00"/>
    <d v="1899-12-30T04:53:00"/>
    <n v="15"/>
    <n v="16"/>
    <x v="3"/>
    <n v="15.4"/>
    <n v="32"/>
    <n v="9"/>
    <n v="17.3"/>
    <x v="5"/>
    <n v="10000"/>
    <n v="18"/>
    <x v="0"/>
    <x v="1"/>
    <x v="4"/>
    <x v="0"/>
    <x v="1"/>
    <x v="2"/>
  </r>
  <r>
    <s v="T01054"/>
    <d v="2023-01-12T00:00:00"/>
    <d v="1899-12-30T04:30:00"/>
    <x v="2"/>
    <x v="10"/>
    <s v="Station_44"/>
    <s v="Station_10"/>
    <d v="1899-12-30T04:33:00"/>
    <d v="1899-12-30T05:07:00"/>
    <n v="18"/>
    <n v="12"/>
    <x v="1"/>
    <n v="15.8"/>
    <n v="34"/>
    <n v="0"/>
    <n v="6.2"/>
    <x v="0"/>
    <n v="500"/>
    <n v="2"/>
    <x v="0"/>
    <x v="1"/>
    <x v="4"/>
    <x v="2"/>
    <x v="1"/>
    <x v="2"/>
  </r>
  <r>
    <s v="T01055"/>
    <d v="2023-01-12T00:00:00"/>
    <d v="1899-12-30T04:45:00"/>
    <x v="2"/>
    <x v="2"/>
    <s v="Station_41"/>
    <s v="Station_9"/>
    <d v="1899-12-30T04:45:00"/>
    <d v="1899-12-30T05:35:00"/>
    <n v="3"/>
    <n v="3"/>
    <x v="4"/>
    <n v="18.600000000000001"/>
    <n v="53"/>
    <n v="20"/>
    <n v="6.5"/>
    <x v="0"/>
    <n v="0"/>
    <n v="59"/>
    <x v="0"/>
    <x v="0"/>
    <x v="4"/>
    <x v="1"/>
    <x v="0"/>
    <x v="1"/>
  </r>
  <r>
    <s v="T01056"/>
    <d v="2023-01-12T00:00:00"/>
    <d v="1899-12-30T05:00:00"/>
    <x v="1"/>
    <x v="16"/>
    <s v="Station_7"/>
    <s v="Station_7"/>
    <d v="1899-12-30T05:00:00"/>
    <d v="1899-12-30T05:52:00"/>
    <n v="0"/>
    <n v="3"/>
    <x v="1"/>
    <n v="-2.6"/>
    <n v="83"/>
    <n v="24"/>
    <n v="1.5"/>
    <x v="4"/>
    <n v="2000"/>
    <n v="34"/>
    <x v="0"/>
    <x v="0"/>
    <x v="4"/>
    <x v="1"/>
    <x v="0"/>
    <x v="1"/>
  </r>
  <r>
    <s v="T01057"/>
    <d v="2023-01-12T00:00:00"/>
    <d v="1899-12-30T05:15:00"/>
    <x v="0"/>
    <x v="17"/>
    <s v="Station_14"/>
    <s v="Station_2"/>
    <d v="1899-12-30T05:17:00"/>
    <d v="1899-12-30T05:52:00"/>
    <n v="5"/>
    <n v="-2"/>
    <x v="4"/>
    <n v="33.9"/>
    <n v="63"/>
    <n v="31"/>
    <n v="17.7"/>
    <x v="5"/>
    <n v="0"/>
    <n v="28"/>
    <x v="0"/>
    <x v="1"/>
    <x v="4"/>
    <x v="3"/>
    <x v="0"/>
    <x v="2"/>
  </r>
  <r>
    <s v="T01058"/>
    <d v="2023-01-12T00:00:00"/>
    <d v="1899-12-30T05:30:00"/>
    <x v="3"/>
    <x v="11"/>
    <s v="Station_29"/>
    <s v="Station_23"/>
    <d v="1899-12-30T05:32:00"/>
    <d v="1899-12-30T06:28:00"/>
    <n v="6"/>
    <n v="10"/>
    <x v="1"/>
    <n v="13.6"/>
    <n v="68"/>
    <n v="52"/>
    <n v="3.5"/>
    <x v="0"/>
    <n v="0"/>
    <n v="74"/>
    <x v="1"/>
    <x v="1"/>
    <x v="4"/>
    <x v="2"/>
    <x v="1"/>
    <x v="0"/>
  </r>
  <r>
    <s v="T01059"/>
    <d v="2023-01-12T00:00:00"/>
    <d v="1899-12-30T05:45:00"/>
    <x v="1"/>
    <x v="0"/>
    <s v="Station_19"/>
    <s v="Station_39"/>
    <d v="1899-12-30T05:48:00"/>
    <d v="1899-12-30T06:20:00"/>
    <n v="2"/>
    <n v="27"/>
    <x v="3"/>
    <n v="32.1"/>
    <n v="77"/>
    <n v="45"/>
    <n v="12.6"/>
    <x v="1"/>
    <n v="0"/>
    <n v="69"/>
    <x v="0"/>
    <x v="1"/>
    <x v="4"/>
    <x v="3"/>
    <x v="1"/>
    <x v="0"/>
  </r>
  <r>
    <s v="T01060"/>
    <d v="2023-01-12T00:00:00"/>
    <d v="1899-12-30T06:00:00"/>
    <x v="2"/>
    <x v="5"/>
    <s v="Station_19"/>
    <s v="Station_40"/>
    <d v="1899-12-30T06:04:00"/>
    <d v="1899-12-30T06:35:00"/>
    <n v="-1"/>
    <n v="10"/>
    <x v="1"/>
    <n v="-4.5999999999999996"/>
    <n v="78"/>
    <n v="45"/>
    <n v="12.9"/>
    <x v="1"/>
    <n v="0"/>
    <n v="82"/>
    <x v="0"/>
    <x v="0"/>
    <x v="4"/>
    <x v="1"/>
    <x v="1"/>
    <x v="0"/>
  </r>
  <r>
    <s v="T01061"/>
    <d v="2023-01-12T00:00:00"/>
    <d v="1899-12-30T06:15:00"/>
    <x v="2"/>
    <x v="4"/>
    <s v="Station_2"/>
    <s v="Station_39"/>
    <d v="1899-12-30T06:16:00"/>
    <d v="1899-12-30T07:12:00"/>
    <n v="-1"/>
    <n v="1"/>
    <x v="3"/>
    <n v="4.9000000000000004"/>
    <n v="63"/>
    <n v="9"/>
    <n v="5.6"/>
    <x v="0"/>
    <n v="500"/>
    <n v="44"/>
    <x v="0"/>
    <x v="1"/>
    <x v="4"/>
    <x v="2"/>
    <x v="0"/>
    <x v="1"/>
  </r>
  <r>
    <s v="T01062"/>
    <d v="2023-01-12T00:00:00"/>
    <d v="1899-12-30T06:30:00"/>
    <x v="0"/>
    <x v="8"/>
    <s v="Station_41"/>
    <s v="Station_21"/>
    <d v="1899-12-30T06:34:00"/>
    <d v="1899-12-30T06:56:00"/>
    <n v="4"/>
    <n v="7"/>
    <x v="3"/>
    <n v="-0.8"/>
    <n v="36"/>
    <n v="59"/>
    <n v="19.7"/>
    <x v="0"/>
    <n v="50000"/>
    <n v="26"/>
    <x v="0"/>
    <x v="1"/>
    <x v="4"/>
    <x v="0"/>
    <x v="1"/>
    <x v="2"/>
  </r>
  <r>
    <s v="T01063"/>
    <d v="2023-01-12T00:00:00"/>
    <d v="1899-12-30T06:45:00"/>
    <x v="2"/>
    <x v="9"/>
    <s v="Station_45"/>
    <s v="Station_23"/>
    <d v="1899-12-30T06:45:00"/>
    <d v="1899-12-30T07:18:00"/>
    <n v="14"/>
    <n v="1"/>
    <x v="5"/>
    <n v="25.8"/>
    <n v="47"/>
    <n v="50"/>
    <n v="1.3"/>
    <x v="0"/>
    <n v="10000"/>
    <n v="68"/>
    <x v="1"/>
    <x v="1"/>
    <x v="4"/>
    <x v="0"/>
    <x v="0"/>
    <x v="0"/>
  </r>
  <r>
    <s v="T01064"/>
    <d v="2023-01-12T00:00:00"/>
    <d v="1899-12-30T07:00:00"/>
    <x v="3"/>
    <x v="4"/>
    <s v="Station_15"/>
    <s v="Station_29"/>
    <d v="1899-12-30T07:02:00"/>
    <d v="1899-12-30T07:44:00"/>
    <n v="7"/>
    <n v="25"/>
    <x v="3"/>
    <n v="7.8"/>
    <n v="99"/>
    <n v="56"/>
    <n v="12.2"/>
    <x v="0"/>
    <n v="0"/>
    <n v="89"/>
    <x v="0"/>
    <x v="1"/>
    <x v="4"/>
    <x v="3"/>
    <x v="1"/>
    <x v="0"/>
  </r>
  <r>
    <s v="T01065"/>
    <d v="2023-01-12T00:00:00"/>
    <d v="1899-12-30T07:15:00"/>
    <x v="0"/>
    <x v="13"/>
    <s v="Station_3"/>
    <s v="Station_14"/>
    <d v="1899-12-30T07:18:00"/>
    <d v="1899-12-30T08:06:00"/>
    <n v="9"/>
    <n v="7"/>
    <x v="2"/>
    <n v="28.6"/>
    <n v="63"/>
    <n v="47"/>
    <n v="9.6"/>
    <x v="1"/>
    <n v="2000"/>
    <n v="34"/>
    <x v="0"/>
    <x v="0"/>
    <x v="4"/>
    <x v="2"/>
    <x v="1"/>
    <x v="1"/>
  </r>
  <r>
    <s v="T01066"/>
    <d v="2023-01-12T00:00:00"/>
    <d v="1899-12-30T07:30:00"/>
    <x v="2"/>
    <x v="8"/>
    <s v="Station_11"/>
    <s v="Station_26"/>
    <d v="1899-12-30T07:34:00"/>
    <d v="1899-12-30T08:27:00"/>
    <n v="-1"/>
    <n v="1"/>
    <x v="1"/>
    <n v="28.3"/>
    <n v="80"/>
    <n v="8"/>
    <n v="4.9000000000000004"/>
    <x v="5"/>
    <n v="0"/>
    <n v="18"/>
    <x v="1"/>
    <x v="1"/>
    <x v="4"/>
    <x v="1"/>
    <x v="0"/>
    <x v="2"/>
  </r>
  <r>
    <s v="T01067"/>
    <d v="2023-01-12T00:00:00"/>
    <d v="1899-12-30T07:45:00"/>
    <x v="0"/>
    <x v="14"/>
    <s v="Station_46"/>
    <s v="Station_5"/>
    <d v="1899-12-30T07:48:00"/>
    <d v="1899-12-30T08:26:00"/>
    <n v="7"/>
    <n v="28"/>
    <x v="0"/>
    <n v="21.7"/>
    <n v="97"/>
    <n v="19"/>
    <n v="3.3"/>
    <x v="1"/>
    <n v="0"/>
    <n v="16"/>
    <x v="0"/>
    <x v="1"/>
    <x v="4"/>
    <x v="3"/>
    <x v="1"/>
    <x v="2"/>
  </r>
  <r>
    <s v="T01068"/>
    <d v="2023-01-12T00:00:00"/>
    <d v="1899-12-30T08:00:00"/>
    <x v="2"/>
    <x v="14"/>
    <s v="Station_30"/>
    <s v="Station_31"/>
    <d v="1899-12-30T08:04:00"/>
    <d v="1899-12-30T08:35:00"/>
    <n v="17"/>
    <n v="11"/>
    <x v="0"/>
    <n v="21.6"/>
    <n v="43"/>
    <n v="47"/>
    <n v="14.7"/>
    <x v="3"/>
    <n v="0"/>
    <n v="34"/>
    <x v="0"/>
    <x v="1"/>
    <x v="4"/>
    <x v="0"/>
    <x v="1"/>
    <x v="1"/>
  </r>
  <r>
    <s v="T01069"/>
    <d v="2023-01-12T00:00:00"/>
    <d v="1899-12-30T08:15:00"/>
    <x v="2"/>
    <x v="1"/>
    <s v="Station_40"/>
    <s v="Station_25"/>
    <d v="1899-12-30T08:15:00"/>
    <d v="1899-12-30T09:03:00"/>
    <n v="-2"/>
    <n v="15"/>
    <x v="0"/>
    <n v="23"/>
    <n v="98"/>
    <n v="19"/>
    <n v="18.3"/>
    <x v="0"/>
    <n v="0"/>
    <n v="76"/>
    <x v="0"/>
    <x v="1"/>
    <x v="4"/>
    <x v="1"/>
    <x v="1"/>
    <x v="0"/>
  </r>
  <r>
    <s v="T01070"/>
    <d v="2023-01-12T00:00:00"/>
    <d v="1899-12-30T08:30:00"/>
    <x v="2"/>
    <x v="3"/>
    <s v="Station_18"/>
    <s v="Station_31"/>
    <d v="1899-12-30T08:31:00"/>
    <d v="1899-12-30T09:05:00"/>
    <n v="1"/>
    <n v="18"/>
    <x v="2"/>
    <n v="22"/>
    <n v="37"/>
    <n v="58"/>
    <n v="2.2000000000000002"/>
    <x v="0"/>
    <n v="0"/>
    <n v="77"/>
    <x v="0"/>
    <x v="1"/>
    <x v="4"/>
    <x v="2"/>
    <x v="1"/>
    <x v="0"/>
  </r>
  <r>
    <s v="T01071"/>
    <d v="2023-01-12T00:00:00"/>
    <d v="1899-12-30T08:45:00"/>
    <x v="3"/>
    <x v="13"/>
    <s v="Station_48"/>
    <s v="Station_50"/>
    <d v="1899-12-30T08:48:00"/>
    <d v="1899-12-30T09:16:00"/>
    <n v="10"/>
    <n v="13"/>
    <x v="3"/>
    <n v="10.5"/>
    <n v="44"/>
    <n v="39"/>
    <n v="3.9"/>
    <x v="5"/>
    <n v="0"/>
    <n v="29"/>
    <x v="0"/>
    <x v="0"/>
    <x v="4"/>
    <x v="0"/>
    <x v="1"/>
    <x v="2"/>
  </r>
  <r>
    <s v="T01072"/>
    <d v="2023-01-12T00:00:00"/>
    <d v="1899-12-30T09:00:00"/>
    <x v="3"/>
    <x v="5"/>
    <s v="Station_2"/>
    <s v="Station_20"/>
    <d v="1899-12-30T09:03:00"/>
    <d v="1899-12-30T09:36:00"/>
    <n v="9"/>
    <n v="8"/>
    <x v="1"/>
    <n v="22.3"/>
    <n v="88"/>
    <n v="6"/>
    <n v="19.7"/>
    <x v="5"/>
    <n v="0"/>
    <n v="47"/>
    <x v="0"/>
    <x v="0"/>
    <x v="4"/>
    <x v="1"/>
    <x v="1"/>
    <x v="1"/>
  </r>
  <r>
    <s v="T01073"/>
    <d v="2023-01-12T00:00:00"/>
    <d v="1899-12-30T09:15:00"/>
    <x v="0"/>
    <x v="15"/>
    <s v="Station_32"/>
    <s v="Station_44"/>
    <d v="1899-12-30T09:16:00"/>
    <d v="1899-12-30T10:11:00"/>
    <n v="8"/>
    <n v="21"/>
    <x v="4"/>
    <n v="30.9"/>
    <n v="40"/>
    <n v="10"/>
    <n v="0.3"/>
    <x v="0"/>
    <n v="0"/>
    <n v="56"/>
    <x v="0"/>
    <x v="1"/>
    <x v="4"/>
    <x v="0"/>
    <x v="1"/>
    <x v="1"/>
  </r>
  <r>
    <s v="T01074"/>
    <d v="2023-01-12T00:00:00"/>
    <d v="1899-12-30T09:30:00"/>
    <x v="2"/>
    <x v="12"/>
    <s v="Station_8"/>
    <s v="Station_17"/>
    <d v="1899-12-30T09:33:00"/>
    <d v="1899-12-30T10:16:00"/>
    <n v="7"/>
    <n v="13"/>
    <x v="4"/>
    <n v="8.3000000000000007"/>
    <n v="49"/>
    <n v="20"/>
    <n v="10.199999999999999"/>
    <x v="0"/>
    <n v="50000"/>
    <n v="16"/>
    <x v="0"/>
    <x v="1"/>
    <x v="4"/>
    <x v="2"/>
    <x v="1"/>
    <x v="2"/>
  </r>
  <r>
    <s v="T01075"/>
    <d v="2023-01-12T00:00:00"/>
    <d v="1899-12-30T09:45:00"/>
    <x v="2"/>
    <x v="5"/>
    <s v="Station_22"/>
    <s v="Station_45"/>
    <d v="1899-12-30T09:48:00"/>
    <d v="1899-12-30T10:29:00"/>
    <n v="12"/>
    <n v="6"/>
    <x v="5"/>
    <n v="32.799999999999997"/>
    <n v="84"/>
    <n v="37"/>
    <n v="10.3"/>
    <x v="2"/>
    <n v="50000"/>
    <n v="14"/>
    <x v="0"/>
    <x v="0"/>
    <x v="4"/>
    <x v="3"/>
    <x v="1"/>
    <x v="2"/>
  </r>
  <r>
    <s v="T01076"/>
    <d v="2023-01-12T00:00:00"/>
    <d v="1899-12-30T10:00:00"/>
    <x v="3"/>
    <x v="1"/>
    <s v="Station_6"/>
    <s v="Station_2"/>
    <d v="1899-12-30T10:04:00"/>
    <d v="1899-12-30T10:32:00"/>
    <n v="2"/>
    <n v="24"/>
    <x v="2"/>
    <n v="-4.5"/>
    <n v="65"/>
    <n v="46"/>
    <n v="5.3"/>
    <x v="0"/>
    <n v="500"/>
    <n v="81"/>
    <x v="0"/>
    <x v="1"/>
    <x v="4"/>
    <x v="1"/>
    <x v="1"/>
    <x v="0"/>
  </r>
  <r>
    <s v="T01077"/>
    <d v="2023-01-12T00:00:00"/>
    <d v="1899-12-30T10:15:00"/>
    <x v="2"/>
    <x v="9"/>
    <s v="Station_12"/>
    <s v="Station_25"/>
    <d v="1899-12-30T10:19:00"/>
    <d v="1899-12-30T10:42:00"/>
    <n v="14"/>
    <n v="14"/>
    <x v="1"/>
    <n v="9"/>
    <n v="43"/>
    <n v="18"/>
    <n v="13.3"/>
    <x v="0"/>
    <n v="0"/>
    <n v="13"/>
    <x v="0"/>
    <x v="0"/>
    <x v="4"/>
    <x v="1"/>
    <x v="1"/>
    <x v="2"/>
  </r>
  <r>
    <s v="T01078"/>
    <d v="2023-01-12T00:00:00"/>
    <d v="1899-12-30T10:30:00"/>
    <x v="3"/>
    <x v="0"/>
    <s v="Station_47"/>
    <s v="Station_13"/>
    <d v="1899-12-30T10:31:00"/>
    <d v="1899-12-30T10:54:00"/>
    <n v="2"/>
    <n v="14"/>
    <x v="3"/>
    <n v="0.3"/>
    <n v="87"/>
    <n v="45"/>
    <n v="18.899999999999999"/>
    <x v="4"/>
    <n v="2000"/>
    <n v="13"/>
    <x v="0"/>
    <x v="1"/>
    <x v="4"/>
    <x v="2"/>
    <x v="1"/>
    <x v="2"/>
  </r>
  <r>
    <s v="T01079"/>
    <d v="2023-01-12T00:00:00"/>
    <d v="1899-12-30T10:45:00"/>
    <x v="2"/>
    <x v="8"/>
    <s v="Station_40"/>
    <s v="Station_39"/>
    <d v="1899-12-30T10:45:00"/>
    <d v="1899-12-30T11:16:00"/>
    <n v="-1"/>
    <n v="28"/>
    <x v="0"/>
    <n v="0.1"/>
    <n v="67"/>
    <n v="14"/>
    <n v="9"/>
    <x v="3"/>
    <n v="2000"/>
    <n v="44"/>
    <x v="0"/>
    <x v="1"/>
    <x v="4"/>
    <x v="0"/>
    <x v="1"/>
    <x v="1"/>
  </r>
  <r>
    <s v="T01080"/>
    <d v="2023-01-12T00:00:00"/>
    <d v="1899-12-30T11:00:00"/>
    <x v="0"/>
    <x v="10"/>
    <s v="Station_36"/>
    <s v="Station_28"/>
    <d v="1899-12-30T11:03:00"/>
    <d v="1899-12-30T11:22:00"/>
    <n v="6"/>
    <n v="10"/>
    <x v="2"/>
    <n v="27.6"/>
    <n v="30"/>
    <n v="5"/>
    <n v="15"/>
    <x v="1"/>
    <n v="2000"/>
    <n v="96"/>
    <x v="0"/>
    <x v="1"/>
    <x v="4"/>
    <x v="0"/>
    <x v="1"/>
    <x v="0"/>
  </r>
  <r>
    <s v="T01081"/>
    <d v="2023-01-12T00:00:00"/>
    <d v="1899-12-30T11:15:00"/>
    <x v="2"/>
    <x v="4"/>
    <s v="Station_15"/>
    <s v="Station_42"/>
    <d v="1899-12-30T11:15:00"/>
    <d v="1899-12-30T12:09:00"/>
    <n v="3"/>
    <n v="12"/>
    <x v="2"/>
    <n v="31.7"/>
    <n v="94"/>
    <n v="55"/>
    <n v="12.9"/>
    <x v="1"/>
    <n v="0"/>
    <n v="37"/>
    <x v="0"/>
    <x v="0"/>
    <x v="4"/>
    <x v="0"/>
    <x v="1"/>
    <x v="1"/>
  </r>
  <r>
    <s v="T01082"/>
    <d v="2023-01-12T00:00:00"/>
    <d v="1899-12-30T11:30:00"/>
    <x v="2"/>
    <x v="13"/>
    <s v="Station_28"/>
    <s v="Station_6"/>
    <d v="1899-12-30T11:31:00"/>
    <d v="1899-12-30T12:22:00"/>
    <n v="15"/>
    <n v="14"/>
    <x v="1"/>
    <n v="26.1"/>
    <n v="30"/>
    <n v="9"/>
    <n v="9.5"/>
    <x v="0"/>
    <n v="0"/>
    <n v="62"/>
    <x v="0"/>
    <x v="0"/>
    <x v="4"/>
    <x v="1"/>
    <x v="1"/>
    <x v="1"/>
  </r>
  <r>
    <s v="T01083"/>
    <d v="2023-01-12T00:00:00"/>
    <d v="1899-12-30T11:45:00"/>
    <x v="1"/>
    <x v="4"/>
    <s v="Station_49"/>
    <s v="Station_3"/>
    <d v="1899-12-30T11:46:00"/>
    <d v="1899-12-30T12:26:00"/>
    <n v="11"/>
    <n v="12"/>
    <x v="3"/>
    <n v="34.1"/>
    <n v="89"/>
    <n v="45"/>
    <n v="1"/>
    <x v="4"/>
    <n v="0"/>
    <n v="74"/>
    <x v="0"/>
    <x v="1"/>
    <x v="4"/>
    <x v="1"/>
    <x v="1"/>
    <x v="0"/>
  </r>
  <r>
    <s v="T01084"/>
    <d v="2023-01-12T00:00:00"/>
    <d v="1899-12-30T12:00:00"/>
    <x v="3"/>
    <x v="13"/>
    <s v="Station_45"/>
    <s v="Station_35"/>
    <d v="1899-12-30T12:04:00"/>
    <d v="1899-12-30T12:28:00"/>
    <n v="16"/>
    <n v="13"/>
    <x v="5"/>
    <n v="3.7"/>
    <n v="54"/>
    <n v="15"/>
    <n v="14.8"/>
    <x v="0"/>
    <n v="0"/>
    <n v="10"/>
    <x v="0"/>
    <x v="1"/>
    <x v="4"/>
    <x v="0"/>
    <x v="1"/>
    <x v="2"/>
  </r>
  <r>
    <s v="T01085"/>
    <d v="2023-01-12T00:00:00"/>
    <d v="1899-12-30T12:15:00"/>
    <x v="2"/>
    <x v="12"/>
    <s v="Station_18"/>
    <s v="Station_18"/>
    <d v="1899-12-30T12:18:00"/>
    <d v="1899-12-30T12:52:00"/>
    <n v="11"/>
    <n v="3"/>
    <x v="3"/>
    <n v="0.6"/>
    <n v="39"/>
    <n v="44"/>
    <n v="7.3"/>
    <x v="3"/>
    <n v="0"/>
    <n v="47"/>
    <x v="0"/>
    <x v="1"/>
    <x v="4"/>
    <x v="1"/>
    <x v="0"/>
    <x v="1"/>
  </r>
  <r>
    <s v="T01086"/>
    <d v="2023-01-12T00:00:00"/>
    <d v="1899-12-30T12:30:00"/>
    <x v="2"/>
    <x v="1"/>
    <s v="Station_2"/>
    <s v="Station_11"/>
    <d v="1899-12-30T12:32:00"/>
    <d v="1899-12-30T13:18:00"/>
    <n v="5"/>
    <n v="8"/>
    <x v="5"/>
    <n v="15.8"/>
    <n v="79"/>
    <n v="10"/>
    <n v="4.5"/>
    <x v="0"/>
    <n v="2000"/>
    <n v="25"/>
    <x v="0"/>
    <x v="1"/>
    <x v="4"/>
    <x v="3"/>
    <x v="1"/>
    <x v="2"/>
  </r>
  <r>
    <s v="T01087"/>
    <d v="2023-01-12T00:00:00"/>
    <d v="1899-12-30T12:45:00"/>
    <x v="1"/>
    <x v="17"/>
    <s v="Station_13"/>
    <s v="Station_20"/>
    <d v="1899-12-30T12:46:00"/>
    <d v="1899-12-30T13:43:00"/>
    <n v="14"/>
    <n v="6"/>
    <x v="5"/>
    <n v="28.2"/>
    <n v="41"/>
    <n v="56"/>
    <n v="19"/>
    <x v="4"/>
    <n v="2000"/>
    <n v="66"/>
    <x v="0"/>
    <x v="1"/>
    <x v="4"/>
    <x v="2"/>
    <x v="1"/>
    <x v="1"/>
  </r>
  <r>
    <s v="T01088"/>
    <d v="2023-01-12T00:00:00"/>
    <d v="1899-12-30T13:00:00"/>
    <x v="1"/>
    <x v="17"/>
    <s v="Station_45"/>
    <s v="Station_5"/>
    <d v="1899-12-30T13:03:00"/>
    <d v="1899-12-30T13:46:00"/>
    <n v="0"/>
    <n v="1"/>
    <x v="0"/>
    <n v="-3.4"/>
    <n v="61"/>
    <n v="34"/>
    <n v="15.5"/>
    <x v="5"/>
    <n v="0"/>
    <n v="24"/>
    <x v="0"/>
    <x v="1"/>
    <x v="4"/>
    <x v="2"/>
    <x v="0"/>
    <x v="2"/>
  </r>
  <r>
    <s v="T01089"/>
    <d v="2023-01-12T00:00:00"/>
    <d v="1899-12-30T13:15:00"/>
    <x v="3"/>
    <x v="10"/>
    <s v="Station_15"/>
    <s v="Station_19"/>
    <d v="1899-12-30T13:15:00"/>
    <d v="1899-12-30T14:10:00"/>
    <n v="7"/>
    <n v="17"/>
    <x v="0"/>
    <n v="34.799999999999997"/>
    <n v="62"/>
    <n v="7"/>
    <n v="19.2"/>
    <x v="0"/>
    <n v="0"/>
    <n v="80"/>
    <x v="0"/>
    <x v="1"/>
    <x v="4"/>
    <x v="1"/>
    <x v="1"/>
    <x v="0"/>
  </r>
  <r>
    <s v="T01090"/>
    <d v="2023-01-12T00:00:00"/>
    <d v="1899-12-30T13:30:00"/>
    <x v="1"/>
    <x v="8"/>
    <s v="Station_20"/>
    <s v="Station_22"/>
    <d v="1899-12-30T13:34:00"/>
    <d v="1899-12-30T14:06:00"/>
    <n v="14"/>
    <n v="-1"/>
    <x v="1"/>
    <n v="19.100000000000001"/>
    <n v="55"/>
    <n v="27"/>
    <n v="5.0999999999999996"/>
    <x v="3"/>
    <n v="500"/>
    <n v="60"/>
    <x v="0"/>
    <x v="1"/>
    <x v="4"/>
    <x v="3"/>
    <x v="0"/>
    <x v="1"/>
  </r>
  <r>
    <s v="T01091"/>
    <d v="2023-01-12T00:00:00"/>
    <d v="1899-12-30T13:45:00"/>
    <x v="0"/>
    <x v="16"/>
    <s v="Station_29"/>
    <s v="Station_19"/>
    <d v="1899-12-30T13:45:00"/>
    <d v="1899-12-30T14:38:00"/>
    <n v="8"/>
    <n v="15"/>
    <x v="3"/>
    <n v="34.200000000000003"/>
    <n v="71"/>
    <n v="2"/>
    <n v="16.7"/>
    <x v="0"/>
    <n v="0"/>
    <n v="85"/>
    <x v="0"/>
    <x v="1"/>
    <x v="4"/>
    <x v="3"/>
    <x v="1"/>
    <x v="0"/>
  </r>
  <r>
    <s v="T01092"/>
    <d v="2023-01-12T00:00:00"/>
    <d v="1899-12-30T14:00:00"/>
    <x v="1"/>
    <x v="0"/>
    <s v="Station_42"/>
    <s v="Station_47"/>
    <d v="1899-12-30T14:01:00"/>
    <d v="1899-12-30T14:22:00"/>
    <n v="5"/>
    <n v="2"/>
    <x v="5"/>
    <n v="9.6"/>
    <n v="79"/>
    <n v="1"/>
    <n v="12.2"/>
    <x v="0"/>
    <n v="0"/>
    <n v="92"/>
    <x v="1"/>
    <x v="1"/>
    <x v="4"/>
    <x v="0"/>
    <x v="0"/>
    <x v="0"/>
  </r>
  <r>
    <s v="T01093"/>
    <d v="2023-01-12T00:00:00"/>
    <d v="1899-12-30T14:15:00"/>
    <x v="0"/>
    <x v="14"/>
    <s v="Station_29"/>
    <s v="Station_16"/>
    <d v="1899-12-30T14:16:00"/>
    <d v="1899-12-30T14:39:00"/>
    <n v="-2"/>
    <n v="10"/>
    <x v="1"/>
    <n v="13.3"/>
    <n v="90"/>
    <n v="52"/>
    <n v="19.600000000000001"/>
    <x v="0"/>
    <n v="10000"/>
    <n v="25"/>
    <x v="1"/>
    <x v="1"/>
    <x v="4"/>
    <x v="2"/>
    <x v="1"/>
    <x v="2"/>
  </r>
  <r>
    <s v="T01094"/>
    <d v="2023-01-12T00:00:00"/>
    <d v="1899-12-30T14:30:00"/>
    <x v="3"/>
    <x v="8"/>
    <s v="Station_3"/>
    <s v="Station_24"/>
    <d v="1899-12-30T14:30:00"/>
    <d v="1899-12-30T15:03:00"/>
    <n v="10"/>
    <n v="0"/>
    <x v="5"/>
    <n v="25.1"/>
    <n v="70"/>
    <n v="13"/>
    <n v="18.899999999999999"/>
    <x v="5"/>
    <n v="0"/>
    <n v="33"/>
    <x v="0"/>
    <x v="0"/>
    <x v="4"/>
    <x v="2"/>
    <x v="0"/>
    <x v="2"/>
  </r>
  <r>
    <s v="T01095"/>
    <d v="2023-01-12T00:00:00"/>
    <d v="1899-12-30T14:45:00"/>
    <x v="3"/>
    <x v="0"/>
    <s v="Station_19"/>
    <s v="Station_41"/>
    <d v="1899-12-30T14:46:00"/>
    <d v="1899-12-30T15:07:00"/>
    <n v="18"/>
    <n v="14"/>
    <x v="2"/>
    <n v="26.7"/>
    <n v="86"/>
    <n v="51"/>
    <n v="19.5"/>
    <x v="5"/>
    <n v="10000"/>
    <n v="89"/>
    <x v="0"/>
    <x v="1"/>
    <x v="4"/>
    <x v="2"/>
    <x v="1"/>
    <x v="0"/>
  </r>
  <r>
    <s v="T01096"/>
    <d v="2023-01-12T00:00:00"/>
    <d v="1899-12-30T15:00:00"/>
    <x v="3"/>
    <x v="3"/>
    <s v="Station_3"/>
    <s v="Station_4"/>
    <d v="1899-12-30T15:03:00"/>
    <d v="1899-12-30T15:42:00"/>
    <n v="1"/>
    <n v="25"/>
    <x v="4"/>
    <n v="4.3"/>
    <n v="31"/>
    <n v="28"/>
    <n v="19"/>
    <x v="0"/>
    <n v="10000"/>
    <n v="8"/>
    <x v="0"/>
    <x v="1"/>
    <x v="4"/>
    <x v="1"/>
    <x v="1"/>
    <x v="2"/>
  </r>
  <r>
    <s v="T01097"/>
    <d v="2023-01-12T00:00:00"/>
    <d v="1899-12-30T15:15:00"/>
    <x v="3"/>
    <x v="1"/>
    <s v="Station_14"/>
    <s v="Station_15"/>
    <d v="1899-12-30T15:16:00"/>
    <d v="1899-12-30T16:13:00"/>
    <n v="4"/>
    <n v="12"/>
    <x v="4"/>
    <n v="32.200000000000003"/>
    <n v="99"/>
    <n v="52"/>
    <n v="0.2"/>
    <x v="0"/>
    <n v="10000"/>
    <n v="39"/>
    <x v="0"/>
    <x v="1"/>
    <x v="4"/>
    <x v="3"/>
    <x v="1"/>
    <x v="1"/>
  </r>
  <r>
    <s v="T01098"/>
    <d v="2023-01-12T00:00:00"/>
    <d v="1899-12-30T15:30:00"/>
    <x v="3"/>
    <x v="10"/>
    <s v="Station_40"/>
    <s v="Station_25"/>
    <d v="1899-12-30T15:34:00"/>
    <d v="1899-12-30T16:19:00"/>
    <n v="11"/>
    <n v="16"/>
    <x v="5"/>
    <n v="29.7"/>
    <n v="60"/>
    <n v="53"/>
    <n v="14.8"/>
    <x v="5"/>
    <n v="0"/>
    <n v="74"/>
    <x v="1"/>
    <x v="0"/>
    <x v="4"/>
    <x v="0"/>
    <x v="1"/>
    <x v="0"/>
  </r>
  <r>
    <s v="T01099"/>
    <d v="2023-01-12T00:00:00"/>
    <d v="1899-12-30T15:45:00"/>
    <x v="0"/>
    <x v="17"/>
    <s v="Station_4"/>
    <s v="Station_44"/>
    <d v="1899-12-30T15:48:00"/>
    <d v="1899-12-30T16:27:00"/>
    <n v="2"/>
    <n v="20"/>
    <x v="1"/>
    <n v="-4.3"/>
    <n v="52"/>
    <n v="46"/>
    <n v="5.4"/>
    <x v="0"/>
    <n v="0"/>
    <n v="6"/>
    <x v="1"/>
    <x v="1"/>
    <x v="4"/>
    <x v="1"/>
    <x v="1"/>
    <x v="2"/>
  </r>
  <r>
    <s v="T01100"/>
    <d v="2023-01-12T00:00:00"/>
    <d v="1899-12-30T16:00:00"/>
    <x v="0"/>
    <x v="6"/>
    <s v="Station_11"/>
    <s v="Station_35"/>
    <d v="1899-12-30T16:02:00"/>
    <d v="1899-12-30T16:46:00"/>
    <n v="8"/>
    <n v="15"/>
    <x v="0"/>
    <n v="0.1"/>
    <n v="83"/>
    <n v="2"/>
    <n v="14.1"/>
    <x v="4"/>
    <n v="0"/>
    <n v="29"/>
    <x v="0"/>
    <x v="1"/>
    <x v="4"/>
    <x v="0"/>
    <x v="1"/>
    <x v="2"/>
  </r>
  <r>
    <s v="T01101"/>
    <d v="2023-01-12T00:00:00"/>
    <d v="1899-12-30T16:15:00"/>
    <x v="3"/>
    <x v="19"/>
    <s v="Station_31"/>
    <s v="Station_14"/>
    <d v="1899-12-30T16:16:00"/>
    <d v="1899-12-30T16:44:00"/>
    <n v="14"/>
    <n v="0"/>
    <x v="3"/>
    <n v="14.8"/>
    <n v="57"/>
    <n v="0"/>
    <n v="19.600000000000001"/>
    <x v="4"/>
    <n v="0"/>
    <n v="65"/>
    <x v="0"/>
    <x v="0"/>
    <x v="4"/>
    <x v="1"/>
    <x v="0"/>
    <x v="1"/>
  </r>
  <r>
    <s v="T01102"/>
    <d v="2023-01-12T00:00:00"/>
    <d v="1899-12-30T16:30:00"/>
    <x v="1"/>
    <x v="15"/>
    <s v="Station_43"/>
    <s v="Station_49"/>
    <d v="1899-12-30T16:31:00"/>
    <d v="1899-12-30T17:14:00"/>
    <n v="2"/>
    <n v="29"/>
    <x v="5"/>
    <n v="13.4"/>
    <n v="48"/>
    <n v="14"/>
    <n v="0.8"/>
    <x v="5"/>
    <n v="0"/>
    <n v="29"/>
    <x v="0"/>
    <x v="1"/>
    <x v="4"/>
    <x v="2"/>
    <x v="1"/>
    <x v="2"/>
  </r>
  <r>
    <s v="T01103"/>
    <d v="2023-01-12T00:00:00"/>
    <d v="1899-12-30T16:45:00"/>
    <x v="2"/>
    <x v="3"/>
    <s v="Station_32"/>
    <s v="Station_19"/>
    <d v="1899-12-30T16:49:00"/>
    <d v="1899-12-30T17:17:00"/>
    <n v="17"/>
    <n v="-2"/>
    <x v="5"/>
    <n v="23.3"/>
    <n v="77"/>
    <n v="19"/>
    <n v="11.3"/>
    <x v="0"/>
    <n v="2000"/>
    <n v="67"/>
    <x v="0"/>
    <x v="1"/>
    <x v="4"/>
    <x v="0"/>
    <x v="0"/>
    <x v="0"/>
  </r>
  <r>
    <s v="T01104"/>
    <d v="2023-01-12T00:00:00"/>
    <d v="1899-12-30T17:00:00"/>
    <x v="3"/>
    <x v="12"/>
    <s v="Station_27"/>
    <s v="Station_38"/>
    <d v="1899-12-30T17:04:00"/>
    <d v="1899-12-30T17:35:00"/>
    <n v="0"/>
    <n v="9"/>
    <x v="3"/>
    <n v="-1.4"/>
    <n v="31"/>
    <n v="21"/>
    <n v="14.7"/>
    <x v="0"/>
    <n v="50000"/>
    <n v="57"/>
    <x v="0"/>
    <x v="1"/>
    <x v="4"/>
    <x v="3"/>
    <x v="1"/>
    <x v="1"/>
  </r>
  <r>
    <s v="T01105"/>
    <d v="2023-01-12T00:00:00"/>
    <d v="1899-12-30T17:15:00"/>
    <x v="1"/>
    <x v="1"/>
    <s v="Station_30"/>
    <s v="Station_36"/>
    <d v="1899-12-30T17:15:00"/>
    <d v="1899-12-30T18:08:00"/>
    <n v="2"/>
    <n v="26"/>
    <x v="0"/>
    <n v="20.8"/>
    <n v="40"/>
    <n v="33"/>
    <n v="5.0999999999999996"/>
    <x v="3"/>
    <n v="10000"/>
    <n v="54"/>
    <x v="1"/>
    <x v="0"/>
    <x v="4"/>
    <x v="3"/>
    <x v="1"/>
    <x v="1"/>
  </r>
  <r>
    <s v="T01106"/>
    <d v="2023-01-12T00:00:00"/>
    <d v="1899-12-30T17:30:00"/>
    <x v="2"/>
    <x v="0"/>
    <s v="Station_43"/>
    <s v="Station_7"/>
    <d v="1899-12-30T17:30:00"/>
    <d v="1899-12-30T18:26:00"/>
    <n v="12"/>
    <n v="26"/>
    <x v="5"/>
    <n v="19.7"/>
    <n v="73"/>
    <n v="49"/>
    <n v="4.5"/>
    <x v="0"/>
    <n v="0"/>
    <n v="13"/>
    <x v="0"/>
    <x v="1"/>
    <x v="4"/>
    <x v="1"/>
    <x v="1"/>
    <x v="2"/>
  </r>
  <r>
    <s v="T01107"/>
    <d v="2023-01-12T00:00:00"/>
    <d v="1899-12-30T17:45:00"/>
    <x v="3"/>
    <x v="6"/>
    <s v="Station_2"/>
    <s v="Station_30"/>
    <d v="1899-12-30T17:45:00"/>
    <d v="1899-12-30T18:26:00"/>
    <n v="16"/>
    <n v="20"/>
    <x v="2"/>
    <n v="4.3"/>
    <n v="88"/>
    <n v="32"/>
    <n v="1.2"/>
    <x v="0"/>
    <n v="500"/>
    <n v="76"/>
    <x v="0"/>
    <x v="1"/>
    <x v="4"/>
    <x v="2"/>
    <x v="1"/>
    <x v="0"/>
  </r>
  <r>
    <s v="T01108"/>
    <d v="2023-01-12T00:00:00"/>
    <d v="1899-12-30T18:00:00"/>
    <x v="3"/>
    <x v="0"/>
    <s v="Station_49"/>
    <s v="Station_19"/>
    <d v="1899-12-30T18:04:00"/>
    <d v="1899-12-30T18:36:00"/>
    <n v="13"/>
    <n v="29"/>
    <x v="0"/>
    <n v="16.7"/>
    <n v="88"/>
    <n v="8"/>
    <n v="1.9"/>
    <x v="0"/>
    <n v="0"/>
    <n v="88"/>
    <x v="0"/>
    <x v="1"/>
    <x v="4"/>
    <x v="1"/>
    <x v="1"/>
    <x v="0"/>
  </r>
  <r>
    <s v="T01109"/>
    <d v="2023-01-12T00:00:00"/>
    <d v="1899-12-30T18:15:00"/>
    <x v="0"/>
    <x v="4"/>
    <s v="Station_9"/>
    <s v="Station_49"/>
    <d v="1899-12-30T18:15:00"/>
    <d v="1899-12-30T18:57:00"/>
    <n v="5"/>
    <n v="6"/>
    <x v="2"/>
    <n v="3.9"/>
    <n v="67"/>
    <n v="2"/>
    <n v="13.1"/>
    <x v="3"/>
    <n v="0"/>
    <n v="76"/>
    <x v="0"/>
    <x v="1"/>
    <x v="4"/>
    <x v="0"/>
    <x v="1"/>
    <x v="0"/>
  </r>
  <r>
    <s v="T01110"/>
    <d v="2023-01-12T00:00:00"/>
    <d v="1899-12-30T18:30:00"/>
    <x v="2"/>
    <x v="11"/>
    <s v="Station_28"/>
    <s v="Station_25"/>
    <d v="1899-12-30T18:30:00"/>
    <d v="1899-12-30T19:25:00"/>
    <n v="10"/>
    <n v="14"/>
    <x v="4"/>
    <n v="0.9"/>
    <n v="54"/>
    <n v="1"/>
    <n v="10.1"/>
    <x v="1"/>
    <n v="10000"/>
    <n v="76"/>
    <x v="0"/>
    <x v="0"/>
    <x v="4"/>
    <x v="3"/>
    <x v="1"/>
    <x v="0"/>
  </r>
  <r>
    <s v="T01111"/>
    <d v="2023-01-12T00:00:00"/>
    <d v="1899-12-30T18:45:00"/>
    <x v="2"/>
    <x v="2"/>
    <s v="Station_31"/>
    <s v="Station_16"/>
    <d v="1899-12-30T18:47:00"/>
    <d v="1899-12-30T19:13:00"/>
    <n v="13"/>
    <n v="15"/>
    <x v="3"/>
    <n v="17.899999999999999"/>
    <n v="50"/>
    <n v="3"/>
    <n v="0.6"/>
    <x v="0"/>
    <n v="0"/>
    <n v="36"/>
    <x v="0"/>
    <x v="1"/>
    <x v="4"/>
    <x v="3"/>
    <x v="1"/>
    <x v="1"/>
  </r>
  <r>
    <s v="T01112"/>
    <d v="2023-01-12T00:00:00"/>
    <d v="1899-12-30T19:00:00"/>
    <x v="1"/>
    <x v="4"/>
    <s v="Station_34"/>
    <s v="Station_47"/>
    <d v="1899-12-30T19:00:00"/>
    <d v="1899-12-30T19:21:00"/>
    <n v="0"/>
    <n v="3"/>
    <x v="0"/>
    <n v="34.1"/>
    <n v="71"/>
    <n v="15"/>
    <n v="19.399999999999999"/>
    <x v="1"/>
    <n v="0"/>
    <n v="43"/>
    <x v="0"/>
    <x v="1"/>
    <x v="4"/>
    <x v="3"/>
    <x v="0"/>
    <x v="1"/>
  </r>
  <r>
    <s v="T01113"/>
    <d v="2023-01-12T00:00:00"/>
    <d v="1899-12-30T19:15:00"/>
    <x v="0"/>
    <x v="19"/>
    <s v="Station_15"/>
    <s v="Station_40"/>
    <d v="1899-12-30T19:16:00"/>
    <d v="1899-12-30T20:06:00"/>
    <n v="-2"/>
    <n v="15"/>
    <x v="0"/>
    <n v="4.5"/>
    <n v="65"/>
    <n v="53"/>
    <n v="13.1"/>
    <x v="0"/>
    <n v="10000"/>
    <n v="5"/>
    <x v="0"/>
    <x v="0"/>
    <x v="4"/>
    <x v="3"/>
    <x v="1"/>
    <x v="2"/>
  </r>
  <r>
    <s v="T01114"/>
    <d v="2023-01-12T00:00:00"/>
    <d v="1899-12-30T19:30:00"/>
    <x v="0"/>
    <x v="1"/>
    <s v="Station_48"/>
    <s v="Station_8"/>
    <d v="1899-12-30T19:34:00"/>
    <d v="1899-12-30T20:11:00"/>
    <n v="6"/>
    <n v="20"/>
    <x v="1"/>
    <n v="9.1999999999999993"/>
    <n v="38"/>
    <n v="32"/>
    <n v="10.3"/>
    <x v="3"/>
    <n v="0"/>
    <n v="25"/>
    <x v="0"/>
    <x v="1"/>
    <x v="4"/>
    <x v="0"/>
    <x v="1"/>
    <x v="2"/>
  </r>
  <r>
    <s v="T01115"/>
    <d v="2023-01-12T00:00:00"/>
    <d v="1899-12-30T19:45:00"/>
    <x v="0"/>
    <x v="6"/>
    <s v="Station_25"/>
    <s v="Station_18"/>
    <d v="1899-12-30T19:48:00"/>
    <d v="1899-12-30T20:17:00"/>
    <n v="6"/>
    <n v="11"/>
    <x v="1"/>
    <n v="5.3"/>
    <n v="41"/>
    <n v="8"/>
    <n v="5.5"/>
    <x v="0"/>
    <n v="50000"/>
    <n v="13"/>
    <x v="0"/>
    <x v="1"/>
    <x v="4"/>
    <x v="3"/>
    <x v="1"/>
    <x v="2"/>
  </r>
  <r>
    <s v="T01116"/>
    <d v="2023-01-12T00:00:00"/>
    <d v="1899-12-30T20:00:00"/>
    <x v="0"/>
    <x v="15"/>
    <s v="Station_36"/>
    <s v="Station_28"/>
    <d v="1899-12-30T20:02:00"/>
    <d v="1899-12-30T20:27:00"/>
    <n v="19"/>
    <n v="19"/>
    <x v="3"/>
    <n v="5.7"/>
    <n v="39"/>
    <n v="56"/>
    <n v="13.2"/>
    <x v="1"/>
    <n v="0"/>
    <n v="7"/>
    <x v="0"/>
    <x v="1"/>
    <x v="4"/>
    <x v="1"/>
    <x v="1"/>
    <x v="2"/>
  </r>
  <r>
    <s v="T01117"/>
    <d v="2023-01-12T00:00:00"/>
    <d v="1899-12-30T20:15:00"/>
    <x v="2"/>
    <x v="19"/>
    <s v="Station_8"/>
    <s v="Station_16"/>
    <d v="1899-12-30T20:19:00"/>
    <d v="1899-12-30T20:35:00"/>
    <n v="14"/>
    <n v="0"/>
    <x v="0"/>
    <n v="11.2"/>
    <n v="88"/>
    <n v="39"/>
    <n v="7.3"/>
    <x v="4"/>
    <n v="10000"/>
    <n v="23"/>
    <x v="0"/>
    <x v="1"/>
    <x v="4"/>
    <x v="3"/>
    <x v="0"/>
    <x v="2"/>
  </r>
  <r>
    <s v="T01118"/>
    <d v="2023-01-12T00:00:00"/>
    <d v="1899-12-30T20:30:00"/>
    <x v="2"/>
    <x v="18"/>
    <s v="Station_9"/>
    <s v="Station_19"/>
    <d v="1899-12-30T20:34:00"/>
    <d v="1899-12-30T21:06:00"/>
    <n v="-1"/>
    <n v="0"/>
    <x v="4"/>
    <n v="23.1"/>
    <n v="34"/>
    <n v="37"/>
    <n v="14"/>
    <x v="0"/>
    <n v="0"/>
    <n v="85"/>
    <x v="0"/>
    <x v="1"/>
    <x v="4"/>
    <x v="0"/>
    <x v="0"/>
    <x v="0"/>
  </r>
  <r>
    <s v="T01119"/>
    <d v="2023-01-12T00:00:00"/>
    <d v="1899-12-30T20:45:00"/>
    <x v="3"/>
    <x v="4"/>
    <s v="Station_37"/>
    <s v="Station_42"/>
    <d v="1899-12-30T20:46:00"/>
    <d v="1899-12-30T21:16:00"/>
    <n v="6"/>
    <n v="1"/>
    <x v="5"/>
    <n v="-3.4"/>
    <n v="62"/>
    <n v="51"/>
    <n v="13.7"/>
    <x v="5"/>
    <n v="0"/>
    <n v="38"/>
    <x v="0"/>
    <x v="1"/>
    <x v="4"/>
    <x v="2"/>
    <x v="0"/>
    <x v="1"/>
  </r>
  <r>
    <s v="T01120"/>
    <d v="2023-01-12T00:00:00"/>
    <d v="1899-12-30T21:00:00"/>
    <x v="3"/>
    <x v="15"/>
    <s v="Station_48"/>
    <s v="Station_17"/>
    <d v="1899-12-30T21:00:00"/>
    <d v="1899-12-30T21:23:00"/>
    <n v="16"/>
    <n v="19"/>
    <x v="3"/>
    <n v="33.299999999999997"/>
    <n v="98"/>
    <n v="17"/>
    <n v="1.9"/>
    <x v="0"/>
    <n v="0"/>
    <n v="48"/>
    <x v="0"/>
    <x v="1"/>
    <x v="4"/>
    <x v="2"/>
    <x v="1"/>
    <x v="1"/>
  </r>
  <r>
    <s v="T01121"/>
    <d v="2023-01-12T00:00:00"/>
    <d v="1899-12-30T21:15:00"/>
    <x v="0"/>
    <x v="11"/>
    <s v="Station_45"/>
    <s v="Station_45"/>
    <d v="1899-12-30T21:16:00"/>
    <d v="1899-12-30T21:47:00"/>
    <n v="10"/>
    <n v="7"/>
    <x v="3"/>
    <n v="-3.1"/>
    <n v="92"/>
    <n v="15"/>
    <n v="18.2"/>
    <x v="4"/>
    <n v="2000"/>
    <n v="84"/>
    <x v="0"/>
    <x v="1"/>
    <x v="4"/>
    <x v="3"/>
    <x v="1"/>
    <x v="0"/>
  </r>
  <r>
    <s v="T01122"/>
    <d v="2023-01-12T00:00:00"/>
    <d v="1899-12-30T21:30:00"/>
    <x v="0"/>
    <x v="16"/>
    <s v="Station_39"/>
    <s v="Station_13"/>
    <d v="1899-12-30T21:30:00"/>
    <d v="1899-12-30T22:20:00"/>
    <n v="2"/>
    <n v="7"/>
    <x v="1"/>
    <n v="30.3"/>
    <n v="58"/>
    <n v="7"/>
    <n v="9.6999999999999993"/>
    <x v="1"/>
    <n v="10000"/>
    <n v="62"/>
    <x v="0"/>
    <x v="1"/>
    <x v="4"/>
    <x v="2"/>
    <x v="1"/>
    <x v="1"/>
  </r>
  <r>
    <s v="T01123"/>
    <d v="2023-01-12T00:00:00"/>
    <d v="1899-12-30T21:45:00"/>
    <x v="0"/>
    <x v="17"/>
    <s v="Station_32"/>
    <s v="Station_7"/>
    <d v="1899-12-30T21:45:00"/>
    <d v="1899-12-30T22:11:00"/>
    <n v="6"/>
    <n v="9"/>
    <x v="4"/>
    <n v="30.8"/>
    <n v="47"/>
    <n v="22"/>
    <n v="7.9"/>
    <x v="4"/>
    <n v="500"/>
    <n v="25"/>
    <x v="0"/>
    <x v="1"/>
    <x v="4"/>
    <x v="0"/>
    <x v="1"/>
    <x v="2"/>
  </r>
  <r>
    <s v="T01124"/>
    <d v="2023-01-12T00:00:00"/>
    <d v="1899-12-30T22:00:00"/>
    <x v="3"/>
    <x v="11"/>
    <s v="Station_17"/>
    <s v="Station_27"/>
    <d v="1899-12-30T22:04:00"/>
    <d v="1899-12-30T22:42:00"/>
    <n v="10"/>
    <n v="10"/>
    <x v="3"/>
    <n v="16"/>
    <n v="35"/>
    <n v="59"/>
    <n v="19.100000000000001"/>
    <x v="0"/>
    <n v="50000"/>
    <n v="9"/>
    <x v="0"/>
    <x v="1"/>
    <x v="4"/>
    <x v="3"/>
    <x v="1"/>
    <x v="2"/>
  </r>
  <r>
    <s v="T01125"/>
    <d v="2023-01-12T00:00:00"/>
    <d v="1899-12-30T22:15:00"/>
    <x v="1"/>
    <x v="13"/>
    <s v="Station_35"/>
    <s v="Station_10"/>
    <d v="1899-12-30T22:15:00"/>
    <d v="1899-12-30T22:58:00"/>
    <n v="-2"/>
    <n v="4"/>
    <x v="4"/>
    <n v="0.5"/>
    <n v="82"/>
    <n v="35"/>
    <n v="8.8000000000000007"/>
    <x v="3"/>
    <n v="10000"/>
    <n v="76"/>
    <x v="0"/>
    <x v="1"/>
    <x v="4"/>
    <x v="0"/>
    <x v="0"/>
    <x v="0"/>
  </r>
  <r>
    <s v="T01126"/>
    <d v="2023-01-12T00:00:00"/>
    <d v="1899-12-30T22:30:00"/>
    <x v="1"/>
    <x v="12"/>
    <s v="Station_37"/>
    <s v="Station_34"/>
    <d v="1899-12-30T22:32:00"/>
    <d v="1899-12-30T22:54:00"/>
    <n v="12"/>
    <n v="21"/>
    <x v="3"/>
    <n v="17.600000000000001"/>
    <n v="61"/>
    <n v="2"/>
    <n v="14.4"/>
    <x v="0"/>
    <n v="0"/>
    <n v="57"/>
    <x v="0"/>
    <x v="1"/>
    <x v="4"/>
    <x v="2"/>
    <x v="1"/>
    <x v="1"/>
  </r>
  <r>
    <s v="T01127"/>
    <d v="2023-01-12T00:00:00"/>
    <d v="1899-12-30T22:45:00"/>
    <x v="3"/>
    <x v="16"/>
    <s v="Station_19"/>
    <s v="Station_36"/>
    <d v="1899-12-30T22:47:00"/>
    <d v="1899-12-30T23:09:00"/>
    <n v="1"/>
    <n v="14"/>
    <x v="1"/>
    <n v="20.100000000000001"/>
    <n v="71"/>
    <n v="14"/>
    <n v="13.1"/>
    <x v="4"/>
    <n v="500"/>
    <n v="13"/>
    <x v="0"/>
    <x v="0"/>
    <x v="4"/>
    <x v="2"/>
    <x v="1"/>
    <x v="2"/>
  </r>
  <r>
    <s v="T01128"/>
    <d v="2023-01-12T00:00:00"/>
    <d v="1899-12-30T23:00:00"/>
    <x v="3"/>
    <x v="9"/>
    <s v="Station_44"/>
    <s v="Station_25"/>
    <d v="1899-12-30T23:02:00"/>
    <d v="1899-12-30T23:36:00"/>
    <n v="1"/>
    <n v="14"/>
    <x v="5"/>
    <n v="29.3"/>
    <n v="76"/>
    <n v="37"/>
    <n v="3.3"/>
    <x v="1"/>
    <n v="0"/>
    <n v="72"/>
    <x v="0"/>
    <x v="0"/>
    <x v="4"/>
    <x v="3"/>
    <x v="1"/>
    <x v="0"/>
  </r>
  <r>
    <s v="T01129"/>
    <d v="2023-01-12T00:00:00"/>
    <d v="1899-12-30T23:15:00"/>
    <x v="3"/>
    <x v="2"/>
    <s v="Station_29"/>
    <s v="Station_6"/>
    <d v="1899-12-30T23:19:00"/>
    <d v="1899-12-30T00:04:00"/>
    <n v="17"/>
    <n v="6"/>
    <x v="1"/>
    <n v="17"/>
    <n v="60"/>
    <n v="32"/>
    <n v="19.8"/>
    <x v="5"/>
    <n v="0"/>
    <n v="70"/>
    <x v="1"/>
    <x v="1"/>
    <x v="4"/>
    <x v="2"/>
    <x v="1"/>
    <x v="0"/>
  </r>
  <r>
    <s v="T01130"/>
    <d v="2023-01-12T00:00:00"/>
    <d v="1899-12-30T23:30:00"/>
    <x v="3"/>
    <x v="10"/>
    <s v="Station_7"/>
    <s v="Station_24"/>
    <d v="1899-12-30T23:31:00"/>
    <d v="1899-12-30T23:58:00"/>
    <n v="7"/>
    <n v="3"/>
    <x v="3"/>
    <n v="11.4"/>
    <n v="91"/>
    <n v="17"/>
    <n v="9.3000000000000007"/>
    <x v="4"/>
    <n v="0"/>
    <n v="38"/>
    <x v="0"/>
    <x v="0"/>
    <x v="4"/>
    <x v="3"/>
    <x v="0"/>
    <x v="1"/>
  </r>
  <r>
    <s v="T01131"/>
    <d v="2023-01-12T00:00:00"/>
    <d v="1899-12-30T23:45:00"/>
    <x v="3"/>
    <x v="9"/>
    <s v="Station_28"/>
    <s v="Station_18"/>
    <d v="1899-12-30T23:48:00"/>
    <d v="1899-12-30T00:10:00"/>
    <n v="3"/>
    <n v="10"/>
    <x v="4"/>
    <n v="28.5"/>
    <n v="85"/>
    <n v="22"/>
    <n v="7.9"/>
    <x v="0"/>
    <n v="0"/>
    <n v="30"/>
    <x v="0"/>
    <x v="0"/>
    <x v="4"/>
    <x v="3"/>
    <x v="1"/>
    <x v="2"/>
  </r>
  <r>
    <s v="T01132"/>
    <d v="2023-01-13T00:00:00"/>
    <d v="1899-12-30T00:00:00"/>
    <x v="3"/>
    <x v="14"/>
    <s v="Station_9"/>
    <s v="Station_23"/>
    <d v="1899-12-30T00:00:00"/>
    <d v="1899-12-30T00:44:00"/>
    <n v="9"/>
    <n v="11"/>
    <x v="2"/>
    <n v="34.200000000000003"/>
    <n v="40"/>
    <n v="42"/>
    <n v="18.399999999999999"/>
    <x v="2"/>
    <n v="500"/>
    <n v="49"/>
    <x v="0"/>
    <x v="1"/>
    <x v="5"/>
    <x v="1"/>
    <x v="1"/>
    <x v="1"/>
  </r>
  <r>
    <s v="T01133"/>
    <d v="2023-01-13T00:00:00"/>
    <d v="1899-12-30T00:15:00"/>
    <x v="0"/>
    <x v="18"/>
    <s v="Station_28"/>
    <s v="Station_6"/>
    <d v="1899-12-30T00:18:00"/>
    <d v="1899-12-30T00:53:00"/>
    <n v="17"/>
    <n v="12"/>
    <x v="1"/>
    <n v="20.8"/>
    <n v="55"/>
    <n v="2"/>
    <n v="10.6"/>
    <x v="0"/>
    <n v="0"/>
    <n v="15"/>
    <x v="0"/>
    <x v="1"/>
    <x v="5"/>
    <x v="1"/>
    <x v="1"/>
    <x v="2"/>
  </r>
  <r>
    <s v="T01134"/>
    <d v="2023-01-13T00:00:00"/>
    <d v="1899-12-30T00:30:00"/>
    <x v="0"/>
    <x v="11"/>
    <s v="Station_6"/>
    <s v="Station_29"/>
    <d v="1899-12-30T00:31:00"/>
    <d v="1899-12-30T01:05:00"/>
    <n v="13"/>
    <n v="-2"/>
    <x v="4"/>
    <n v="30"/>
    <n v="56"/>
    <n v="29"/>
    <n v="14.1"/>
    <x v="0"/>
    <n v="500"/>
    <n v="71"/>
    <x v="0"/>
    <x v="0"/>
    <x v="5"/>
    <x v="1"/>
    <x v="0"/>
    <x v="0"/>
  </r>
  <r>
    <s v="T01135"/>
    <d v="2023-01-13T00:00:00"/>
    <d v="1899-12-30T00:45:00"/>
    <x v="0"/>
    <x v="1"/>
    <s v="Station_29"/>
    <s v="Station_25"/>
    <d v="1899-12-30T00:46:00"/>
    <d v="1899-12-30T01:25:00"/>
    <n v="0"/>
    <n v="26"/>
    <x v="1"/>
    <n v="18.899999999999999"/>
    <n v="86"/>
    <n v="44"/>
    <n v="16.899999999999999"/>
    <x v="5"/>
    <n v="50000"/>
    <n v="50"/>
    <x v="0"/>
    <x v="1"/>
    <x v="5"/>
    <x v="0"/>
    <x v="1"/>
    <x v="1"/>
  </r>
  <r>
    <s v="T01136"/>
    <d v="2023-01-13T00:00:00"/>
    <d v="1899-12-30T01:00:00"/>
    <x v="0"/>
    <x v="5"/>
    <s v="Station_17"/>
    <s v="Station_17"/>
    <d v="1899-12-30T01:04:00"/>
    <d v="1899-12-30T01:21:00"/>
    <n v="11"/>
    <n v="26"/>
    <x v="3"/>
    <n v="22.6"/>
    <n v="56"/>
    <n v="16"/>
    <n v="4.7"/>
    <x v="0"/>
    <n v="0"/>
    <n v="14"/>
    <x v="0"/>
    <x v="1"/>
    <x v="5"/>
    <x v="2"/>
    <x v="1"/>
    <x v="2"/>
  </r>
  <r>
    <s v="T01137"/>
    <d v="2023-01-13T00:00:00"/>
    <d v="1899-12-30T01:15:00"/>
    <x v="3"/>
    <x v="13"/>
    <s v="Station_16"/>
    <s v="Station_46"/>
    <d v="1899-12-30T01:17:00"/>
    <d v="1899-12-30T01:44:00"/>
    <n v="-2"/>
    <n v="14"/>
    <x v="4"/>
    <n v="22.5"/>
    <n v="88"/>
    <n v="49"/>
    <n v="3.4"/>
    <x v="0"/>
    <n v="2000"/>
    <n v="88"/>
    <x v="0"/>
    <x v="1"/>
    <x v="5"/>
    <x v="2"/>
    <x v="1"/>
    <x v="0"/>
  </r>
  <r>
    <s v="T01138"/>
    <d v="2023-01-13T00:00:00"/>
    <d v="1899-12-30T01:30:00"/>
    <x v="1"/>
    <x v="13"/>
    <s v="Station_23"/>
    <s v="Station_24"/>
    <d v="1899-12-30T01:32:00"/>
    <d v="1899-12-30T02:05:00"/>
    <n v="7"/>
    <n v="27"/>
    <x v="5"/>
    <n v="23.2"/>
    <n v="91"/>
    <n v="57"/>
    <n v="1.4"/>
    <x v="0"/>
    <n v="500"/>
    <n v="37"/>
    <x v="0"/>
    <x v="1"/>
    <x v="5"/>
    <x v="1"/>
    <x v="1"/>
    <x v="1"/>
  </r>
  <r>
    <s v="T01139"/>
    <d v="2023-01-13T00:00:00"/>
    <d v="1899-12-30T01:45:00"/>
    <x v="2"/>
    <x v="16"/>
    <s v="Station_31"/>
    <s v="Station_11"/>
    <d v="1899-12-30T01:46:00"/>
    <d v="1899-12-30T02:41:00"/>
    <n v="12"/>
    <n v="9"/>
    <x v="4"/>
    <n v="7.8"/>
    <n v="49"/>
    <n v="57"/>
    <n v="17.899999999999999"/>
    <x v="0"/>
    <n v="0"/>
    <n v="78"/>
    <x v="1"/>
    <x v="1"/>
    <x v="5"/>
    <x v="3"/>
    <x v="1"/>
    <x v="0"/>
  </r>
  <r>
    <s v="T01140"/>
    <d v="2023-01-13T00:00:00"/>
    <d v="1899-12-30T02:00:00"/>
    <x v="3"/>
    <x v="14"/>
    <s v="Station_3"/>
    <s v="Station_26"/>
    <d v="1899-12-30T02:04:00"/>
    <d v="1899-12-30T02:34:00"/>
    <n v="4"/>
    <n v="16"/>
    <x v="0"/>
    <n v="18"/>
    <n v="32"/>
    <n v="31"/>
    <n v="4"/>
    <x v="0"/>
    <n v="2000"/>
    <n v="88"/>
    <x v="0"/>
    <x v="1"/>
    <x v="5"/>
    <x v="3"/>
    <x v="1"/>
    <x v="0"/>
  </r>
  <r>
    <s v="T01141"/>
    <d v="2023-01-13T00:00:00"/>
    <d v="1899-12-30T02:15:00"/>
    <x v="2"/>
    <x v="17"/>
    <s v="Station_21"/>
    <s v="Station_34"/>
    <d v="1899-12-30T02:19:00"/>
    <d v="1899-12-30T02:47:00"/>
    <n v="1"/>
    <n v="19"/>
    <x v="2"/>
    <n v="18.8"/>
    <n v="45"/>
    <n v="45"/>
    <n v="6.2"/>
    <x v="0"/>
    <n v="0"/>
    <n v="70"/>
    <x v="1"/>
    <x v="1"/>
    <x v="5"/>
    <x v="3"/>
    <x v="1"/>
    <x v="0"/>
  </r>
  <r>
    <s v="T01142"/>
    <d v="2023-01-13T00:00:00"/>
    <d v="1899-12-30T02:30:00"/>
    <x v="1"/>
    <x v="2"/>
    <s v="Station_26"/>
    <s v="Station_28"/>
    <d v="1899-12-30T02:30:00"/>
    <d v="1899-12-30T03:02:00"/>
    <n v="11"/>
    <n v="29"/>
    <x v="3"/>
    <n v="7.6"/>
    <n v="73"/>
    <n v="56"/>
    <n v="5.7"/>
    <x v="1"/>
    <n v="0"/>
    <n v="89"/>
    <x v="0"/>
    <x v="1"/>
    <x v="5"/>
    <x v="3"/>
    <x v="1"/>
    <x v="0"/>
  </r>
  <r>
    <s v="T01143"/>
    <d v="2023-01-13T00:00:00"/>
    <d v="1899-12-30T02:45:00"/>
    <x v="0"/>
    <x v="3"/>
    <s v="Station_36"/>
    <s v="Station_3"/>
    <d v="1899-12-30T02:47:00"/>
    <d v="1899-12-30T03:36:00"/>
    <n v="13"/>
    <n v="16"/>
    <x v="4"/>
    <n v="9"/>
    <n v="59"/>
    <n v="6"/>
    <n v="6.1"/>
    <x v="1"/>
    <n v="0"/>
    <n v="71"/>
    <x v="0"/>
    <x v="0"/>
    <x v="5"/>
    <x v="0"/>
    <x v="1"/>
    <x v="0"/>
  </r>
  <r>
    <s v="T01144"/>
    <d v="2023-01-13T00:00:00"/>
    <d v="1899-12-30T03:00:00"/>
    <x v="1"/>
    <x v="7"/>
    <s v="Station_42"/>
    <s v="Station_11"/>
    <d v="1899-12-30T03:01:00"/>
    <d v="1899-12-30T03:27:00"/>
    <n v="11"/>
    <n v="-1"/>
    <x v="3"/>
    <n v="25.5"/>
    <n v="69"/>
    <n v="38"/>
    <n v="13.4"/>
    <x v="4"/>
    <n v="0"/>
    <n v="81"/>
    <x v="0"/>
    <x v="1"/>
    <x v="5"/>
    <x v="2"/>
    <x v="0"/>
    <x v="0"/>
  </r>
  <r>
    <s v="T01145"/>
    <d v="2023-01-13T00:00:00"/>
    <d v="1899-12-30T03:15:00"/>
    <x v="3"/>
    <x v="3"/>
    <s v="Station_37"/>
    <s v="Station_38"/>
    <d v="1899-12-30T03:18:00"/>
    <d v="1899-12-30T03:52:00"/>
    <n v="0"/>
    <n v="4"/>
    <x v="1"/>
    <n v="18.3"/>
    <n v="94"/>
    <n v="13"/>
    <n v="19.100000000000001"/>
    <x v="0"/>
    <n v="0"/>
    <n v="20"/>
    <x v="0"/>
    <x v="1"/>
    <x v="5"/>
    <x v="1"/>
    <x v="0"/>
    <x v="2"/>
  </r>
  <r>
    <s v="T01146"/>
    <d v="2023-01-13T00:00:00"/>
    <d v="1899-12-30T03:30:00"/>
    <x v="0"/>
    <x v="6"/>
    <s v="Station_22"/>
    <s v="Station_14"/>
    <d v="1899-12-30T03:32:00"/>
    <d v="1899-12-30T04:25:00"/>
    <n v="14"/>
    <n v="28"/>
    <x v="1"/>
    <n v="1"/>
    <n v="58"/>
    <n v="57"/>
    <n v="6.6"/>
    <x v="1"/>
    <n v="0"/>
    <n v="15"/>
    <x v="0"/>
    <x v="1"/>
    <x v="5"/>
    <x v="0"/>
    <x v="1"/>
    <x v="2"/>
  </r>
  <r>
    <s v="T01147"/>
    <d v="2023-01-13T00:00:00"/>
    <d v="1899-12-30T03:45:00"/>
    <x v="3"/>
    <x v="18"/>
    <s v="Station_42"/>
    <s v="Station_26"/>
    <d v="1899-12-30T03:45:00"/>
    <d v="1899-12-30T04:30:00"/>
    <n v="18"/>
    <n v="25"/>
    <x v="4"/>
    <n v="28.5"/>
    <n v="59"/>
    <n v="55"/>
    <n v="8.1999999999999993"/>
    <x v="0"/>
    <n v="0"/>
    <n v="66"/>
    <x v="0"/>
    <x v="1"/>
    <x v="5"/>
    <x v="2"/>
    <x v="1"/>
    <x v="1"/>
  </r>
  <r>
    <s v="T01148"/>
    <d v="2023-01-13T00:00:00"/>
    <d v="1899-12-30T04:00:00"/>
    <x v="0"/>
    <x v="0"/>
    <s v="Station_12"/>
    <s v="Station_48"/>
    <d v="1899-12-30T04:04:00"/>
    <d v="1899-12-30T04:29:00"/>
    <n v="11"/>
    <n v="3"/>
    <x v="0"/>
    <n v="30.3"/>
    <n v="61"/>
    <n v="14"/>
    <n v="15.4"/>
    <x v="0"/>
    <n v="10000"/>
    <n v="64"/>
    <x v="0"/>
    <x v="0"/>
    <x v="5"/>
    <x v="0"/>
    <x v="0"/>
    <x v="1"/>
  </r>
  <r>
    <s v="T01149"/>
    <d v="2023-01-13T00:00:00"/>
    <d v="1899-12-30T04:15:00"/>
    <x v="2"/>
    <x v="18"/>
    <s v="Station_42"/>
    <s v="Station_21"/>
    <d v="1899-12-30T04:16:00"/>
    <d v="1899-12-30T05:05:00"/>
    <n v="15"/>
    <n v="-2"/>
    <x v="4"/>
    <n v="13.6"/>
    <n v="39"/>
    <n v="43"/>
    <n v="8.6"/>
    <x v="5"/>
    <n v="10000"/>
    <n v="12"/>
    <x v="0"/>
    <x v="1"/>
    <x v="5"/>
    <x v="3"/>
    <x v="0"/>
    <x v="2"/>
  </r>
  <r>
    <s v="T01150"/>
    <d v="2023-01-13T00:00:00"/>
    <d v="1899-12-30T04:30:00"/>
    <x v="2"/>
    <x v="14"/>
    <s v="Station_13"/>
    <s v="Station_39"/>
    <d v="1899-12-30T04:32:00"/>
    <d v="1899-12-30T05:22:00"/>
    <n v="0"/>
    <n v="17"/>
    <x v="5"/>
    <n v="3.4"/>
    <n v="80"/>
    <n v="11"/>
    <n v="18.5"/>
    <x v="0"/>
    <n v="0"/>
    <n v="63"/>
    <x v="0"/>
    <x v="1"/>
    <x v="5"/>
    <x v="0"/>
    <x v="1"/>
    <x v="1"/>
  </r>
  <r>
    <s v="T01151"/>
    <d v="2023-01-13T00:00:00"/>
    <d v="1899-12-30T04:45:00"/>
    <x v="2"/>
    <x v="11"/>
    <s v="Station_11"/>
    <s v="Station_30"/>
    <d v="1899-12-30T04:48:00"/>
    <d v="1899-12-30T05:33:00"/>
    <n v="19"/>
    <n v="2"/>
    <x v="0"/>
    <n v="32.9"/>
    <n v="37"/>
    <n v="7"/>
    <n v="10.1"/>
    <x v="4"/>
    <n v="0"/>
    <n v="60"/>
    <x v="0"/>
    <x v="1"/>
    <x v="5"/>
    <x v="0"/>
    <x v="0"/>
    <x v="1"/>
  </r>
  <r>
    <s v="T01152"/>
    <d v="2023-01-13T00:00:00"/>
    <d v="1899-12-30T05:00:00"/>
    <x v="1"/>
    <x v="15"/>
    <s v="Station_16"/>
    <s v="Station_8"/>
    <d v="1899-12-30T05:00:00"/>
    <d v="1899-12-30T05:24:00"/>
    <n v="16"/>
    <n v="24"/>
    <x v="3"/>
    <n v="30.3"/>
    <n v="80"/>
    <n v="15"/>
    <n v="7"/>
    <x v="3"/>
    <n v="0"/>
    <n v="31"/>
    <x v="0"/>
    <x v="1"/>
    <x v="5"/>
    <x v="3"/>
    <x v="1"/>
    <x v="2"/>
  </r>
  <r>
    <s v="T01153"/>
    <d v="2023-01-13T00:00:00"/>
    <d v="1899-12-30T05:15:00"/>
    <x v="3"/>
    <x v="6"/>
    <s v="Station_8"/>
    <s v="Station_20"/>
    <d v="1899-12-30T05:15:00"/>
    <d v="1899-12-30T05:47:00"/>
    <n v="0"/>
    <n v="28"/>
    <x v="4"/>
    <n v="4.8"/>
    <n v="65"/>
    <n v="40"/>
    <n v="19.399999999999999"/>
    <x v="0"/>
    <n v="10000"/>
    <n v="11"/>
    <x v="0"/>
    <x v="1"/>
    <x v="5"/>
    <x v="3"/>
    <x v="1"/>
    <x v="2"/>
  </r>
  <r>
    <s v="T01154"/>
    <d v="2023-01-13T00:00:00"/>
    <d v="1899-12-30T05:30:00"/>
    <x v="1"/>
    <x v="7"/>
    <s v="Station_40"/>
    <s v="Station_48"/>
    <d v="1899-12-30T05:32:00"/>
    <d v="1899-12-30T05:50:00"/>
    <n v="9"/>
    <n v="5"/>
    <x v="3"/>
    <n v="-1.2"/>
    <n v="84"/>
    <n v="33"/>
    <n v="8.5"/>
    <x v="0"/>
    <n v="0"/>
    <n v="94"/>
    <x v="0"/>
    <x v="1"/>
    <x v="5"/>
    <x v="1"/>
    <x v="0"/>
    <x v="0"/>
  </r>
  <r>
    <s v="T01155"/>
    <d v="2023-01-13T00:00:00"/>
    <d v="1899-12-30T05:45:00"/>
    <x v="2"/>
    <x v="4"/>
    <s v="Station_40"/>
    <s v="Station_32"/>
    <d v="1899-12-30T05:48:00"/>
    <d v="1899-12-30T06:27:00"/>
    <n v="19"/>
    <n v="7"/>
    <x v="2"/>
    <n v="12.6"/>
    <n v="64"/>
    <n v="45"/>
    <n v="4.5999999999999996"/>
    <x v="0"/>
    <n v="0"/>
    <n v="40"/>
    <x v="0"/>
    <x v="1"/>
    <x v="5"/>
    <x v="1"/>
    <x v="1"/>
    <x v="1"/>
  </r>
  <r>
    <s v="T01156"/>
    <d v="2023-01-13T00:00:00"/>
    <d v="1899-12-30T06:00:00"/>
    <x v="3"/>
    <x v="12"/>
    <s v="Station_45"/>
    <s v="Station_22"/>
    <d v="1899-12-30T06:00:00"/>
    <d v="1899-12-30T06:59:00"/>
    <n v="2"/>
    <n v="19"/>
    <x v="0"/>
    <n v="22.1"/>
    <n v="65"/>
    <n v="23"/>
    <n v="3.6"/>
    <x v="0"/>
    <n v="0"/>
    <n v="65"/>
    <x v="0"/>
    <x v="1"/>
    <x v="5"/>
    <x v="2"/>
    <x v="1"/>
    <x v="1"/>
  </r>
  <r>
    <s v="T01157"/>
    <d v="2023-01-13T00:00:00"/>
    <d v="1899-12-30T06:15:00"/>
    <x v="2"/>
    <x v="11"/>
    <s v="Station_2"/>
    <s v="Station_7"/>
    <d v="1899-12-30T06:16:00"/>
    <d v="1899-12-30T06:37:00"/>
    <n v="7"/>
    <n v="7"/>
    <x v="4"/>
    <n v="2"/>
    <n v="85"/>
    <n v="55"/>
    <n v="19.899999999999999"/>
    <x v="1"/>
    <n v="2000"/>
    <n v="7"/>
    <x v="0"/>
    <x v="0"/>
    <x v="5"/>
    <x v="1"/>
    <x v="1"/>
    <x v="2"/>
  </r>
  <r>
    <s v="T01158"/>
    <d v="2023-01-13T00:00:00"/>
    <d v="1899-12-30T06:30:00"/>
    <x v="1"/>
    <x v="7"/>
    <s v="Station_30"/>
    <s v="Station_9"/>
    <d v="1899-12-30T06:30:00"/>
    <d v="1899-12-30T06:52:00"/>
    <n v="6"/>
    <n v="-2"/>
    <x v="2"/>
    <n v="15.5"/>
    <n v="65"/>
    <n v="28"/>
    <n v="15.1"/>
    <x v="1"/>
    <n v="0"/>
    <n v="58"/>
    <x v="0"/>
    <x v="1"/>
    <x v="5"/>
    <x v="1"/>
    <x v="0"/>
    <x v="1"/>
  </r>
  <r>
    <s v="T01159"/>
    <d v="2023-01-13T00:00:00"/>
    <d v="1899-12-30T06:45:00"/>
    <x v="1"/>
    <x v="13"/>
    <s v="Station_30"/>
    <s v="Station_45"/>
    <d v="1899-12-30T06:48:00"/>
    <d v="1899-12-30T07:11:00"/>
    <n v="-2"/>
    <n v="-1"/>
    <x v="4"/>
    <n v="12"/>
    <n v="90"/>
    <n v="15"/>
    <n v="8.1999999999999993"/>
    <x v="0"/>
    <n v="0"/>
    <n v="24"/>
    <x v="0"/>
    <x v="1"/>
    <x v="5"/>
    <x v="2"/>
    <x v="0"/>
    <x v="2"/>
  </r>
  <r>
    <s v="T01160"/>
    <d v="2023-01-13T00:00:00"/>
    <d v="1899-12-30T07:00:00"/>
    <x v="1"/>
    <x v="18"/>
    <s v="Station_12"/>
    <s v="Station_1"/>
    <d v="1899-12-30T07:04:00"/>
    <d v="1899-12-30T07:55:00"/>
    <n v="10"/>
    <n v="7"/>
    <x v="5"/>
    <n v="30.6"/>
    <n v="91"/>
    <n v="4"/>
    <n v="16.5"/>
    <x v="0"/>
    <n v="500"/>
    <n v="4"/>
    <x v="0"/>
    <x v="0"/>
    <x v="5"/>
    <x v="0"/>
    <x v="1"/>
    <x v="2"/>
  </r>
  <r>
    <s v="T01161"/>
    <d v="2023-01-13T00:00:00"/>
    <d v="1899-12-30T07:15:00"/>
    <x v="2"/>
    <x v="10"/>
    <s v="Station_10"/>
    <s v="Station_29"/>
    <d v="1899-12-30T07:19:00"/>
    <d v="1899-12-30T08:09:00"/>
    <n v="0"/>
    <n v="11"/>
    <x v="1"/>
    <n v="12.2"/>
    <n v="54"/>
    <n v="4"/>
    <n v="10.9"/>
    <x v="3"/>
    <n v="500"/>
    <n v="44"/>
    <x v="0"/>
    <x v="0"/>
    <x v="5"/>
    <x v="0"/>
    <x v="1"/>
    <x v="1"/>
  </r>
  <r>
    <s v="T01162"/>
    <d v="2023-01-13T00:00:00"/>
    <d v="1899-12-30T07:30:00"/>
    <x v="3"/>
    <x v="14"/>
    <s v="Station_44"/>
    <s v="Station_8"/>
    <d v="1899-12-30T07:32:00"/>
    <d v="1899-12-30T08:04:00"/>
    <n v="16"/>
    <n v="7"/>
    <x v="3"/>
    <n v="16.399999999999999"/>
    <n v="93"/>
    <n v="51"/>
    <n v="6.3"/>
    <x v="0"/>
    <n v="500"/>
    <n v="1"/>
    <x v="0"/>
    <x v="1"/>
    <x v="5"/>
    <x v="0"/>
    <x v="1"/>
    <x v="2"/>
  </r>
  <r>
    <s v="T01163"/>
    <d v="2023-01-13T00:00:00"/>
    <d v="1899-12-30T07:45:00"/>
    <x v="3"/>
    <x v="5"/>
    <s v="Station_11"/>
    <s v="Station_4"/>
    <d v="1899-12-30T07:48:00"/>
    <d v="1899-12-30T08:44:00"/>
    <n v="8"/>
    <n v="27"/>
    <x v="4"/>
    <n v="33.200000000000003"/>
    <n v="89"/>
    <n v="29"/>
    <n v="14.9"/>
    <x v="0"/>
    <n v="0"/>
    <n v="41"/>
    <x v="1"/>
    <x v="0"/>
    <x v="5"/>
    <x v="3"/>
    <x v="1"/>
    <x v="1"/>
  </r>
  <r>
    <s v="T01164"/>
    <d v="2023-01-13T00:00:00"/>
    <d v="1899-12-30T08:00:00"/>
    <x v="2"/>
    <x v="12"/>
    <s v="Station_15"/>
    <s v="Station_35"/>
    <d v="1899-12-30T08:00:00"/>
    <d v="1899-12-30T08:22:00"/>
    <n v="13"/>
    <n v="24"/>
    <x v="0"/>
    <n v="7"/>
    <n v="86"/>
    <n v="52"/>
    <n v="14.9"/>
    <x v="0"/>
    <n v="2000"/>
    <n v="37"/>
    <x v="0"/>
    <x v="1"/>
    <x v="5"/>
    <x v="2"/>
    <x v="1"/>
    <x v="1"/>
  </r>
  <r>
    <s v="T01165"/>
    <d v="2023-01-13T00:00:00"/>
    <d v="1899-12-30T08:15:00"/>
    <x v="3"/>
    <x v="18"/>
    <s v="Station_16"/>
    <s v="Station_3"/>
    <d v="1899-12-30T08:15:00"/>
    <d v="1899-12-30T09:03:00"/>
    <n v="3"/>
    <n v="24"/>
    <x v="4"/>
    <n v="6.6"/>
    <n v="99"/>
    <n v="49"/>
    <n v="10"/>
    <x v="4"/>
    <n v="0"/>
    <n v="2"/>
    <x v="0"/>
    <x v="1"/>
    <x v="5"/>
    <x v="0"/>
    <x v="1"/>
    <x v="2"/>
  </r>
  <r>
    <s v="T01166"/>
    <d v="2023-01-13T00:00:00"/>
    <d v="1899-12-30T08:30:00"/>
    <x v="2"/>
    <x v="13"/>
    <s v="Station_17"/>
    <s v="Station_45"/>
    <d v="1899-12-30T08:34:00"/>
    <d v="1899-12-30T09:19:00"/>
    <n v="0"/>
    <n v="28"/>
    <x v="4"/>
    <n v="27"/>
    <n v="81"/>
    <n v="49"/>
    <n v="0.9"/>
    <x v="0"/>
    <n v="0"/>
    <n v="45"/>
    <x v="0"/>
    <x v="1"/>
    <x v="5"/>
    <x v="1"/>
    <x v="1"/>
    <x v="1"/>
  </r>
  <r>
    <s v="T01167"/>
    <d v="2023-01-13T00:00:00"/>
    <d v="1899-12-30T08:45:00"/>
    <x v="3"/>
    <x v="15"/>
    <s v="Station_26"/>
    <s v="Station_40"/>
    <d v="1899-12-30T08:49:00"/>
    <d v="1899-12-30T09:43:00"/>
    <n v="16"/>
    <n v="21"/>
    <x v="4"/>
    <n v="6.1"/>
    <n v="85"/>
    <n v="4"/>
    <n v="1.5"/>
    <x v="0"/>
    <n v="0"/>
    <n v="21"/>
    <x v="0"/>
    <x v="1"/>
    <x v="5"/>
    <x v="1"/>
    <x v="1"/>
    <x v="2"/>
  </r>
  <r>
    <s v="T01168"/>
    <d v="2023-01-13T00:00:00"/>
    <d v="1899-12-30T09:00:00"/>
    <x v="0"/>
    <x v="6"/>
    <s v="Station_2"/>
    <s v="Station_7"/>
    <d v="1899-12-30T09:01:00"/>
    <d v="1899-12-30T09:37:00"/>
    <n v="3"/>
    <n v="16"/>
    <x v="4"/>
    <n v="28.3"/>
    <n v="92"/>
    <n v="42"/>
    <n v="15.8"/>
    <x v="1"/>
    <n v="0"/>
    <n v="32"/>
    <x v="0"/>
    <x v="1"/>
    <x v="5"/>
    <x v="1"/>
    <x v="1"/>
    <x v="2"/>
  </r>
  <r>
    <s v="T01169"/>
    <d v="2023-01-13T00:00:00"/>
    <d v="1899-12-30T09:15:00"/>
    <x v="0"/>
    <x v="2"/>
    <s v="Station_50"/>
    <s v="Station_27"/>
    <d v="1899-12-30T09:19:00"/>
    <d v="1899-12-30T09:45:00"/>
    <n v="5"/>
    <n v="24"/>
    <x v="0"/>
    <n v="-1.2"/>
    <n v="97"/>
    <n v="12"/>
    <n v="16.5"/>
    <x v="1"/>
    <n v="0"/>
    <n v="31"/>
    <x v="0"/>
    <x v="1"/>
    <x v="5"/>
    <x v="2"/>
    <x v="1"/>
    <x v="2"/>
  </r>
  <r>
    <s v="T01170"/>
    <d v="2023-01-13T00:00:00"/>
    <d v="1899-12-30T09:30:00"/>
    <x v="1"/>
    <x v="14"/>
    <s v="Station_12"/>
    <s v="Station_1"/>
    <d v="1899-12-30T09:31:00"/>
    <d v="1899-12-30T10:27:00"/>
    <n v="19"/>
    <n v="21"/>
    <x v="0"/>
    <n v="-0.5"/>
    <n v="49"/>
    <n v="34"/>
    <n v="13.6"/>
    <x v="0"/>
    <n v="0"/>
    <n v="16"/>
    <x v="0"/>
    <x v="1"/>
    <x v="5"/>
    <x v="2"/>
    <x v="1"/>
    <x v="2"/>
  </r>
  <r>
    <s v="T01171"/>
    <d v="2023-01-13T00:00:00"/>
    <d v="1899-12-30T09:45:00"/>
    <x v="0"/>
    <x v="18"/>
    <s v="Station_26"/>
    <s v="Station_27"/>
    <d v="1899-12-30T09:45:00"/>
    <d v="1899-12-30T10:44:00"/>
    <n v="10"/>
    <n v="7"/>
    <x v="4"/>
    <n v="31.1"/>
    <n v="83"/>
    <n v="48"/>
    <n v="16.8"/>
    <x v="0"/>
    <n v="0"/>
    <n v="81"/>
    <x v="0"/>
    <x v="0"/>
    <x v="5"/>
    <x v="1"/>
    <x v="1"/>
    <x v="0"/>
  </r>
  <r>
    <s v="T01172"/>
    <d v="2023-01-13T00:00:00"/>
    <d v="1899-12-30T10:00:00"/>
    <x v="0"/>
    <x v="16"/>
    <s v="Station_23"/>
    <s v="Station_16"/>
    <d v="1899-12-30T10:01:00"/>
    <d v="1899-12-30T10:20:00"/>
    <n v="9"/>
    <n v="15"/>
    <x v="1"/>
    <n v="16.600000000000001"/>
    <n v="30"/>
    <n v="24"/>
    <n v="14.4"/>
    <x v="0"/>
    <n v="0"/>
    <n v="55"/>
    <x v="0"/>
    <x v="1"/>
    <x v="5"/>
    <x v="3"/>
    <x v="1"/>
    <x v="1"/>
  </r>
  <r>
    <s v="T01173"/>
    <d v="2023-01-13T00:00:00"/>
    <d v="1899-12-30T10:15:00"/>
    <x v="0"/>
    <x v="8"/>
    <s v="Station_18"/>
    <s v="Station_38"/>
    <d v="1899-12-30T10:16:00"/>
    <d v="1899-12-30T11:03:00"/>
    <n v="7"/>
    <n v="24"/>
    <x v="4"/>
    <n v="23.8"/>
    <n v="39"/>
    <n v="49"/>
    <n v="17.899999999999999"/>
    <x v="0"/>
    <n v="2000"/>
    <n v="2"/>
    <x v="0"/>
    <x v="1"/>
    <x v="5"/>
    <x v="3"/>
    <x v="1"/>
    <x v="2"/>
  </r>
  <r>
    <s v="T01174"/>
    <d v="2023-01-13T00:00:00"/>
    <d v="1899-12-30T10:30:00"/>
    <x v="2"/>
    <x v="3"/>
    <s v="Station_32"/>
    <s v="Station_7"/>
    <d v="1899-12-30T10:32:00"/>
    <d v="1899-12-30T10:59:00"/>
    <n v="0"/>
    <n v="-3"/>
    <x v="3"/>
    <n v="4"/>
    <n v="52"/>
    <n v="13"/>
    <n v="3"/>
    <x v="0"/>
    <n v="0"/>
    <n v="69"/>
    <x v="0"/>
    <x v="1"/>
    <x v="5"/>
    <x v="0"/>
    <x v="0"/>
    <x v="0"/>
  </r>
  <r>
    <s v="T01175"/>
    <d v="2023-01-13T00:00:00"/>
    <d v="1899-12-30T10:45:00"/>
    <x v="0"/>
    <x v="3"/>
    <s v="Station_49"/>
    <s v="Station_44"/>
    <d v="1899-12-30T10:49:00"/>
    <d v="1899-12-30T11:32:00"/>
    <n v="1"/>
    <n v="1"/>
    <x v="3"/>
    <n v="1.7"/>
    <n v="80"/>
    <n v="43"/>
    <n v="7.8"/>
    <x v="0"/>
    <n v="50000"/>
    <n v="48"/>
    <x v="0"/>
    <x v="1"/>
    <x v="5"/>
    <x v="0"/>
    <x v="0"/>
    <x v="1"/>
  </r>
  <r>
    <s v="T01176"/>
    <d v="2023-01-13T00:00:00"/>
    <d v="1899-12-30T11:00:00"/>
    <x v="0"/>
    <x v="5"/>
    <s v="Station_38"/>
    <s v="Station_23"/>
    <d v="1899-12-30T11:01:00"/>
    <d v="1899-12-30T11:50:00"/>
    <n v="-2"/>
    <n v="6"/>
    <x v="0"/>
    <n v="28.4"/>
    <n v="53"/>
    <n v="45"/>
    <n v="9.3000000000000007"/>
    <x v="0"/>
    <n v="0"/>
    <n v="54"/>
    <x v="0"/>
    <x v="0"/>
    <x v="5"/>
    <x v="0"/>
    <x v="1"/>
    <x v="1"/>
  </r>
  <r>
    <s v="T01177"/>
    <d v="2023-01-13T00:00:00"/>
    <d v="1899-12-30T11:15:00"/>
    <x v="1"/>
    <x v="13"/>
    <s v="Station_47"/>
    <s v="Station_41"/>
    <d v="1899-12-30T11:15:00"/>
    <d v="1899-12-30T11:53:00"/>
    <n v="10"/>
    <n v="-2"/>
    <x v="3"/>
    <n v="9.3000000000000007"/>
    <n v="42"/>
    <n v="25"/>
    <n v="6"/>
    <x v="0"/>
    <n v="0"/>
    <n v="76"/>
    <x v="0"/>
    <x v="1"/>
    <x v="5"/>
    <x v="0"/>
    <x v="0"/>
    <x v="0"/>
  </r>
  <r>
    <s v="T01178"/>
    <d v="2023-01-13T00:00:00"/>
    <d v="1899-12-30T11:30:00"/>
    <x v="0"/>
    <x v="3"/>
    <s v="Station_3"/>
    <s v="Station_11"/>
    <d v="1899-12-30T11:33:00"/>
    <d v="1899-12-30T11:52:00"/>
    <n v="1"/>
    <n v="14"/>
    <x v="3"/>
    <n v="13.2"/>
    <n v="58"/>
    <n v="17"/>
    <n v="14.5"/>
    <x v="3"/>
    <n v="0"/>
    <n v="30"/>
    <x v="1"/>
    <x v="1"/>
    <x v="5"/>
    <x v="0"/>
    <x v="1"/>
    <x v="2"/>
  </r>
  <r>
    <s v="T01179"/>
    <d v="2023-01-13T00:00:00"/>
    <d v="1899-12-30T11:45:00"/>
    <x v="0"/>
    <x v="10"/>
    <s v="Station_38"/>
    <s v="Station_42"/>
    <d v="1899-12-30T11:46:00"/>
    <d v="1899-12-30T12:40:00"/>
    <n v="19"/>
    <n v="9"/>
    <x v="5"/>
    <n v="-3.9"/>
    <n v="87"/>
    <n v="19"/>
    <n v="18.2"/>
    <x v="0"/>
    <n v="500"/>
    <n v="80"/>
    <x v="0"/>
    <x v="1"/>
    <x v="5"/>
    <x v="2"/>
    <x v="1"/>
    <x v="0"/>
  </r>
  <r>
    <s v="T01180"/>
    <d v="2023-01-13T00:00:00"/>
    <d v="1899-12-30T12:00:00"/>
    <x v="3"/>
    <x v="1"/>
    <s v="Station_3"/>
    <s v="Station_33"/>
    <d v="1899-12-30T12:04:00"/>
    <d v="1899-12-30T12:34:00"/>
    <n v="8"/>
    <n v="1"/>
    <x v="4"/>
    <n v="10.4"/>
    <n v="72"/>
    <n v="33"/>
    <n v="8.1999999999999993"/>
    <x v="0"/>
    <n v="2000"/>
    <n v="20"/>
    <x v="0"/>
    <x v="0"/>
    <x v="5"/>
    <x v="2"/>
    <x v="0"/>
    <x v="2"/>
  </r>
  <r>
    <s v="T01181"/>
    <d v="2023-01-13T00:00:00"/>
    <d v="1899-12-30T12:15:00"/>
    <x v="1"/>
    <x v="7"/>
    <s v="Station_30"/>
    <s v="Station_50"/>
    <d v="1899-12-30T12:17:00"/>
    <d v="1899-12-30T13:07:00"/>
    <n v="16"/>
    <n v="16"/>
    <x v="4"/>
    <n v="25.8"/>
    <n v="39"/>
    <n v="6"/>
    <n v="18.8"/>
    <x v="0"/>
    <n v="50000"/>
    <n v="15"/>
    <x v="0"/>
    <x v="1"/>
    <x v="5"/>
    <x v="3"/>
    <x v="1"/>
    <x v="2"/>
  </r>
  <r>
    <s v="T01182"/>
    <d v="2023-01-13T00:00:00"/>
    <d v="1899-12-30T12:30:00"/>
    <x v="1"/>
    <x v="18"/>
    <s v="Station_1"/>
    <s v="Station_36"/>
    <d v="1899-12-30T12:30:00"/>
    <d v="1899-12-30T13:15:00"/>
    <n v="8"/>
    <n v="-2"/>
    <x v="4"/>
    <n v="27.9"/>
    <n v="60"/>
    <n v="46"/>
    <n v="10.3"/>
    <x v="0"/>
    <n v="0"/>
    <n v="16"/>
    <x v="0"/>
    <x v="1"/>
    <x v="5"/>
    <x v="3"/>
    <x v="0"/>
    <x v="2"/>
  </r>
  <r>
    <s v="T01183"/>
    <d v="2023-01-13T00:00:00"/>
    <d v="1899-12-30T12:45:00"/>
    <x v="1"/>
    <x v="3"/>
    <s v="Station_30"/>
    <s v="Station_37"/>
    <d v="1899-12-30T12:47:00"/>
    <d v="1899-12-30T13:20:00"/>
    <n v="9"/>
    <n v="7"/>
    <x v="4"/>
    <n v="23"/>
    <n v="43"/>
    <n v="59"/>
    <n v="10.5"/>
    <x v="2"/>
    <n v="0"/>
    <n v="95"/>
    <x v="0"/>
    <x v="1"/>
    <x v="5"/>
    <x v="2"/>
    <x v="1"/>
    <x v="0"/>
  </r>
  <r>
    <s v="T01184"/>
    <d v="2023-01-13T00:00:00"/>
    <d v="1899-12-30T13:00:00"/>
    <x v="1"/>
    <x v="2"/>
    <s v="Station_45"/>
    <s v="Station_41"/>
    <d v="1899-12-30T13:03:00"/>
    <d v="1899-12-30T13:55:00"/>
    <n v="8"/>
    <n v="26"/>
    <x v="2"/>
    <n v="22.7"/>
    <n v="63"/>
    <n v="9"/>
    <n v="12"/>
    <x v="0"/>
    <n v="2000"/>
    <n v="0"/>
    <x v="0"/>
    <x v="0"/>
    <x v="5"/>
    <x v="3"/>
    <x v="1"/>
    <x v="2"/>
  </r>
  <r>
    <s v="T01185"/>
    <d v="2023-01-13T00:00:00"/>
    <d v="1899-12-30T13:15:00"/>
    <x v="1"/>
    <x v="10"/>
    <s v="Station_32"/>
    <s v="Station_17"/>
    <d v="1899-12-30T13:16:00"/>
    <d v="1899-12-30T14:07:00"/>
    <n v="3"/>
    <n v="28"/>
    <x v="4"/>
    <n v="15.2"/>
    <n v="46"/>
    <n v="14"/>
    <n v="5.4"/>
    <x v="2"/>
    <n v="2000"/>
    <n v="71"/>
    <x v="0"/>
    <x v="1"/>
    <x v="5"/>
    <x v="1"/>
    <x v="1"/>
    <x v="0"/>
  </r>
  <r>
    <s v="T01186"/>
    <d v="2023-01-13T00:00:00"/>
    <d v="1899-12-30T13:30:00"/>
    <x v="1"/>
    <x v="18"/>
    <s v="Station_28"/>
    <s v="Station_35"/>
    <d v="1899-12-30T13:31:00"/>
    <d v="1899-12-30T14:09:00"/>
    <n v="9"/>
    <n v="28"/>
    <x v="0"/>
    <n v="16.5"/>
    <n v="50"/>
    <n v="16"/>
    <n v="7.7"/>
    <x v="0"/>
    <n v="50000"/>
    <n v="64"/>
    <x v="0"/>
    <x v="0"/>
    <x v="5"/>
    <x v="3"/>
    <x v="1"/>
    <x v="1"/>
  </r>
  <r>
    <s v="T01187"/>
    <d v="2023-01-13T00:00:00"/>
    <d v="1899-12-30T13:45:00"/>
    <x v="2"/>
    <x v="5"/>
    <s v="Station_21"/>
    <s v="Station_48"/>
    <d v="1899-12-30T13:49:00"/>
    <d v="1899-12-30T14:17:00"/>
    <n v="6"/>
    <n v="24"/>
    <x v="0"/>
    <n v="24.7"/>
    <n v="96"/>
    <n v="10"/>
    <n v="11.1"/>
    <x v="5"/>
    <n v="0"/>
    <n v="65"/>
    <x v="0"/>
    <x v="1"/>
    <x v="5"/>
    <x v="1"/>
    <x v="1"/>
    <x v="1"/>
  </r>
  <r>
    <s v="T01188"/>
    <d v="2023-01-13T00:00:00"/>
    <d v="1899-12-30T14:00:00"/>
    <x v="0"/>
    <x v="19"/>
    <s v="Station_46"/>
    <s v="Station_5"/>
    <d v="1899-12-30T14:01:00"/>
    <d v="1899-12-30T14:52:00"/>
    <n v="7"/>
    <n v="6"/>
    <x v="2"/>
    <n v="4.9000000000000004"/>
    <n v="87"/>
    <n v="33"/>
    <n v="18.8"/>
    <x v="0"/>
    <n v="2000"/>
    <n v="36"/>
    <x v="0"/>
    <x v="1"/>
    <x v="5"/>
    <x v="1"/>
    <x v="1"/>
    <x v="1"/>
  </r>
  <r>
    <s v="T01189"/>
    <d v="2023-01-13T00:00:00"/>
    <d v="1899-12-30T14:15:00"/>
    <x v="1"/>
    <x v="8"/>
    <s v="Station_13"/>
    <s v="Station_48"/>
    <d v="1899-12-30T14:15:00"/>
    <d v="1899-12-30T14:39:00"/>
    <n v="0"/>
    <n v="18"/>
    <x v="4"/>
    <n v="4.3"/>
    <n v="37"/>
    <n v="26"/>
    <n v="12.9"/>
    <x v="0"/>
    <n v="0"/>
    <n v="23"/>
    <x v="0"/>
    <x v="1"/>
    <x v="5"/>
    <x v="0"/>
    <x v="1"/>
    <x v="2"/>
  </r>
  <r>
    <s v="T01190"/>
    <d v="2023-01-13T00:00:00"/>
    <d v="1899-12-30T14:30:00"/>
    <x v="0"/>
    <x v="14"/>
    <s v="Station_27"/>
    <s v="Station_32"/>
    <d v="1899-12-30T14:33:00"/>
    <d v="1899-12-30T15:26:00"/>
    <n v="0"/>
    <n v="13"/>
    <x v="1"/>
    <n v="33"/>
    <n v="67"/>
    <n v="20"/>
    <n v="6.7"/>
    <x v="0"/>
    <n v="0"/>
    <n v="90"/>
    <x v="0"/>
    <x v="1"/>
    <x v="5"/>
    <x v="3"/>
    <x v="1"/>
    <x v="0"/>
  </r>
  <r>
    <s v="T01191"/>
    <d v="2023-01-13T00:00:00"/>
    <d v="1899-12-30T14:45:00"/>
    <x v="0"/>
    <x v="5"/>
    <s v="Station_36"/>
    <s v="Station_3"/>
    <d v="1899-12-30T14:47:00"/>
    <d v="1899-12-30T15:18:00"/>
    <n v="17"/>
    <n v="18"/>
    <x v="4"/>
    <n v="-3.9"/>
    <n v="55"/>
    <n v="30"/>
    <n v="0.2"/>
    <x v="0"/>
    <n v="0"/>
    <n v="83"/>
    <x v="1"/>
    <x v="0"/>
    <x v="5"/>
    <x v="1"/>
    <x v="1"/>
    <x v="0"/>
  </r>
  <r>
    <s v="T01192"/>
    <d v="2023-01-13T00:00:00"/>
    <d v="1899-12-30T15:00:00"/>
    <x v="2"/>
    <x v="0"/>
    <s v="Station_7"/>
    <s v="Station_47"/>
    <d v="1899-12-30T15:03:00"/>
    <d v="1899-12-30T15:46:00"/>
    <n v="13"/>
    <n v="15"/>
    <x v="0"/>
    <n v="0.6"/>
    <n v="93"/>
    <n v="49"/>
    <n v="19.600000000000001"/>
    <x v="0"/>
    <n v="500"/>
    <n v="61"/>
    <x v="0"/>
    <x v="0"/>
    <x v="5"/>
    <x v="3"/>
    <x v="1"/>
    <x v="1"/>
  </r>
  <r>
    <s v="T01193"/>
    <d v="2023-01-13T00:00:00"/>
    <d v="1899-12-30T15:15:00"/>
    <x v="1"/>
    <x v="17"/>
    <s v="Station_22"/>
    <s v="Station_35"/>
    <d v="1899-12-30T15:16:00"/>
    <d v="1899-12-30T15:57:00"/>
    <n v="0"/>
    <n v="13"/>
    <x v="5"/>
    <n v="17.8"/>
    <n v="59"/>
    <n v="56"/>
    <n v="9.9"/>
    <x v="0"/>
    <n v="500"/>
    <n v="20"/>
    <x v="0"/>
    <x v="1"/>
    <x v="5"/>
    <x v="3"/>
    <x v="1"/>
    <x v="2"/>
  </r>
  <r>
    <s v="T01194"/>
    <d v="2023-01-13T00:00:00"/>
    <d v="1899-12-30T15:30:00"/>
    <x v="3"/>
    <x v="10"/>
    <s v="Station_10"/>
    <s v="Station_14"/>
    <d v="1899-12-30T15:32:00"/>
    <d v="1899-12-30T16:03:00"/>
    <n v="7"/>
    <n v="20"/>
    <x v="3"/>
    <n v="24.5"/>
    <n v="38"/>
    <n v="3"/>
    <n v="18.8"/>
    <x v="1"/>
    <n v="0"/>
    <n v="36"/>
    <x v="0"/>
    <x v="1"/>
    <x v="5"/>
    <x v="2"/>
    <x v="1"/>
    <x v="1"/>
  </r>
  <r>
    <s v="T01195"/>
    <d v="2023-01-13T00:00:00"/>
    <d v="1899-12-30T15:45:00"/>
    <x v="2"/>
    <x v="19"/>
    <s v="Station_39"/>
    <s v="Station_48"/>
    <d v="1899-12-30T15:49:00"/>
    <d v="1899-12-30T16:44:00"/>
    <n v="8"/>
    <n v="28"/>
    <x v="5"/>
    <n v="16.5"/>
    <n v="61"/>
    <n v="40"/>
    <n v="11"/>
    <x v="0"/>
    <n v="0"/>
    <n v="34"/>
    <x v="1"/>
    <x v="0"/>
    <x v="5"/>
    <x v="2"/>
    <x v="1"/>
    <x v="1"/>
  </r>
  <r>
    <s v="T01196"/>
    <d v="2023-01-13T00:00:00"/>
    <d v="1899-12-30T16:00:00"/>
    <x v="3"/>
    <x v="5"/>
    <s v="Station_15"/>
    <s v="Station_31"/>
    <d v="1899-12-30T16:03:00"/>
    <d v="1899-12-30T16:23:00"/>
    <n v="5"/>
    <n v="24"/>
    <x v="1"/>
    <n v="9.1999999999999993"/>
    <n v="40"/>
    <n v="58"/>
    <n v="12.1"/>
    <x v="0"/>
    <n v="0"/>
    <n v="37"/>
    <x v="1"/>
    <x v="1"/>
    <x v="5"/>
    <x v="0"/>
    <x v="1"/>
    <x v="1"/>
  </r>
  <r>
    <s v="T01197"/>
    <d v="2023-01-13T00:00:00"/>
    <d v="1899-12-30T16:15:00"/>
    <x v="0"/>
    <x v="7"/>
    <s v="Station_15"/>
    <s v="Station_31"/>
    <d v="1899-12-30T16:17:00"/>
    <d v="1899-12-30T17:13:00"/>
    <n v="3"/>
    <n v="10"/>
    <x v="4"/>
    <n v="34.1"/>
    <n v="63"/>
    <n v="59"/>
    <n v="14.2"/>
    <x v="0"/>
    <n v="0"/>
    <n v="52"/>
    <x v="0"/>
    <x v="0"/>
    <x v="5"/>
    <x v="3"/>
    <x v="1"/>
    <x v="1"/>
  </r>
  <r>
    <s v="T01198"/>
    <d v="2023-01-13T00:00:00"/>
    <d v="1899-12-30T16:30:00"/>
    <x v="0"/>
    <x v="18"/>
    <s v="Station_4"/>
    <s v="Station_17"/>
    <d v="1899-12-30T16:32:00"/>
    <d v="1899-12-30T17:08:00"/>
    <n v="17"/>
    <n v="2"/>
    <x v="2"/>
    <n v="23.2"/>
    <n v="47"/>
    <n v="48"/>
    <n v="6.4"/>
    <x v="4"/>
    <n v="0"/>
    <n v="14"/>
    <x v="0"/>
    <x v="0"/>
    <x v="5"/>
    <x v="2"/>
    <x v="0"/>
    <x v="2"/>
  </r>
  <r>
    <s v="T01199"/>
    <d v="2023-01-13T00:00:00"/>
    <d v="1899-12-30T16:45:00"/>
    <x v="2"/>
    <x v="14"/>
    <s v="Station_32"/>
    <s v="Station_24"/>
    <d v="1899-12-30T16:47:00"/>
    <d v="1899-12-30T17:08:00"/>
    <n v="8"/>
    <n v="5"/>
    <x v="4"/>
    <n v="28.3"/>
    <n v="48"/>
    <n v="16"/>
    <n v="14"/>
    <x v="0"/>
    <n v="0"/>
    <n v="41"/>
    <x v="0"/>
    <x v="1"/>
    <x v="5"/>
    <x v="1"/>
    <x v="0"/>
    <x v="1"/>
  </r>
  <r>
    <s v="T01200"/>
    <d v="2023-01-13T00:00:00"/>
    <d v="1899-12-30T17:00:00"/>
    <x v="2"/>
    <x v="2"/>
    <s v="Station_23"/>
    <s v="Station_23"/>
    <d v="1899-12-30T17:00:00"/>
    <d v="1899-12-30T17:49:00"/>
    <n v="18"/>
    <n v="17"/>
    <x v="1"/>
    <n v="-3.4"/>
    <n v="83"/>
    <n v="48"/>
    <n v="10.5"/>
    <x v="0"/>
    <n v="2000"/>
    <n v="93"/>
    <x v="1"/>
    <x v="0"/>
    <x v="5"/>
    <x v="1"/>
    <x v="1"/>
    <x v="0"/>
  </r>
  <r>
    <s v="T01201"/>
    <d v="2023-01-13T00:00:00"/>
    <d v="1899-12-30T17:15:00"/>
    <x v="3"/>
    <x v="0"/>
    <s v="Station_6"/>
    <s v="Station_18"/>
    <d v="1899-12-30T17:18:00"/>
    <d v="1899-12-30T17:53:00"/>
    <n v="9"/>
    <n v="8"/>
    <x v="1"/>
    <n v="4.4000000000000004"/>
    <n v="66"/>
    <n v="47"/>
    <n v="13.4"/>
    <x v="0"/>
    <n v="0"/>
    <n v="3"/>
    <x v="0"/>
    <x v="1"/>
    <x v="5"/>
    <x v="0"/>
    <x v="1"/>
    <x v="2"/>
  </r>
  <r>
    <s v="T01202"/>
    <d v="2023-01-13T00:00:00"/>
    <d v="1899-12-30T17:30:00"/>
    <x v="1"/>
    <x v="0"/>
    <s v="Station_24"/>
    <s v="Station_50"/>
    <d v="1899-12-30T17:32:00"/>
    <d v="1899-12-30T18:20:00"/>
    <n v="13"/>
    <n v="26"/>
    <x v="3"/>
    <n v="10"/>
    <n v="41"/>
    <n v="19"/>
    <n v="16.7"/>
    <x v="2"/>
    <n v="0"/>
    <n v="38"/>
    <x v="0"/>
    <x v="1"/>
    <x v="5"/>
    <x v="1"/>
    <x v="1"/>
    <x v="1"/>
  </r>
  <r>
    <s v="T01203"/>
    <d v="2023-01-13T00:00:00"/>
    <d v="1899-12-30T17:45:00"/>
    <x v="3"/>
    <x v="7"/>
    <s v="Station_20"/>
    <s v="Station_14"/>
    <d v="1899-12-30T17:48:00"/>
    <d v="1899-12-30T18:35:00"/>
    <n v="15"/>
    <n v="27"/>
    <x v="1"/>
    <n v="2.2999999999999998"/>
    <n v="33"/>
    <n v="24"/>
    <n v="3.7"/>
    <x v="4"/>
    <n v="50000"/>
    <n v="78"/>
    <x v="1"/>
    <x v="1"/>
    <x v="5"/>
    <x v="3"/>
    <x v="1"/>
    <x v="0"/>
  </r>
  <r>
    <s v="T01204"/>
    <d v="2023-01-13T00:00:00"/>
    <d v="1899-12-30T18:00:00"/>
    <x v="2"/>
    <x v="0"/>
    <s v="Station_37"/>
    <s v="Station_50"/>
    <d v="1899-12-30T18:02:00"/>
    <d v="1899-12-30T18:28:00"/>
    <n v="10"/>
    <n v="0"/>
    <x v="5"/>
    <n v="-2.1"/>
    <n v="72"/>
    <n v="39"/>
    <n v="12.3"/>
    <x v="0"/>
    <n v="0"/>
    <n v="22"/>
    <x v="0"/>
    <x v="1"/>
    <x v="5"/>
    <x v="1"/>
    <x v="0"/>
    <x v="2"/>
  </r>
  <r>
    <s v="T01205"/>
    <d v="2023-01-13T00:00:00"/>
    <d v="1899-12-30T18:15:00"/>
    <x v="3"/>
    <x v="13"/>
    <s v="Station_20"/>
    <s v="Station_15"/>
    <d v="1899-12-30T18:19:00"/>
    <d v="1899-12-30T18:47:00"/>
    <n v="19"/>
    <n v="27"/>
    <x v="3"/>
    <n v="4"/>
    <n v="56"/>
    <n v="22"/>
    <n v="1"/>
    <x v="0"/>
    <n v="2000"/>
    <n v="14"/>
    <x v="0"/>
    <x v="1"/>
    <x v="5"/>
    <x v="0"/>
    <x v="1"/>
    <x v="2"/>
  </r>
  <r>
    <s v="T01206"/>
    <d v="2023-01-13T00:00:00"/>
    <d v="1899-12-30T18:30:00"/>
    <x v="2"/>
    <x v="17"/>
    <s v="Station_12"/>
    <s v="Station_15"/>
    <d v="1899-12-30T18:34:00"/>
    <d v="1899-12-30T19:03:00"/>
    <n v="0"/>
    <n v="23"/>
    <x v="4"/>
    <n v="16.3"/>
    <n v="80"/>
    <n v="14"/>
    <n v="2"/>
    <x v="0"/>
    <n v="0"/>
    <n v="89"/>
    <x v="0"/>
    <x v="0"/>
    <x v="5"/>
    <x v="0"/>
    <x v="1"/>
    <x v="0"/>
  </r>
  <r>
    <s v="T01207"/>
    <d v="2023-01-13T00:00:00"/>
    <d v="1899-12-30T18:45:00"/>
    <x v="3"/>
    <x v="12"/>
    <s v="Station_33"/>
    <s v="Station_6"/>
    <d v="1899-12-30T18:49:00"/>
    <d v="1899-12-30T19:14:00"/>
    <n v="12"/>
    <n v="21"/>
    <x v="4"/>
    <n v="22.8"/>
    <n v="34"/>
    <n v="32"/>
    <n v="13.5"/>
    <x v="0"/>
    <n v="50000"/>
    <n v="11"/>
    <x v="0"/>
    <x v="1"/>
    <x v="5"/>
    <x v="1"/>
    <x v="1"/>
    <x v="2"/>
  </r>
  <r>
    <s v="T01208"/>
    <d v="2023-01-13T00:00:00"/>
    <d v="1899-12-30T19:00:00"/>
    <x v="2"/>
    <x v="9"/>
    <s v="Station_28"/>
    <s v="Station_27"/>
    <d v="1899-12-30T19:01:00"/>
    <d v="1899-12-30T19:50:00"/>
    <n v="19"/>
    <n v="1"/>
    <x v="2"/>
    <n v="26"/>
    <n v="35"/>
    <n v="18"/>
    <n v="1.4"/>
    <x v="0"/>
    <n v="0"/>
    <n v="81"/>
    <x v="0"/>
    <x v="1"/>
    <x v="5"/>
    <x v="3"/>
    <x v="0"/>
    <x v="0"/>
  </r>
  <r>
    <s v="T01209"/>
    <d v="2023-01-13T00:00:00"/>
    <d v="1899-12-30T19:15:00"/>
    <x v="2"/>
    <x v="2"/>
    <s v="Station_8"/>
    <s v="Station_15"/>
    <d v="1899-12-30T19:17:00"/>
    <d v="1899-12-30T20:11:00"/>
    <n v="18"/>
    <n v="2"/>
    <x v="1"/>
    <n v="-3.3"/>
    <n v="85"/>
    <n v="56"/>
    <n v="11.9"/>
    <x v="0"/>
    <n v="2000"/>
    <n v="69"/>
    <x v="0"/>
    <x v="1"/>
    <x v="5"/>
    <x v="2"/>
    <x v="0"/>
    <x v="0"/>
  </r>
  <r>
    <s v="T01210"/>
    <d v="2023-01-13T00:00:00"/>
    <d v="1899-12-30T19:30:00"/>
    <x v="2"/>
    <x v="6"/>
    <s v="Station_1"/>
    <s v="Station_50"/>
    <d v="1899-12-30T19:31:00"/>
    <d v="1899-12-30T20:12:00"/>
    <n v="11"/>
    <n v="1"/>
    <x v="1"/>
    <n v="12.1"/>
    <n v="97"/>
    <n v="14"/>
    <n v="4.4000000000000004"/>
    <x v="0"/>
    <n v="0"/>
    <n v="81"/>
    <x v="0"/>
    <x v="1"/>
    <x v="5"/>
    <x v="3"/>
    <x v="0"/>
    <x v="0"/>
  </r>
  <r>
    <s v="T01211"/>
    <d v="2023-01-13T00:00:00"/>
    <d v="1899-12-30T19:45:00"/>
    <x v="1"/>
    <x v="14"/>
    <s v="Station_37"/>
    <s v="Station_36"/>
    <d v="1899-12-30T19:48:00"/>
    <d v="1899-12-30T20:31:00"/>
    <n v="15"/>
    <n v="23"/>
    <x v="0"/>
    <n v="-0.1"/>
    <n v="73"/>
    <n v="40"/>
    <n v="6.1"/>
    <x v="0"/>
    <n v="50000"/>
    <n v="53"/>
    <x v="0"/>
    <x v="1"/>
    <x v="5"/>
    <x v="3"/>
    <x v="1"/>
    <x v="1"/>
  </r>
  <r>
    <s v="T01212"/>
    <d v="2023-01-13T00:00:00"/>
    <d v="1899-12-30T20:00:00"/>
    <x v="3"/>
    <x v="11"/>
    <s v="Station_22"/>
    <s v="Station_8"/>
    <d v="1899-12-30T20:01:00"/>
    <d v="1899-12-30T20:25:00"/>
    <n v="11"/>
    <n v="4"/>
    <x v="3"/>
    <n v="12.2"/>
    <n v="44"/>
    <n v="4"/>
    <n v="2.6"/>
    <x v="0"/>
    <n v="0"/>
    <n v="87"/>
    <x v="0"/>
    <x v="1"/>
    <x v="5"/>
    <x v="3"/>
    <x v="0"/>
    <x v="0"/>
  </r>
  <r>
    <s v="T01213"/>
    <d v="2023-01-13T00:00:00"/>
    <d v="1899-12-30T20:15:00"/>
    <x v="3"/>
    <x v="8"/>
    <s v="Station_6"/>
    <s v="Station_15"/>
    <d v="1899-12-30T20:18:00"/>
    <d v="1899-12-30T21:00:00"/>
    <n v="2"/>
    <n v="5"/>
    <x v="0"/>
    <n v="12.4"/>
    <n v="71"/>
    <n v="15"/>
    <n v="5"/>
    <x v="0"/>
    <n v="0"/>
    <n v="37"/>
    <x v="1"/>
    <x v="1"/>
    <x v="5"/>
    <x v="1"/>
    <x v="0"/>
    <x v="1"/>
  </r>
  <r>
    <s v="T01214"/>
    <d v="2023-01-13T00:00:00"/>
    <d v="1899-12-30T20:30:00"/>
    <x v="3"/>
    <x v="15"/>
    <s v="Station_21"/>
    <s v="Station_3"/>
    <d v="1899-12-30T20:33:00"/>
    <d v="1899-12-30T20:51:00"/>
    <n v="18"/>
    <n v="11"/>
    <x v="3"/>
    <n v="14.9"/>
    <n v="40"/>
    <n v="59"/>
    <n v="16.399999999999999"/>
    <x v="0"/>
    <n v="0"/>
    <n v="27"/>
    <x v="0"/>
    <x v="1"/>
    <x v="5"/>
    <x v="2"/>
    <x v="1"/>
    <x v="2"/>
  </r>
  <r>
    <s v="T01215"/>
    <d v="2023-01-13T00:00:00"/>
    <d v="1899-12-30T20:45:00"/>
    <x v="2"/>
    <x v="10"/>
    <s v="Station_32"/>
    <s v="Station_47"/>
    <d v="1899-12-30T20:48:00"/>
    <d v="1899-12-30T21:17:00"/>
    <n v="11"/>
    <n v="3"/>
    <x v="5"/>
    <n v="30.7"/>
    <n v="40"/>
    <n v="44"/>
    <n v="12.8"/>
    <x v="0"/>
    <n v="50000"/>
    <n v="78"/>
    <x v="0"/>
    <x v="0"/>
    <x v="5"/>
    <x v="3"/>
    <x v="0"/>
    <x v="0"/>
  </r>
  <r>
    <s v="T01216"/>
    <d v="2023-01-13T00:00:00"/>
    <d v="1899-12-30T21:00:00"/>
    <x v="3"/>
    <x v="17"/>
    <s v="Station_35"/>
    <s v="Station_13"/>
    <d v="1899-12-30T21:01:00"/>
    <d v="1899-12-30T21:38:00"/>
    <n v="5"/>
    <n v="28"/>
    <x v="3"/>
    <n v="27.2"/>
    <n v="95"/>
    <n v="47"/>
    <n v="19"/>
    <x v="5"/>
    <n v="500"/>
    <n v="18"/>
    <x v="0"/>
    <x v="1"/>
    <x v="5"/>
    <x v="2"/>
    <x v="1"/>
    <x v="2"/>
  </r>
  <r>
    <s v="T01217"/>
    <d v="2023-01-13T00:00:00"/>
    <d v="1899-12-30T21:15:00"/>
    <x v="3"/>
    <x v="5"/>
    <s v="Station_15"/>
    <s v="Station_41"/>
    <d v="1899-12-30T21:17:00"/>
    <d v="1899-12-30T21:35:00"/>
    <n v="12"/>
    <n v="4"/>
    <x v="4"/>
    <n v="20.5"/>
    <n v="56"/>
    <n v="31"/>
    <n v="1"/>
    <x v="1"/>
    <n v="0"/>
    <n v="68"/>
    <x v="0"/>
    <x v="1"/>
    <x v="5"/>
    <x v="0"/>
    <x v="0"/>
    <x v="0"/>
  </r>
  <r>
    <s v="T01218"/>
    <d v="2023-01-13T00:00:00"/>
    <d v="1899-12-30T21:30:00"/>
    <x v="2"/>
    <x v="10"/>
    <s v="Station_5"/>
    <s v="Station_34"/>
    <d v="1899-12-30T21:31:00"/>
    <d v="1899-12-30T22:29:00"/>
    <n v="12"/>
    <n v="11"/>
    <x v="2"/>
    <n v="30.4"/>
    <n v="87"/>
    <n v="21"/>
    <n v="15.8"/>
    <x v="0"/>
    <n v="0"/>
    <n v="63"/>
    <x v="1"/>
    <x v="0"/>
    <x v="5"/>
    <x v="2"/>
    <x v="1"/>
    <x v="1"/>
  </r>
  <r>
    <s v="T01219"/>
    <d v="2023-01-13T00:00:00"/>
    <d v="1899-12-30T21:45:00"/>
    <x v="0"/>
    <x v="7"/>
    <s v="Station_46"/>
    <s v="Station_24"/>
    <d v="1899-12-30T21:47:00"/>
    <d v="1899-12-30T22:36:00"/>
    <n v="16"/>
    <n v="15"/>
    <x v="3"/>
    <n v="22.1"/>
    <n v="50"/>
    <n v="42"/>
    <n v="14"/>
    <x v="0"/>
    <n v="0"/>
    <n v="3"/>
    <x v="0"/>
    <x v="0"/>
    <x v="5"/>
    <x v="1"/>
    <x v="1"/>
    <x v="2"/>
  </r>
  <r>
    <s v="T01220"/>
    <d v="2023-01-13T00:00:00"/>
    <d v="1899-12-30T22:00:00"/>
    <x v="2"/>
    <x v="5"/>
    <s v="Station_50"/>
    <s v="Station_40"/>
    <d v="1899-12-30T22:02:00"/>
    <d v="1899-12-30T22:41:00"/>
    <n v="17"/>
    <n v="2"/>
    <x v="3"/>
    <n v="27.8"/>
    <n v="50"/>
    <n v="31"/>
    <n v="5.2"/>
    <x v="0"/>
    <n v="0"/>
    <n v="80"/>
    <x v="0"/>
    <x v="1"/>
    <x v="5"/>
    <x v="0"/>
    <x v="0"/>
    <x v="0"/>
  </r>
  <r>
    <s v="T01221"/>
    <d v="2023-01-13T00:00:00"/>
    <d v="1899-12-30T22:15:00"/>
    <x v="3"/>
    <x v="10"/>
    <s v="Station_48"/>
    <s v="Station_32"/>
    <d v="1899-12-30T22:18:00"/>
    <d v="1899-12-30T23:03:00"/>
    <n v="3"/>
    <n v="15"/>
    <x v="3"/>
    <n v="17.600000000000001"/>
    <n v="30"/>
    <n v="12"/>
    <n v="14.6"/>
    <x v="0"/>
    <n v="0"/>
    <n v="9"/>
    <x v="0"/>
    <x v="1"/>
    <x v="5"/>
    <x v="0"/>
    <x v="1"/>
    <x v="2"/>
  </r>
  <r>
    <s v="T01222"/>
    <d v="2023-01-13T00:00:00"/>
    <d v="1899-12-30T22:30:00"/>
    <x v="2"/>
    <x v="3"/>
    <s v="Station_6"/>
    <s v="Station_32"/>
    <d v="1899-12-30T22:31:00"/>
    <d v="1899-12-30T22:51:00"/>
    <n v="16"/>
    <n v="24"/>
    <x v="2"/>
    <n v="16"/>
    <n v="87"/>
    <n v="37"/>
    <n v="14.3"/>
    <x v="5"/>
    <n v="50000"/>
    <n v="11"/>
    <x v="0"/>
    <x v="0"/>
    <x v="5"/>
    <x v="3"/>
    <x v="1"/>
    <x v="2"/>
  </r>
  <r>
    <s v="T01223"/>
    <d v="2023-01-13T00:00:00"/>
    <d v="1899-12-30T22:45:00"/>
    <x v="0"/>
    <x v="3"/>
    <s v="Station_25"/>
    <s v="Station_30"/>
    <d v="1899-12-30T22:47:00"/>
    <d v="1899-12-30T23:44:00"/>
    <n v="5"/>
    <n v="13"/>
    <x v="1"/>
    <n v="24"/>
    <n v="42"/>
    <n v="25"/>
    <n v="9.1999999999999993"/>
    <x v="0"/>
    <n v="500"/>
    <n v="68"/>
    <x v="0"/>
    <x v="1"/>
    <x v="5"/>
    <x v="2"/>
    <x v="1"/>
    <x v="0"/>
  </r>
  <r>
    <s v="T01224"/>
    <d v="2023-01-13T00:00:00"/>
    <d v="1899-12-30T23:00:00"/>
    <x v="2"/>
    <x v="11"/>
    <s v="Station_46"/>
    <s v="Station_49"/>
    <d v="1899-12-30T23:04:00"/>
    <d v="1899-12-30T23:57:00"/>
    <n v="3"/>
    <n v="15"/>
    <x v="2"/>
    <n v="-4.2"/>
    <n v="35"/>
    <n v="51"/>
    <n v="13.8"/>
    <x v="5"/>
    <n v="50000"/>
    <n v="6"/>
    <x v="0"/>
    <x v="0"/>
    <x v="5"/>
    <x v="0"/>
    <x v="1"/>
    <x v="2"/>
  </r>
  <r>
    <s v="T01225"/>
    <d v="2023-01-13T00:00:00"/>
    <d v="1899-12-30T23:15:00"/>
    <x v="3"/>
    <x v="15"/>
    <s v="Station_40"/>
    <s v="Station_13"/>
    <d v="1899-12-30T23:17:00"/>
    <d v="1899-12-30T23:45:00"/>
    <n v="17"/>
    <n v="27"/>
    <x v="1"/>
    <n v="22.6"/>
    <n v="87"/>
    <n v="16"/>
    <n v="8.9"/>
    <x v="0"/>
    <n v="0"/>
    <n v="43"/>
    <x v="0"/>
    <x v="1"/>
    <x v="5"/>
    <x v="0"/>
    <x v="1"/>
    <x v="1"/>
  </r>
  <r>
    <s v="T01226"/>
    <d v="2023-01-13T00:00:00"/>
    <d v="1899-12-30T23:30:00"/>
    <x v="0"/>
    <x v="13"/>
    <s v="Station_29"/>
    <s v="Station_1"/>
    <d v="1899-12-30T23:34:00"/>
    <d v="1899-12-30T00:06:00"/>
    <n v="12"/>
    <n v="7"/>
    <x v="4"/>
    <n v="32.4"/>
    <n v="46"/>
    <n v="4"/>
    <n v="6.7"/>
    <x v="5"/>
    <n v="2000"/>
    <n v="22"/>
    <x v="0"/>
    <x v="1"/>
    <x v="5"/>
    <x v="2"/>
    <x v="1"/>
    <x v="2"/>
  </r>
  <r>
    <s v="T01227"/>
    <d v="2023-01-13T00:00:00"/>
    <d v="1899-12-30T23:45:00"/>
    <x v="1"/>
    <x v="3"/>
    <s v="Station_7"/>
    <s v="Station_34"/>
    <d v="1899-12-30T23:46:00"/>
    <d v="1899-12-30T00:12:00"/>
    <n v="0"/>
    <n v="11"/>
    <x v="2"/>
    <n v="23.6"/>
    <n v="41"/>
    <n v="48"/>
    <n v="9.3000000000000007"/>
    <x v="1"/>
    <n v="0"/>
    <n v="1"/>
    <x v="0"/>
    <x v="1"/>
    <x v="5"/>
    <x v="2"/>
    <x v="1"/>
    <x v="2"/>
  </r>
  <r>
    <s v="T01228"/>
    <d v="2023-01-14T00:00:00"/>
    <d v="1899-12-30T00:00:00"/>
    <x v="3"/>
    <x v="6"/>
    <s v="Station_40"/>
    <s v="Station_15"/>
    <d v="1899-12-30T00:01:00"/>
    <d v="1899-12-30T00:41:00"/>
    <n v="7"/>
    <n v="6"/>
    <x v="1"/>
    <n v="-3.5"/>
    <n v="81"/>
    <n v="32"/>
    <n v="17.899999999999999"/>
    <x v="1"/>
    <n v="0"/>
    <n v="93"/>
    <x v="1"/>
    <x v="1"/>
    <x v="6"/>
    <x v="0"/>
    <x v="1"/>
    <x v="0"/>
  </r>
  <r>
    <s v="T01229"/>
    <d v="2023-01-14T00:00:00"/>
    <d v="1899-12-30T00:15:00"/>
    <x v="0"/>
    <x v="6"/>
    <s v="Station_13"/>
    <s v="Station_44"/>
    <d v="1899-12-30T00:16:00"/>
    <d v="1899-12-30T00:38:00"/>
    <n v="12"/>
    <n v="19"/>
    <x v="4"/>
    <n v="10.1"/>
    <n v="99"/>
    <n v="26"/>
    <n v="7.7"/>
    <x v="0"/>
    <n v="0"/>
    <n v="36"/>
    <x v="0"/>
    <x v="1"/>
    <x v="6"/>
    <x v="0"/>
    <x v="1"/>
    <x v="1"/>
  </r>
  <r>
    <s v="T01230"/>
    <d v="2023-01-14T00:00:00"/>
    <d v="1899-12-30T00:30:00"/>
    <x v="0"/>
    <x v="14"/>
    <s v="Station_38"/>
    <s v="Station_14"/>
    <d v="1899-12-30T00:32:00"/>
    <d v="1899-12-30T01:00:00"/>
    <n v="13"/>
    <n v="-1"/>
    <x v="4"/>
    <n v="27.4"/>
    <n v="81"/>
    <n v="4"/>
    <n v="8.1"/>
    <x v="2"/>
    <n v="0"/>
    <n v="68"/>
    <x v="0"/>
    <x v="1"/>
    <x v="6"/>
    <x v="2"/>
    <x v="0"/>
    <x v="0"/>
  </r>
  <r>
    <s v="T01231"/>
    <d v="2023-01-14T00:00:00"/>
    <d v="1899-12-30T00:45:00"/>
    <x v="1"/>
    <x v="5"/>
    <s v="Station_18"/>
    <s v="Station_29"/>
    <d v="1899-12-30T00:45:00"/>
    <d v="1899-12-30T01:12:00"/>
    <n v="14"/>
    <n v="-1"/>
    <x v="1"/>
    <n v="33.299999999999997"/>
    <n v="66"/>
    <n v="36"/>
    <n v="12.2"/>
    <x v="0"/>
    <n v="50000"/>
    <n v="19"/>
    <x v="1"/>
    <x v="1"/>
    <x v="6"/>
    <x v="1"/>
    <x v="0"/>
    <x v="2"/>
  </r>
  <r>
    <s v="T01232"/>
    <d v="2023-01-14T00:00:00"/>
    <d v="1899-12-30T01:00:00"/>
    <x v="2"/>
    <x v="11"/>
    <s v="Station_2"/>
    <s v="Station_34"/>
    <d v="1899-12-30T01:02:00"/>
    <d v="1899-12-30T01:28:00"/>
    <n v="16"/>
    <n v="14"/>
    <x v="1"/>
    <n v="9.8000000000000007"/>
    <n v="32"/>
    <n v="6"/>
    <n v="15.1"/>
    <x v="5"/>
    <n v="0"/>
    <n v="89"/>
    <x v="0"/>
    <x v="0"/>
    <x v="6"/>
    <x v="2"/>
    <x v="1"/>
    <x v="0"/>
  </r>
  <r>
    <s v="T01233"/>
    <d v="2023-01-14T00:00:00"/>
    <d v="1899-12-30T01:15:00"/>
    <x v="2"/>
    <x v="6"/>
    <s v="Station_8"/>
    <s v="Station_18"/>
    <d v="1899-12-30T01:17:00"/>
    <d v="1899-12-30T02:00:00"/>
    <n v="8"/>
    <n v="21"/>
    <x v="5"/>
    <n v="28.6"/>
    <n v="37"/>
    <n v="47"/>
    <n v="14.7"/>
    <x v="4"/>
    <n v="10000"/>
    <n v="43"/>
    <x v="0"/>
    <x v="1"/>
    <x v="6"/>
    <x v="1"/>
    <x v="1"/>
    <x v="1"/>
  </r>
  <r>
    <s v="T01234"/>
    <d v="2023-01-14T00:00:00"/>
    <d v="1899-12-30T01:30:00"/>
    <x v="3"/>
    <x v="18"/>
    <s v="Station_11"/>
    <s v="Station_7"/>
    <d v="1899-12-30T01:33:00"/>
    <d v="1899-12-30T01:51:00"/>
    <n v="13"/>
    <n v="16"/>
    <x v="4"/>
    <n v="29.6"/>
    <n v="39"/>
    <n v="17"/>
    <n v="0.4"/>
    <x v="0"/>
    <n v="500"/>
    <n v="69"/>
    <x v="0"/>
    <x v="1"/>
    <x v="6"/>
    <x v="0"/>
    <x v="1"/>
    <x v="0"/>
  </r>
  <r>
    <s v="T01235"/>
    <d v="2023-01-14T00:00:00"/>
    <d v="1899-12-30T01:45:00"/>
    <x v="1"/>
    <x v="7"/>
    <s v="Station_33"/>
    <s v="Station_29"/>
    <d v="1899-12-30T01:48:00"/>
    <d v="1899-12-30T02:20:00"/>
    <n v="2"/>
    <n v="25"/>
    <x v="1"/>
    <n v="-0.1"/>
    <n v="76"/>
    <n v="30"/>
    <n v="13.7"/>
    <x v="3"/>
    <n v="0"/>
    <n v="92"/>
    <x v="0"/>
    <x v="0"/>
    <x v="6"/>
    <x v="3"/>
    <x v="1"/>
    <x v="0"/>
  </r>
  <r>
    <s v="T01236"/>
    <d v="2023-01-14T00:00:00"/>
    <d v="1899-12-30T02:00:00"/>
    <x v="2"/>
    <x v="18"/>
    <s v="Station_38"/>
    <s v="Station_31"/>
    <d v="1899-12-30T02:02:00"/>
    <d v="1899-12-30T02:50:00"/>
    <n v="2"/>
    <n v="18"/>
    <x v="4"/>
    <n v="28.8"/>
    <n v="70"/>
    <n v="5"/>
    <n v="9"/>
    <x v="5"/>
    <n v="0"/>
    <n v="73"/>
    <x v="0"/>
    <x v="1"/>
    <x v="6"/>
    <x v="2"/>
    <x v="1"/>
    <x v="0"/>
  </r>
  <r>
    <s v="T01237"/>
    <d v="2023-01-14T00:00:00"/>
    <d v="1899-12-30T02:15:00"/>
    <x v="1"/>
    <x v="12"/>
    <s v="Station_48"/>
    <s v="Station_25"/>
    <d v="1899-12-30T02:19:00"/>
    <d v="1899-12-30T02:40:00"/>
    <n v="11"/>
    <n v="11"/>
    <x v="2"/>
    <n v="8"/>
    <n v="93"/>
    <n v="1"/>
    <n v="10.5"/>
    <x v="1"/>
    <n v="0"/>
    <n v="50"/>
    <x v="1"/>
    <x v="1"/>
    <x v="6"/>
    <x v="0"/>
    <x v="1"/>
    <x v="1"/>
  </r>
  <r>
    <s v="T01238"/>
    <d v="2023-01-14T00:00:00"/>
    <d v="1899-12-30T02:30:00"/>
    <x v="2"/>
    <x v="12"/>
    <s v="Station_27"/>
    <s v="Station_38"/>
    <d v="1899-12-30T02:33:00"/>
    <d v="1899-12-30T03:10:00"/>
    <n v="15"/>
    <n v="6"/>
    <x v="0"/>
    <n v="18.7"/>
    <n v="71"/>
    <n v="12"/>
    <n v="11.2"/>
    <x v="0"/>
    <n v="0"/>
    <n v="79"/>
    <x v="0"/>
    <x v="1"/>
    <x v="6"/>
    <x v="0"/>
    <x v="1"/>
    <x v="0"/>
  </r>
  <r>
    <s v="T01239"/>
    <d v="2023-01-14T00:00:00"/>
    <d v="1899-12-30T02:45:00"/>
    <x v="0"/>
    <x v="8"/>
    <s v="Station_20"/>
    <s v="Station_14"/>
    <d v="1899-12-30T02:47:00"/>
    <d v="1899-12-30T03:30:00"/>
    <n v="5"/>
    <n v="17"/>
    <x v="0"/>
    <n v="16.600000000000001"/>
    <n v="72"/>
    <n v="41"/>
    <n v="14.6"/>
    <x v="3"/>
    <n v="2000"/>
    <n v="97"/>
    <x v="0"/>
    <x v="1"/>
    <x v="6"/>
    <x v="3"/>
    <x v="1"/>
    <x v="0"/>
  </r>
  <r>
    <s v="T01240"/>
    <d v="2023-01-14T00:00:00"/>
    <d v="1899-12-30T03:00:00"/>
    <x v="2"/>
    <x v="15"/>
    <s v="Station_12"/>
    <s v="Station_8"/>
    <d v="1899-12-30T03:00:00"/>
    <d v="1899-12-30T03:38:00"/>
    <n v="2"/>
    <n v="25"/>
    <x v="3"/>
    <n v="21.5"/>
    <n v="38"/>
    <n v="52"/>
    <n v="16.600000000000001"/>
    <x v="1"/>
    <n v="50000"/>
    <n v="30"/>
    <x v="0"/>
    <x v="1"/>
    <x v="6"/>
    <x v="2"/>
    <x v="1"/>
    <x v="2"/>
  </r>
  <r>
    <s v="T01241"/>
    <d v="2023-01-14T00:00:00"/>
    <d v="1899-12-30T03:15:00"/>
    <x v="1"/>
    <x v="19"/>
    <s v="Station_43"/>
    <s v="Station_27"/>
    <d v="1899-12-30T03:19:00"/>
    <d v="1899-12-30T04:02:00"/>
    <n v="4"/>
    <n v="28"/>
    <x v="1"/>
    <n v="24.6"/>
    <n v="43"/>
    <n v="51"/>
    <n v="12.9"/>
    <x v="4"/>
    <n v="0"/>
    <n v="99"/>
    <x v="0"/>
    <x v="0"/>
    <x v="6"/>
    <x v="0"/>
    <x v="1"/>
    <x v="0"/>
  </r>
  <r>
    <s v="T01242"/>
    <d v="2023-01-14T00:00:00"/>
    <d v="1899-12-30T03:30:00"/>
    <x v="0"/>
    <x v="18"/>
    <s v="Station_31"/>
    <s v="Station_2"/>
    <d v="1899-12-30T03:31:00"/>
    <d v="1899-12-30T03:57:00"/>
    <n v="13"/>
    <n v="6"/>
    <x v="1"/>
    <n v="12.6"/>
    <n v="33"/>
    <n v="10"/>
    <n v="11.3"/>
    <x v="5"/>
    <n v="50000"/>
    <n v="40"/>
    <x v="0"/>
    <x v="1"/>
    <x v="6"/>
    <x v="1"/>
    <x v="1"/>
    <x v="1"/>
  </r>
  <r>
    <s v="T01243"/>
    <d v="2023-01-14T00:00:00"/>
    <d v="1899-12-30T03:45:00"/>
    <x v="0"/>
    <x v="7"/>
    <s v="Station_27"/>
    <s v="Station_17"/>
    <d v="1899-12-30T03:47:00"/>
    <d v="1899-12-30T04:18:00"/>
    <n v="11"/>
    <n v="9"/>
    <x v="4"/>
    <n v="30.5"/>
    <n v="31"/>
    <n v="25"/>
    <n v="7.5"/>
    <x v="0"/>
    <n v="0"/>
    <n v="57"/>
    <x v="0"/>
    <x v="1"/>
    <x v="6"/>
    <x v="3"/>
    <x v="1"/>
    <x v="1"/>
  </r>
  <r>
    <s v="T01244"/>
    <d v="2023-01-14T00:00:00"/>
    <d v="1899-12-30T04:00:00"/>
    <x v="0"/>
    <x v="9"/>
    <s v="Station_32"/>
    <s v="Station_37"/>
    <d v="1899-12-30T04:02:00"/>
    <d v="1899-12-30T04:43:00"/>
    <n v="2"/>
    <n v="19"/>
    <x v="3"/>
    <n v="27.4"/>
    <n v="30"/>
    <n v="20"/>
    <n v="2.8"/>
    <x v="0"/>
    <n v="0"/>
    <n v="4"/>
    <x v="0"/>
    <x v="1"/>
    <x v="6"/>
    <x v="1"/>
    <x v="1"/>
    <x v="2"/>
  </r>
  <r>
    <s v="T01245"/>
    <d v="2023-01-14T00:00:00"/>
    <d v="1899-12-30T04:15:00"/>
    <x v="1"/>
    <x v="13"/>
    <s v="Station_10"/>
    <s v="Station_14"/>
    <d v="1899-12-30T04:19:00"/>
    <d v="1899-12-30T05:11:00"/>
    <n v="6"/>
    <n v="19"/>
    <x v="1"/>
    <n v="26.4"/>
    <n v="94"/>
    <n v="1"/>
    <n v="19.2"/>
    <x v="0"/>
    <n v="0"/>
    <n v="32"/>
    <x v="0"/>
    <x v="1"/>
    <x v="6"/>
    <x v="2"/>
    <x v="1"/>
    <x v="2"/>
  </r>
  <r>
    <s v="T01246"/>
    <d v="2023-01-14T00:00:00"/>
    <d v="1899-12-30T04:30:00"/>
    <x v="3"/>
    <x v="1"/>
    <s v="Station_3"/>
    <s v="Station_25"/>
    <d v="1899-12-30T04:33:00"/>
    <d v="1899-12-30T05:15:00"/>
    <n v="1"/>
    <n v="27"/>
    <x v="4"/>
    <n v="13.3"/>
    <n v="75"/>
    <n v="39"/>
    <n v="9.1999999999999993"/>
    <x v="0"/>
    <n v="0"/>
    <n v="42"/>
    <x v="0"/>
    <x v="0"/>
    <x v="6"/>
    <x v="1"/>
    <x v="1"/>
    <x v="1"/>
  </r>
  <r>
    <s v="T01247"/>
    <d v="2023-01-14T00:00:00"/>
    <d v="1899-12-30T04:45:00"/>
    <x v="3"/>
    <x v="14"/>
    <s v="Station_45"/>
    <s v="Station_30"/>
    <d v="1899-12-30T04:48:00"/>
    <d v="1899-12-30T05:35:00"/>
    <n v="1"/>
    <n v="0"/>
    <x v="1"/>
    <n v="-3.5"/>
    <n v="88"/>
    <n v="55"/>
    <n v="11.3"/>
    <x v="4"/>
    <n v="0"/>
    <n v="18"/>
    <x v="0"/>
    <x v="1"/>
    <x v="6"/>
    <x v="3"/>
    <x v="0"/>
    <x v="2"/>
  </r>
  <r>
    <s v="T01248"/>
    <d v="2023-01-14T00:00:00"/>
    <d v="1899-12-30T05:00:00"/>
    <x v="3"/>
    <x v="18"/>
    <s v="Station_27"/>
    <s v="Station_29"/>
    <d v="1899-12-30T05:03:00"/>
    <d v="1899-12-30T05:51:00"/>
    <n v="13"/>
    <n v="-1"/>
    <x v="4"/>
    <n v="14.7"/>
    <n v="36"/>
    <n v="53"/>
    <n v="15"/>
    <x v="0"/>
    <n v="0"/>
    <n v="31"/>
    <x v="0"/>
    <x v="1"/>
    <x v="6"/>
    <x v="0"/>
    <x v="0"/>
    <x v="2"/>
  </r>
  <r>
    <s v="T01249"/>
    <d v="2023-01-14T00:00:00"/>
    <d v="1899-12-30T05:15:00"/>
    <x v="1"/>
    <x v="1"/>
    <s v="Station_35"/>
    <s v="Station_20"/>
    <d v="1899-12-30T05:16:00"/>
    <d v="1899-12-30T05:36:00"/>
    <n v="14"/>
    <n v="17"/>
    <x v="1"/>
    <n v="30.9"/>
    <n v="95"/>
    <n v="50"/>
    <n v="1.4"/>
    <x v="0"/>
    <n v="0"/>
    <n v="86"/>
    <x v="0"/>
    <x v="1"/>
    <x v="6"/>
    <x v="3"/>
    <x v="1"/>
    <x v="0"/>
  </r>
  <r>
    <s v="T01250"/>
    <d v="2023-01-14T00:00:00"/>
    <d v="1899-12-30T05:30:00"/>
    <x v="0"/>
    <x v="11"/>
    <s v="Station_31"/>
    <s v="Station_21"/>
    <d v="1899-12-30T05:34:00"/>
    <d v="1899-12-30T06:14:00"/>
    <n v="12"/>
    <n v="-2"/>
    <x v="5"/>
    <n v="2.6"/>
    <n v="44"/>
    <n v="19"/>
    <n v="17.100000000000001"/>
    <x v="0"/>
    <n v="0"/>
    <n v="2"/>
    <x v="1"/>
    <x v="1"/>
    <x v="6"/>
    <x v="0"/>
    <x v="0"/>
    <x v="2"/>
  </r>
  <r>
    <s v="T01251"/>
    <d v="2023-01-14T00:00:00"/>
    <d v="1899-12-30T05:45:00"/>
    <x v="3"/>
    <x v="12"/>
    <s v="Station_15"/>
    <s v="Station_22"/>
    <d v="1899-12-30T05:49:00"/>
    <d v="1899-12-30T06:06:00"/>
    <n v="1"/>
    <n v="0"/>
    <x v="4"/>
    <n v="34.299999999999997"/>
    <n v="76"/>
    <n v="16"/>
    <n v="15.9"/>
    <x v="0"/>
    <n v="0"/>
    <n v="0"/>
    <x v="0"/>
    <x v="1"/>
    <x v="6"/>
    <x v="0"/>
    <x v="0"/>
    <x v="2"/>
  </r>
  <r>
    <s v="T01252"/>
    <d v="2023-01-14T00:00:00"/>
    <d v="1899-12-30T06:00:00"/>
    <x v="1"/>
    <x v="15"/>
    <s v="Station_16"/>
    <s v="Station_35"/>
    <d v="1899-12-30T06:03:00"/>
    <d v="1899-12-30T06:20:00"/>
    <n v="3"/>
    <n v="-3"/>
    <x v="5"/>
    <n v="27.3"/>
    <n v="69"/>
    <n v="15"/>
    <n v="15.5"/>
    <x v="0"/>
    <n v="0"/>
    <n v="99"/>
    <x v="0"/>
    <x v="1"/>
    <x v="6"/>
    <x v="1"/>
    <x v="0"/>
    <x v="0"/>
  </r>
  <r>
    <s v="T01253"/>
    <d v="2023-01-14T00:00:00"/>
    <d v="1899-12-30T06:15:00"/>
    <x v="3"/>
    <x v="13"/>
    <s v="Station_13"/>
    <s v="Station_37"/>
    <d v="1899-12-30T06:18:00"/>
    <d v="1899-12-30T07:10:00"/>
    <n v="13"/>
    <n v="11"/>
    <x v="5"/>
    <n v="23.4"/>
    <n v="71"/>
    <n v="56"/>
    <n v="0.4"/>
    <x v="0"/>
    <n v="0"/>
    <n v="40"/>
    <x v="0"/>
    <x v="1"/>
    <x v="6"/>
    <x v="3"/>
    <x v="1"/>
    <x v="1"/>
  </r>
  <r>
    <s v="T01254"/>
    <d v="2023-01-14T00:00:00"/>
    <d v="1899-12-30T06:30:00"/>
    <x v="2"/>
    <x v="11"/>
    <s v="Station_49"/>
    <s v="Station_16"/>
    <d v="1899-12-30T06:30:00"/>
    <d v="1899-12-30T07:01:00"/>
    <n v="1"/>
    <n v="29"/>
    <x v="5"/>
    <n v="22.1"/>
    <n v="80"/>
    <n v="41"/>
    <n v="10.5"/>
    <x v="0"/>
    <n v="0"/>
    <n v="91"/>
    <x v="0"/>
    <x v="0"/>
    <x v="6"/>
    <x v="3"/>
    <x v="1"/>
    <x v="0"/>
  </r>
  <r>
    <s v="T01255"/>
    <d v="2023-01-14T00:00:00"/>
    <d v="1899-12-30T06:45:00"/>
    <x v="3"/>
    <x v="2"/>
    <s v="Station_35"/>
    <s v="Station_50"/>
    <d v="1899-12-30T06:45:00"/>
    <d v="1899-12-30T07:13:00"/>
    <n v="3"/>
    <n v="2"/>
    <x v="5"/>
    <n v="18.5"/>
    <n v="64"/>
    <n v="4"/>
    <n v="1.1000000000000001"/>
    <x v="1"/>
    <n v="10000"/>
    <n v="47"/>
    <x v="0"/>
    <x v="1"/>
    <x v="6"/>
    <x v="0"/>
    <x v="0"/>
    <x v="1"/>
  </r>
  <r>
    <s v="T01256"/>
    <d v="2023-01-14T00:00:00"/>
    <d v="1899-12-30T07:00:00"/>
    <x v="3"/>
    <x v="2"/>
    <s v="Station_11"/>
    <s v="Station_49"/>
    <d v="1899-12-30T07:02:00"/>
    <d v="1899-12-30T07:55:00"/>
    <n v="2"/>
    <n v="3"/>
    <x v="2"/>
    <n v="23.8"/>
    <n v="70"/>
    <n v="13"/>
    <n v="11"/>
    <x v="5"/>
    <n v="0"/>
    <n v="38"/>
    <x v="0"/>
    <x v="1"/>
    <x v="6"/>
    <x v="3"/>
    <x v="0"/>
    <x v="1"/>
  </r>
  <r>
    <s v="T01257"/>
    <d v="2023-01-14T00:00:00"/>
    <d v="1899-12-30T07:15:00"/>
    <x v="0"/>
    <x v="11"/>
    <s v="Station_21"/>
    <s v="Station_43"/>
    <d v="1899-12-30T07:17:00"/>
    <d v="1899-12-30T08:02:00"/>
    <n v="13"/>
    <n v="15"/>
    <x v="3"/>
    <n v="11.9"/>
    <n v="86"/>
    <n v="23"/>
    <n v="14.4"/>
    <x v="0"/>
    <n v="0"/>
    <n v="4"/>
    <x v="0"/>
    <x v="1"/>
    <x v="6"/>
    <x v="2"/>
    <x v="1"/>
    <x v="2"/>
  </r>
  <r>
    <s v="T01258"/>
    <d v="2023-01-14T00:00:00"/>
    <d v="1899-12-30T07:30:00"/>
    <x v="1"/>
    <x v="10"/>
    <s v="Station_11"/>
    <s v="Station_17"/>
    <d v="1899-12-30T07:34:00"/>
    <d v="1899-12-30T08:27:00"/>
    <n v="13"/>
    <n v="-3"/>
    <x v="0"/>
    <n v="28.8"/>
    <n v="67"/>
    <n v="50"/>
    <n v="2.4"/>
    <x v="0"/>
    <n v="2000"/>
    <n v="76"/>
    <x v="0"/>
    <x v="1"/>
    <x v="6"/>
    <x v="2"/>
    <x v="0"/>
    <x v="0"/>
  </r>
  <r>
    <s v="T01259"/>
    <d v="2023-01-14T00:00:00"/>
    <d v="1899-12-30T07:45:00"/>
    <x v="0"/>
    <x v="7"/>
    <s v="Station_30"/>
    <s v="Station_16"/>
    <d v="1899-12-30T07:49:00"/>
    <d v="1899-12-30T08:37:00"/>
    <n v="7"/>
    <n v="15"/>
    <x v="2"/>
    <n v="22.9"/>
    <n v="37"/>
    <n v="3"/>
    <n v="13.9"/>
    <x v="0"/>
    <n v="0"/>
    <n v="10"/>
    <x v="0"/>
    <x v="1"/>
    <x v="6"/>
    <x v="1"/>
    <x v="1"/>
    <x v="2"/>
  </r>
  <r>
    <s v="T01260"/>
    <d v="2023-01-14T00:00:00"/>
    <d v="1899-12-30T08:00:00"/>
    <x v="0"/>
    <x v="1"/>
    <s v="Station_48"/>
    <s v="Station_2"/>
    <d v="1899-12-30T08:01:00"/>
    <d v="1899-12-30T08:41:00"/>
    <n v="6"/>
    <n v="22"/>
    <x v="1"/>
    <n v="25.9"/>
    <n v="92"/>
    <n v="51"/>
    <n v="9"/>
    <x v="0"/>
    <n v="2000"/>
    <n v="21"/>
    <x v="0"/>
    <x v="0"/>
    <x v="6"/>
    <x v="1"/>
    <x v="1"/>
    <x v="2"/>
  </r>
  <r>
    <s v="T01261"/>
    <d v="2023-01-14T00:00:00"/>
    <d v="1899-12-30T08:15:00"/>
    <x v="0"/>
    <x v="9"/>
    <s v="Station_35"/>
    <s v="Station_4"/>
    <d v="1899-12-30T08:16:00"/>
    <d v="1899-12-30T08:59:00"/>
    <n v="1"/>
    <n v="8"/>
    <x v="1"/>
    <n v="26.7"/>
    <n v="33"/>
    <n v="47"/>
    <n v="16.2"/>
    <x v="5"/>
    <n v="0"/>
    <n v="86"/>
    <x v="0"/>
    <x v="1"/>
    <x v="6"/>
    <x v="3"/>
    <x v="1"/>
    <x v="0"/>
  </r>
  <r>
    <s v="T01262"/>
    <d v="2023-01-14T00:00:00"/>
    <d v="1899-12-30T08:30:00"/>
    <x v="0"/>
    <x v="10"/>
    <s v="Station_22"/>
    <s v="Station_21"/>
    <d v="1899-12-30T08:30:00"/>
    <d v="1899-12-30T09:07:00"/>
    <n v="11"/>
    <n v="18"/>
    <x v="3"/>
    <n v="-1.3"/>
    <n v="77"/>
    <n v="23"/>
    <n v="10.7"/>
    <x v="0"/>
    <n v="0"/>
    <n v="63"/>
    <x v="0"/>
    <x v="1"/>
    <x v="6"/>
    <x v="1"/>
    <x v="1"/>
    <x v="1"/>
  </r>
  <r>
    <s v="T01263"/>
    <d v="2023-01-14T00:00:00"/>
    <d v="1899-12-30T08:45:00"/>
    <x v="0"/>
    <x v="18"/>
    <s v="Station_38"/>
    <s v="Station_39"/>
    <d v="1899-12-30T08:47:00"/>
    <d v="1899-12-30T09:10:00"/>
    <n v="1"/>
    <n v="9"/>
    <x v="0"/>
    <n v="-2.8"/>
    <n v="81"/>
    <n v="46"/>
    <n v="6.7"/>
    <x v="0"/>
    <n v="0"/>
    <n v="11"/>
    <x v="0"/>
    <x v="0"/>
    <x v="6"/>
    <x v="3"/>
    <x v="1"/>
    <x v="2"/>
  </r>
  <r>
    <s v="T01264"/>
    <d v="2023-01-14T00:00:00"/>
    <d v="1899-12-30T09:00:00"/>
    <x v="3"/>
    <x v="17"/>
    <s v="Station_31"/>
    <s v="Station_34"/>
    <d v="1899-12-30T09:00:00"/>
    <d v="1899-12-30T09:37:00"/>
    <n v="9"/>
    <n v="24"/>
    <x v="0"/>
    <n v="27"/>
    <n v="67"/>
    <n v="59"/>
    <n v="6.6"/>
    <x v="0"/>
    <n v="0"/>
    <n v="52"/>
    <x v="0"/>
    <x v="1"/>
    <x v="6"/>
    <x v="1"/>
    <x v="1"/>
    <x v="1"/>
  </r>
  <r>
    <s v="T01265"/>
    <d v="2023-01-14T00:00:00"/>
    <d v="1899-12-30T09:15:00"/>
    <x v="0"/>
    <x v="14"/>
    <s v="Station_14"/>
    <s v="Station_30"/>
    <d v="1899-12-30T09:15:00"/>
    <d v="1899-12-30T09:50:00"/>
    <n v="7"/>
    <n v="10"/>
    <x v="0"/>
    <n v="5.4"/>
    <n v="34"/>
    <n v="8"/>
    <n v="17.899999999999999"/>
    <x v="3"/>
    <n v="2000"/>
    <n v="54"/>
    <x v="0"/>
    <x v="1"/>
    <x v="6"/>
    <x v="2"/>
    <x v="1"/>
    <x v="1"/>
  </r>
  <r>
    <s v="T01266"/>
    <d v="2023-01-14T00:00:00"/>
    <d v="1899-12-30T09:30:00"/>
    <x v="0"/>
    <x v="8"/>
    <s v="Station_24"/>
    <s v="Station_6"/>
    <d v="1899-12-30T09:32:00"/>
    <d v="1899-12-30T10:04:00"/>
    <n v="1"/>
    <n v="18"/>
    <x v="5"/>
    <n v="18.3"/>
    <n v="99"/>
    <n v="2"/>
    <n v="9.1"/>
    <x v="0"/>
    <n v="0"/>
    <n v="52"/>
    <x v="0"/>
    <x v="1"/>
    <x v="6"/>
    <x v="0"/>
    <x v="1"/>
    <x v="1"/>
  </r>
  <r>
    <s v="T01267"/>
    <d v="2023-01-14T00:00:00"/>
    <d v="1899-12-30T09:45:00"/>
    <x v="1"/>
    <x v="17"/>
    <s v="Station_50"/>
    <s v="Station_17"/>
    <d v="1899-12-30T09:46:00"/>
    <d v="1899-12-30T10:12:00"/>
    <n v="15"/>
    <n v="26"/>
    <x v="2"/>
    <n v="12.7"/>
    <n v="53"/>
    <n v="54"/>
    <n v="8.1"/>
    <x v="0"/>
    <n v="50000"/>
    <n v="20"/>
    <x v="0"/>
    <x v="1"/>
    <x v="6"/>
    <x v="0"/>
    <x v="1"/>
    <x v="2"/>
  </r>
  <r>
    <s v="T01268"/>
    <d v="2023-01-14T00:00:00"/>
    <d v="1899-12-30T10:00:00"/>
    <x v="2"/>
    <x v="18"/>
    <s v="Station_49"/>
    <s v="Station_39"/>
    <d v="1899-12-30T10:02:00"/>
    <d v="1899-12-30T10:32:00"/>
    <n v="10"/>
    <n v="16"/>
    <x v="1"/>
    <n v="-4.0999999999999996"/>
    <n v="46"/>
    <n v="8"/>
    <n v="0.8"/>
    <x v="0"/>
    <n v="0"/>
    <n v="18"/>
    <x v="1"/>
    <x v="1"/>
    <x v="6"/>
    <x v="2"/>
    <x v="1"/>
    <x v="2"/>
  </r>
  <r>
    <s v="T01269"/>
    <d v="2023-01-14T00:00:00"/>
    <d v="1899-12-30T10:15:00"/>
    <x v="3"/>
    <x v="8"/>
    <s v="Station_32"/>
    <s v="Station_25"/>
    <d v="1899-12-30T10:18:00"/>
    <d v="1899-12-30T10:41:00"/>
    <n v="10"/>
    <n v="23"/>
    <x v="2"/>
    <n v="-3.4"/>
    <n v="55"/>
    <n v="17"/>
    <n v="7.3"/>
    <x v="0"/>
    <n v="50000"/>
    <n v="68"/>
    <x v="1"/>
    <x v="1"/>
    <x v="6"/>
    <x v="0"/>
    <x v="1"/>
    <x v="0"/>
  </r>
  <r>
    <s v="T01270"/>
    <d v="2023-01-14T00:00:00"/>
    <d v="1899-12-30T10:30:00"/>
    <x v="3"/>
    <x v="19"/>
    <s v="Station_36"/>
    <s v="Station_5"/>
    <d v="1899-12-30T10:33:00"/>
    <d v="1899-12-30T11:06:00"/>
    <n v="11"/>
    <n v="-3"/>
    <x v="2"/>
    <n v="28.1"/>
    <n v="32"/>
    <n v="35"/>
    <n v="17"/>
    <x v="2"/>
    <n v="0"/>
    <n v="87"/>
    <x v="0"/>
    <x v="1"/>
    <x v="6"/>
    <x v="3"/>
    <x v="0"/>
    <x v="0"/>
  </r>
  <r>
    <s v="T01271"/>
    <d v="2023-01-14T00:00:00"/>
    <d v="1899-12-30T10:45:00"/>
    <x v="3"/>
    <x v="12"/>
    <s v="Station_32"/>
    <s v="Station_5"/>
    <d v="1899-12-30T10:48:00"/>
    <d v="1899-12-30T11:36:00"/>
    <n v="15"/>
    <n v="11"/>
    <x v="2"/>
    <n v="19.3"/>
    <n v="31"/>
    <n v="18"/>
    <n v="15.2"/>
    <x v="0"/>
    <n v="0"/>
    <n v="93"/>
    <x v="0"/>
    <x v="1"/>
    <x v="6"/>
    <x v="3"/>
    <x v="1"/>
    <x v="0"/>
  </r>
  <r>
    <s v="T01272"/>
    <d v="2023-01-14T00:00:00"/>
    <d v="1899-12-30T11:00:00"/>
    <x v="0"/>
    <x v="7"/>
    <s v="Station_15"/>
    <s v="Station_20"/>
    <d v="1899-12-30T11:04:00"/>
    <d v="1899-12-30T11:41:00"/>
    <n v="-2"/>
    <n v="28"/>
    <x v="0"/>
    <n v="16"/>
    <n v="31"/>
    <n v="23"/>
    <n v="4.4000000000000004"/>
    <x v="4"/>
    <n v="0"/>
    <n v="71"/>
    <x v="0"/>
    <x v="0"/>
    <x v="6"/>
    <x v="2"/>
    <x v="1"/>
    <x v="0"/>
  </r>
  <r>
    <s v="T01273"/>
    <d v="2023-01-14T00:00:00"/>
    <d v="1899-12-30T11:15:00"/>
    <x v="0"/>
    <x v="0"/>
    <s v="Station_43"/>
    <s v="Station_16"/>
    <d v="1899-12-30T11:16:00"/>
    <d v="1899-12-30T11:47:00"/>
    <n v="18"/>
    <n v="4"/>
    <x v="3"/>
    <n v="32.799999999999997"/>
    <n v="51"/>
    <n v="3"/>
    <n v="8.3000000000000007"/>
    <x v="0"/>
    <n v="0"/>
    <n v="65"/>
    <x v="0"/>
    <x v="0"/>
    <x v="6"/>
    <x v="2"/>
    <x v="0"/>
    <x v="1"/>
  </r>
  <r>
    <s v="T01274"/>
    <d v="2023-01-14T00:00:00"/>
    <d v="1899-12-30T11:30:00"/>
    <x v="0"/>
    <x v="8"/>
    <s v="Station_35"/>
    <s v="Station_41"/>
    <d v="1899-12-30T11:31:00"/>
    <d v="1899-12-30T12:12:00"/>
    <n v="13"/>
    <n v="29"/>
    <x v="3"/>
    <n v="1.9"/>
    <n v="33"/>
    <n v="8"/>
    <n v="3.9"/>
    <x v="0"/>
    <n v="10000"/>
    <n v="58"/>
    <x v="0"/>
    <x v="1"/>
    <x v="6"/>
    <x v="2"/>
    <x v="1"/>
    <x v="1"/>
  </r>
  <r>
    <s v="T01275"/>
    <d v="2023-01-14T00:00:00"/>
    <d v="1899-12-30T11:45:00"/>
    <x v="1"/>
    <x v="17"/>
    <s v="Station_3"/>
    <s v="Station_37"/>
    <d v="1899-12-30T11:49:00"/>
    <d v="1899-12-30T12:33:00"/>
    <n v="12"/>
    <n v="14"/>
    <x v="0"/>
    <n v="5.3"/>
    <n v="67"/>
    <n v="32"/>
    <n v="19.100000000000001"/>
    <x v="0"/>
    <n v="0"/>
    <n v="48"/>
    <x v="0"/>
    <x v="1"/>
    <x v="6"/>
    <x v="2"/>
    <x v="1"/>
    <x v="1"/>
  </r>
  <r>
    <s v="T01276"/>
    <d v="2023-01-14T00:00:00"/>
    <d v="1899-12-30T12:00:00"/>
    <x v="2"/>
    <x v="14"/>
    <s v="Station_16"/>
    <s v="Station_40"/>
    <d v="1899-12-30T12:00:00"/>
    <d v="1899-12-30T12:41:00"/>
    <n v="19"/>
    <n v="25"/>
    <x v="1"/>
    <n v="25.3"/>
    <n v="99"/>
    <n v="0"/>
    <n v="12"/>
    <x v="4"/>
    <n v="500"/>
    <n v="97"/>
    <x v="0"/>
    <x v="1"/>
    <x v="6"/>
    <x v="0"/>
    <x v="1"/>
    <x v="0"/>
  </r>
  <r>
    <s v="T01277"/>
    <d v="2023-01-14T00:00:00"/>
    <d v="1899-12-30T12:15:00"/>
    <x v="0"/>
    <x v="0"/>
    <s v="Station_5"/>
    <s v="Station_9"/>
    <d v="1899-12-30T12:18:00"/>
    <d v="1899-12-30T12:35:00"/>
    <n v="2"/>
    <n v="28"/>
    <x v="1"/>
    <n v="26"/>
    <n v="81"/>
    <n v="51"/>
    <n v="15.1"/>
    <x v="0"/>
    <n v="0"/>
    <n v="58"/>
    <x v="1"/>
    <x v="1"/>
    <x v="6"/>
    <x v="0"/>
    <x v="1"/>
    <x v="1"/>
  </r>
  <r>
    <s v="T01278"/>
    <d v="2023-01-14T00:00:00"/>
    <d v="1899-12-30T12:30:00"/>
    <x v="2"/>
    <x v="2"/>
    <s v="Station_21"/>
    <s v="Station_5"/>
    <d v="1899-12-30T12:33:00"/>
    <d v="1899-12-30T13:18:00"/>
    <n v="3"/>
    <n v="29"/>
    <x v="1"/>
    <n v="11.2"/>
    <n v="60"/>
    <n v="50"/>
    <n v="14.3"/>
    <x v="0"/>
    <n v="500"/>
    <n v="22"/>
    <x v="1"/>
    <x v="1"/>
    <x v="6"/>
    <x v="0"/>
    <x v="1"/>
    <x v="2"/>
  </r>
  <r>
    <s v="T01279"/>
    <d v="2023-01-14T00:00:00"/>
    <d v="1899-12-30T12:45:00"/>
    <x v="1"/>
    <x v="12"/>
    <s v="Station_10"/>
    <s v="Station_42"/>
    <d v="1899-12-30T12:45:00"/>
    <d v="1899-12-30T13:09:00"/>
    <n v="3"/>
    <n v="1"/>
    <x v="3"/>
    <n v="33"/>
    <n v="55"/>
    <n v="34"/>
    <n v="17.5"/>
    <x v="0"/>
    <n v="0"/>
    <n v="2"/>
    <x v="0"/>
    <x v="1"/>
    <x v="6"/>
    <x v="3"/>
    <x v="0"/>
    <x v="2"/>
  </r>
  <r>
    <s v="T01280"/>
    <d v="2023-01-14T00:00:00"/>
    <d v="1899-12-30T13:00:00"/>
    <x v="3"/>
    <x v="11"/>
    <s v="Station_19"/>
    <s v="Station_2"/>
    <d v="1899-12-30T13:02:00"/>
    <d v="1899-12-30T13:54:00"/>
    <n v="0"/>
    <n v="14"/>
    <x v="3"/>
    <n v="32.5"/>
    <n v="65"/>
    <n v="9"/>
    <n v="19"/>
    <x v="1"/>
    <n v="2000"/>
    <n v="55"/>
    <x v="0"/>
    <x v="1"/>
    <x v="6"/>
    <x v="1"/>
    <x v="1"/>
    <x v="1"/>
  </r>
  <r>
    <s v="T01281"/>
    <d v="2023-01-14T00:00:00"/>
    <d v="1899-12-30T13:15:00"/>
    <x v="0"/>
    <x v="1"/>
    <s v="Station_25"/>
    <s v="Station_9"/>
    <d v="1899-12-30T13:17:00"/>
    <d v="1899-12-30T13:44:00"/>
    <n v="13"/>
    <n v="6"/>
    <x v="2"/>
    <n v="-4.5"/>
    <n v="55"/>
    <n v="11"/>
    <n v="0.6"/>
    <x v="5"/>
    <n v="0"/>
    <n v="57"/>
    <x v="0"/>
    <x v="0"/>
    <x v="6"/>
    <x v="3"/>
    <x v="1"/>
    <x v="1"/>
  </r>
  <r>
    <s v="T01282"/>
    <d v="2023-01-14T00:00:00"/>
    <d v="1899-12-30T13:30:00"/>
    <x v="2"/>
    <x v="13"/>
    <s v="Station_4"/>
    <s v="Station_43"/>
    <d v="1899-12-30T13:31:00"/>
    <d v="1899-12-30T14:08:00"/>
    <n v="9"/>
    <n v="29"/>
    <x v="0"/>
    <n v="1.9"/>
    <n v="57"/>
    <n v="17"/>
    <n v="19.5"/>
    <x v="2"/>
    <n v="50000"/>
    <n v="87"/>
    <x v="0"/>
    <x v="1"/>
    <x v="6"/>
    <x v="1"/>
    <x v="1"/>
    <x v="0"/>
  </r>
  <r>
    <s v="T01283"/>
    <d v="2023-01-14T00:00:00"/>
    <d v="1899-12-30T13:45:00"/>
    <x v="2"/>
    <x v="6"/>
    <s v="Station_29"/>
    <s v="Station_36"/>
    <d v="1899-12-30T13:49:00"/>
    <d v="1899-12-30T14:41:00"/>
    <n v="1"/>
    <n v="19"/>
    <x v="5"/>
    <n v="27.8"/>
    <n v="34"/>
    <n v="13"/>
    <n v="17.399999999999999"/>
    <x v="0"/>
    <n v="50000"/>
    <n v="61"/>
    <x v="0"/>
    <x v="0"/>
    <x v="6"/>
    <x v="2"/>
    <x v="1"/>
    <x v="1"/>
  </r>
  <r>
    <s v="T01284"/>
    <d v="2023-01-14T00:00:00"/>
    <d v="1899-12-30T14:00:00"/>
    <x v="0"/>
    <x v="8"/>
    <s v="Station_19"/>
    <s v="Station_22"/>
    <d v="1899-12-30T14:01:00"/>
    <d v="1899-12-30T14:26:00"/>
    <n v="-2"/>
    <n v="1"/>
    <x v="2"/>
    <n v="8.4"/>
    <n v="47"/>
    <n v="9"/>
    <n v="7.7"/>
    <x v="0"/>
    <n v="10000"/>
    <n v="17"/>
    <x v="0"/>
    <x v="0"/>
    <x v="6"/>
    <x v="2"/>
    <x v="0"/>
    <x v="2"/>
  </r>
  <r>
    <s v="T01285"/>
    <d v="2023-01-14T00:00:00"/>
    <d v="1899-12-30T14:15:00"/>
    <x v="3"/>
    <x v="6"/>
    <s v="Station_43"/>
    <s v="Station_22"/>
    <d v="1899-12-30T14:17:00"/>
    <d v="1899-12-30T15:09:00"/>
    <n v="1"/>
    <n v="20"/>
    <x v="4"/>
    <n v="-1.2"/>
    <n v="44"/>
    <n v="9"/>
    <n v="16.7"/>
    <x v="0"/>
    <n v="0"/>
    <n v="60"/>
    <x v="0"/>
    <x v="1"/>
    <x v="6"/>
    <x v="0"/>
    <x v="1"/>
    <x v="1"/>
  </r>
  <r>
    <s v="T01286"/>
    <d v="2023-01-14T00:00:00"/>
    <d v="1899-12-30T14:30:00"/>
    <x v="3"/>
    <x v="15"/>
    <s v="Station_2"/>
    <s v="Station_22"/>
    <d v="1899-12-30T14:30:00"/>
    <d v="1899-12-30T15:02:00"/>
    <n v="-2"/>
    <n v="13"/>
    <x v="3"/>
    <n v="26.4"/>
    <n v="86"/>
    <n v="17"/>
    <n v="14.7"/>
    <x v="0"/>
    <n v="0"/>
    <n v="36"/>
    <x v="0"/>
    <x v="1"/>
    <x v="6"/>
    <x v="0"/>
    <x v="1"/>
    <x v="1"/>
  </r>
  <r>
    <s v="T01287"/>
    <d v="2023-01-14T00:00:00"/>
    <d v="1899-12-30T14:45:00"/>
    <x v="3"/>
    <x v="6"/>
    <s v="Station_10"/>
    <s v="Station_34"/>
    <d v="1899-12-30T14:46:00"/>
    <d v="1899-12-30T15:14:00"/>
    <n v="18"/>
    <n v="27"/>
    <x v="2"/>
    <n v="13.2"/>
    <n v="34"/>
    <n v="23"/>
    <n v="15.9"/>
    <x v="2"/>
    <n v="0"/>
    <n v="53"/>
    <x v="0"/>
    <x v="1"/>
    <x v="6"/>
    <x v="1"/>
    <x v="1"/>
    <x v="1"/>
  </r>
  <r>
    <s v="T01288"/>
    <d v="2023-01-14T00:00:00"/>
    <d v="1899-12-30T15:00:00"/>
    <x v="1"/>
    <x v="5"/>
    <s v="Station_43"/>
    <s v="Station_29"/>
    <d v="1899-12-30T15:03:00"/>
    <d v="1899-12-30T15:21:00"/>
    <n v="5"/>
    <n v="3"/>
    <x v="0"/>
    <n v="14.7"/>
    <n v="66"/>
    <n v="0"/>
    <n v="4.4000000000000004"/>
    <x v="1"/>
    <n v="50000"/>
    <n v="94"/>
    <x v="1"/>
    <x v="1"/>
    <x v="6"/>
    <x v="1"/>
    <x v="0"/>
    <x v="0"/>
  </r>
  <r>
    <s v="T01289"/>
    <d v="2023-01-14T00:00:00"/>
    <d v="1899-12-30T15:15:00"/>
    <x v="2"/>
    <x v="3"/>
    <s v="Station_25"/>
    <s v="Station_38"/>
    <d v="1899-12-30T15:18:00"/>
    <d v="1899-12-30T15:40:00"/>
    <n v="2"/>
    <n v="13"/>
    <x v="4"/>
    <n v="2.5"/>
    <n v="51"/>
    <n v="29"/>
    <n v="13"/>
    <x v="1"/>
    <n v="50000"/>
    <n v="77"/>
    <x v="0"/>
    <x v="1"/>
    <x v="6"/>
    <x v="0"/>
    <x v="1"/>
    <x v="0"/>
  </r>
  <r>
    <s v="T01290"/>
    <d v="2023-01-14T00:00:00"/>
    <d v="1899-12-30T15:30:00"/>
    <x v="2"/>
    <x v="3"/>
    <s v="Station_20"/>
    <s v="Station_46"/>
    <d v="1899-12-30T15:30:00"/>
    <d v="1899-12-30T15:57:00"/>
    <n v="-1"/>
    <n v="24"/>
    <x v="2"/>
    <n v="21.4"/>
    <n v="81"/>
    <n v="14"/>
    <n v="0.5"/>
    <x v="0"/>
    <n v="0"/>
    <n v="64"/>
    <x v="0"/>
    <x v="1"/>
    <x v="6"/>
    <x v="2"/>
    <x v="1"/>
    <x v="1"/>
  </r>
  <r>
    <s v="T01291"/>
    <d v="2023-01-14T00:00:00"/>
    <d v="1899-12-30T15:45:00"/>
    <x v="2"/>
    <x v="1"/>
    <s v="Station_48"/>
    <s v="Station_33"/>
    <d v="1899-12-30T15:47:00"/>
    <d v="1899-12-30T16:40:00"/>
    <n v="9"/>
    <n v="18"/>
    <x v="0"/>
    <n v="17"/>
    <n v="44"/>
    <n v="7"/>
    <n v="17"/>
    <x v="5"/>
    <n v="0"/>
    <n v="13"/>
    <x v="0"/>
    <x v="1"/>
    <x v="6"/>
    <x v="0"/>
    <x v="1"/>
    <x v="2"/>
  </r>
  <r>
    <s v="T01292"/>
    <d v="2023-01-14T00:00:00"/>
    <d v="1899-12-30T16:00:00"/>
    <x v="1"/>
    <x v="9"/>
    <s v="Station_19"/>
    <s v="Station_18"/>
    <d v="1899-12-30T16:03:00"/>
    <d v="1899-12-30T16:44:00"/>
    <n v="19"/>
    <n v="11"/>
    <x v="0"/>
    <n v="3.3"/>
    <n v="46"/>
    <n v="57"/>
    <n v="19"/>
    <x v="5"/>
    <n v="10000"/>
    <n v="4"/>
    <x v="0"/>
    <x v="1"/>
    <x v="6"/>
    <x v="2"/>
    <x v="1"/>
    <x v="2"/>
  </r>
  <r>
    <s v="T01293"/>
    <d v="2023-01-14T00:00:00"/>
    <d v="1899-12-30T16:15:00"/>
    <x v="2"/>
    <x v="19"/>
    <s v="Station_23"/>
    <s v="Station_7"/>
    <d v="1899-12-30T16:18:00"/>
    <d v="1899-12-30T17:14:00"/>
    <n v="14"/>
    <n v="11"/>
    <x v="3"/>
    <n v="8.6"/>
    <n v="80"/>
    <n v="34"/>
    <n v="13.2"/>
    <x v="0"/>
    <n v="0"/>
    <n v="94"/>
    <x v="1"/>
    <x v="0"/>
    <x v="6"/>
    <x v="2"/>
    <x v="1"/>
    <x v="0"/>
  </r>
  <r>
    <s v="T01294"/>
    <d v="2023-01-14T00:00:00"/>
    <d v="1899-12-30T16:30:00"/>
    <x v="1"/>
    <x v="8"/>
    <s v="Station_24"/>
    <s v="Station_1"/>
    <d v="1899-12-30T16:34:00"/>
    <d v="1899-12-30T16:56:00"/>
    <n v="4"/>
    <n v="21"/>
    <x v="5"/>
    <n v="18.899999999999999"/>
    <n v="74"/>
    <n v="17"/>
    <n v="10.3"/>
    <x v="0"/>
    <n v="0"/>
    <n v="94"/>
    <x v="0"/>
    <x v="1"/>
    <x v="6"/>
    <x v="3"/>
    <x v="1"/>
    <x v="0"/>
  </r>
  <r>
    <s v="T01295"/>
    <d v="2023-01-14T00:00:00"/>
    <d v="1899-12-30T16:45:00"/>
    <x v="3"/>
    <x v="18"/>
    <s v="Station_11"/>
    <s v="Station_33"/>
    <d v="1899-12-30T16:46:00"/>
    <d v="1899-12-30T17:27:00"/>
    <n v="8"/>
    <n v="17"/>
    <x v="2"/>
    <n v="32"/>
    <n v="92"/>
    <n v="40"/>
    <n v="14.5"/>
    <x v="0"/>
    <n v="50000"/>
    <n v="93"/>
    <x v="0"/>
    <x v="1"/>
    <x v="6"/>
    <x v="3"/>
    <x v="1"/>
    <x v="0"/>
  </r>
  <r>
    <s v="T01296"/>
    <d v="2023-01-14T00:00:00"/>
    <d v="1899-12-30T17:00:00"/>
    <x v="0"/>
    <x v="11"/>
    <s v="Station_46"/>
    <s v="Station_1"/>
    <d v="1899-12-30T17:02:00"/>
    <d v="1899-12-30T17:38:00"/>
    <n v="1"/>
    <n v="-2"/>
    <x v="0"/>
    <n v="31.8"/>
    <n v="57"/>
    <n v="15"/>
    <n v="6.5"/>
    <x v="0"/>
    <n v="10000"/>
    <n v="99"/>
    <x v="0"/>
    <x v="1"/>
    <x v="6"/>
    <x v="1"/>
    <x v="0"/>
    <x v="0"/>
  </r>
  <r>
    <s v="T01297"/>
    <d v="2023-01-14T00:00:00"/>
    <d v="1899-12-30T17:15:00"/>
    <x v="2"/>
    <x v="12"/>
    <s v="Station_34"/>
    <s v="Station_24"/>
    <d v="1899-12-30T17:16:00"/>
    <d v="1899-12-30T17:56:00"/>
    <n v="2"/>
    <n v="23"/>
    <x v="1"/>
    <n v="6.5"/>
    <n v="88"/>
    <n v="20"/>
    <n v="12.5"/>
    <x v="5"/>
    <n v="50000"/>
    <n v="61"/>
    <x v="1"/>
    <x v="0"/>
    <x v="6"/>
    <x v="2"/>
    <x v="1"/>
    <x v="1"/>
  </r>
  <r>
    <s v="T01298"/>
    <d v="2023-01-14T00:00:00"/>
    <d v="1899-12-30T17:30:00"/>
    <x v="2"/>
    <x v="19"/>
    <s v="Station_28"/>
    <s v="Station_4"/>
    <d v="1899-12-30T17:32:00"/>
    <d v="1899-12-30T18:02:00"/>
    <n v="3"/>
    <n v="28"/>
    <x v="0"/>
    <n v="24.4"/>
    <n v="50"/>
    <n v="14"/>
    <n v="14.4"/>
    <x v="0"/>
    <n v="0"/>
    <n v="0"/>
    <x v="0"/>
    <x v="1"/>
    <x v="6"/>
    <x v="0"/>
    <x v="1"/>
    <x v="2"/>
  </r>
  <r>
    <s v="T01299"/>
    <d v="2023-01-14T00:00:00"/>
    <d v="1899-12-30T17:45:00"/>
    <x v="3"/>
    <x v="5"/>
    <s v="Station_5"/>
    <s v="Station_4"/>
    <d v="1899-12-30T17:48:00"/>
    <d v="1899-12-30T18:25:00"/>
    <n v="8"/>
    <n v="17"/>
    <x v="5"/>
    <n v="26"/>
    <n v="71"/>
    <n v="4"/>
    <n v="2.9"/>
    <x v="0"/>
    <n v="0"/>
    <n v="62"/>
    <x v="0"/>
    <x v="0"/>
    <x v="6"/>
    <x v="2"/>
    <x v="1"/>
    <x v="1"/>
  </r>
  <r>
    <s v="T01300"/>
    <d v="2023-01-14T00:00:00"/>
    <d v="1899-12-30T18:00:00"/>
    <x v="0"/>
    <x v="16"/>
    <s v="Station_5"/>
    <s v="Station_18"/>
    <d v="1899-12-30T18:04:00"/>
    <d v="1899-12-30T18:20:00"/>
    <n v="-2"/>
    <n v="0"/>
    <x v="0"/>
    <n v="27.4"/>
    <n v="98"/>
    <n v="44"/>
    <n v="2.8"/>
    <x v="0"/>
    <n v="500"/>
    <n v="66"/>
    <x v="0"/>
    <x v="0"/>
    <x v="6"/>
    <x v="1"/>
    <x v="0"/>
    <x v="1"/>
  </r>
  <r>
    <s v="T01301"/>
    <d v="2023-01-14T00:00:00"/>
    <d v="1899-12-30T18:15:00"/>
    <x v="1"/>
    <x v="17"/>
    <s v="Station_21"/>
    <s v="Station_27"/>
    <d v="1899-12-30T18:16:00"/>
    <d v="1899-12-30T18:53:00"/>
    <n v="7"/>
    <n v="15"/>
    <x v="3"/>
    <n v="17.8"/>
    <n v="46"/>
    <n v="53"/>
    <n v="14.3"/>
    <x v="0"/>
    <n v="0"/>
    <n v="19"/>
    <x v="0"/>
    <x v="0"/>
    <x v="6"/>
    <x v="2"/>
    <x v="1"/>
    <x v="2"/>
  </r>
  <r>
    <s v="T01302"/>
    <d v="2023-01-14T00:00:00"/>
    <d v="1899-12-30T18:30:00"/>
    <x v="0"/>
    <x v="9"/>
    <s v="Station_12"/>
    <s v="Station_43"/>
    <d v="1899-12-30T18:33:00"/>
    <d v="1899-12-30T19:22:00"/>
    <n v="17"/>
    <n v="-2"/>
    <x v="2"/>
    <n v="-4.5999999999999996"/>
    <n v="97"/>
    <n v="51"/>
    <n v="8.6"/>
    <x v="0"/>
    <n v="0"/>
    <n v="42"/>
    <x v="0"/>
    <x v="1"/>
    <x v="6"/>
    <x v="2"/>
    <x v="0"/>
    <x v="1"/>
  </r>
  <r>
    <s v="T01303"/>
    <d v="2023-01-14T00:00:00"/>
    <d v="1899-12-30T18:45:00"/>
    <x v="3"/>
    <x v="12"/>
    <s v="Station_50"/>
    <s v="Station_32"/>
    <d v="1899-12-30T18:47:00"/>
    <d v="1899-12-30T19:08:00"/>
    <n v="18"/>
    <n v="22"/>
    <x v="3"/>
    <n v="25.5"/>
    <n v="36"/>
    <n v="6"/>
    <n v="17.8"/>
    <x v="3"/>
    <n v="10000"/>
    <n v="84"/>
    <x v="0"/>
    <x v="1"/>
    <x v="6"/>
    <x v="1"/>
    <x v="1"/>
    <x v="0"/>
  </r>
  <r>
    <s v="T01304"/>
    <d v="2023-01-14T00:00:00"/>
    <d v="1899-12-30T19:00:00"/>
    <x v="3"/>
    <x v="5"/>
    <s v="Station_4"/>
    <s v="Station_33"/>
    <d v="1899-12-30T19:01:00"/>
    <d v="1899-12-30T19:22:00"/>
    <n v="8"/>
    <n v="10"/>
    <x v="2"/>
    <n v="-0.7"/>
    <n v="69"/>
    <n v="47"/>
    <n v="6.2"/>
    <x v="0"/>
    <n v="50000"/>
    <n v="93"/>
    <x v="0"/>
    <x v="1"/>
    <x v="6"/>
    <x v="2"/>
    <x v="1"/>
    <x v="0"/>
  </r>
  <r>
    <s v="T01305"/>
    <d v="2023-01-14T00:00:00"/>
    <d v="1899-12-30T19:15:00"/>
    <x v="0"/>
    <x v="5"/>
    <s v="Station_49"/>
    <s v="Station_28"/>
    <d v="1899-12-30T19:16:00"/>
    <d v="1899-12-30T20:01:00"/>
    <n v="14"/>
    <n v="11"/>
    <x v="4"/>
    <n v="-0.3"/>
    <n v="69"/>
    <n v="6"/>
    <n v="0.8"/>
    <x v="1"/>
    <n v="0"/>
    <n v="41"/>
    <x v="0"/>
    <x v="1"/>
    <x v="6"/>
    <x v="3"/>
    <x v="1"/>
    <x v="1"/>
  </r>
  <r>
    <s v="T01306"/>
    <d v="2023-01-14T00:00:00"/>
    <d v="1899-12-30T19:30:00"/>
    <x v="1"/>
    <x v="16"/>
    <s v="Station_42"/>
    <s v="Station_42"/>
    <d v="1899-12-30T19:33:00"/>
    <d v="1899-12-30T20:24:00"/>
    <n v="5"/>
    <n v="16"/>
    <x v="2"/>
    <n v="19.2"/>
    <n v="72"/>
    <n v="26"/>
    <n v="13"/>
    <x v="1"/>
    <n v="0"/>
    <n v="93"/>
    <x v="0"/>
    <x v="1"/>
    <x v="6"/>
    <x v="1"/>
    <x v="1"/>
    <x v="0"/>
  </r>
  <r>
    <s v="T01307"/>
    <d v="2023-01-14T00:00:00"/>
    <d v="1899-12-30T19:45:00"/>
    <x v="1"/>
    <x v="7"/>
    <s v="Station_20"/>
    <s v="Station_41"/>
    <d v="1899-12-30T19:46:00"/>
    <d v="1899-12-30T20:32:00"/>
    <n v="10"/>
    <n v="15"/>
    <x v="4"/>
    <n v="34.299999999999997"/>
    <n v="80"/>
    <n v="24"/>
    <n v="13.7"/>
    <x v="0"/>
    <n v="0"/>
    <n v="68"/>
    <x v="0"/>
    <x v="1"/>
    <x v="6"/>
    <x v="3"/>
    <x v="1"/>
    <x v="0"/>
  </r>
  <r>
    <s v="T01308"/>
    <d v="2023-01-14T00:00:00"/>
    <d v="1899-12-30T20:00:00"/>
    <x v="2"/>
    <x v="13"/>
    <s v="Station_38"/>
    <s v="Station_36"/>
    <d v="1899-12-30T20:04:00"/>
    <d v="1899-12-30T20:25:00"/>
    <n v="17"/>
    <n v="5"/>
    <x v="3"/>
    <n v="4.7"/>
    <n v="52"/>
    <n v="21"/>
    <n v="11.1"/>
    <x v="5"/>
    <n v="0"/>
    <n v="73"/>
    <x v="0"/>
    <x v="1"/>
    <x v="6"/>
    <x v="1"/>
    <x v="0"/>
    <x v="0"/>
  </r>
  <r>
    <s v="T01309"/>
    <d v="2023-01-14T00:00:00"/>
    <d v="1899-12-30T20:15:00"/>
    <x v="1"/>
    <x v="7"/>
    <s v="Station_25"/>
    <s v="Station_6"/>
    <d v="1899-12-30T20:19:00"/>
    <d v="1899-12-30T20:40:00"/>
    <n v="15"/>
    <n v="3"/>
    <x v="1"/>
    <n v="20.8"/>
    <n v="61"/>
    <n v="47"/>
    <n v="13.7"/>
    <x v="0"/>
    <n v="0"/>
    <n v="87"/>
    <x v="0"/>
    <x v="1"/>
    <x v="6"/>
    <x v="2"/>
    <x v="0"/>
    <x v="0"/>
  </r>
  <r>
    <s v="T01310"/>
    <d v="2023-01-14T00:00:00"/>
    <d v="1899-12-30T20:30:00"/>
    <x v="0"/>
    <x v="16"/>
    <s v="Station_14"/>
    <s v="Station_16"/>
    <d v="1899-12-30T20:33:00"/>
    <d v="1899-12-30T21:12:00"/>
    <n v="19"/>
    <n v="26"/>
    <x v="5"/>
    <n v="7.1"/>
    <n v="60"/>
    <n v="12"/>
    <n v="10.5"/>
    <x v="4"/>
    <n v="0"/>
    <n v="38"/>
    <x v="0"/>
    <x v="1"/>
    <x v="6"/>
    <x v="3"/>
    <x v="1"/>
    <x v="1"/>
  </r>
  <r>
    <s v="T01311"/>
    <d v="2023-01-14T00:00:00"/>
    <d v="1899-12-30T20:45:00"/>
    <x v="3"/>
    <x v="19"/>
    <s v="Station_11"/>
    <s v="Station_34"/>
    <d v="1899-12-30T20:47:00"/>
    <d v="1899-12-30T21:37:00"/>
    <n v="13"/>
    <n v="9"/>
    <x v="1"/>
    <n v="30.9"/>
    <n v="46"/>
    <n v="16"/>
    <n v="13.9"/>
    <x v="4"/>
    <n v="0"/>
    <n v="61"/>
    <x v="0"/>
    <x v="1"/>
    <x v="6"/>
    <x v="3"/>
    <x v="1"/>
    <x v="1"/>
  </r>
  <r>
    <s v="T01312"/>
    <d v="2023-01-14T00:00:00"/>
    <d v="1899-12-30T21:00:00"/>
    <x v="2"/>
    <x v="11"/>
    <s v="Station_32"/>
    <s v="Station_23"/>
    <d v="1899-12-30T21:03:00"/>
    <d v="1899-12-30T21:35:00"/>
    <n v="-1"/>
    <n v="23"/>
    <x v="4"/>
    <n v="18.7"/>
    <n v="87"/>
    <n v="40"/>
    <n v="0.9"/>
    <x v="0"/>
    <n v="10000"/>
    <n v="47"/>
    <x v="0"/>
    <x v="0"/>
    <x v="6"/>
    <x v="0"/>
    <x v="1"/>
    <x v="1"/>
  </r>
  <r>
    <s v="T01313"/>
    <d v="2023-01-14T00:00:00"/>
    <d v="1899-12-30T21:15:00"/>
    <x v="2"/>
    <x v="6"/>
    <s v="Station_11"/>
    <s v="Station_50"/>
    <d v="1899-12-30T21:19:00"/>
    <d v="1899-12-30T21:58:00"/>
    <n v="2"/>
    <n v="9"/>
    <x v="0"/>
    <n v="3.3"/>
    <n v="64"/>
    <n v="43"/>
    <n v="7.4"/>
    <x v="0"/>
    <n v="0"/>
    <n v="5"/>
    <x v="0"/>
    <x v="1"/>
    <x v="6"/>
    <x v="3"/>
    <x v="1"/>
    <x v="2"/>
  </r>
  <r>
    <s v="T01314"/>
    <d v="2023-01-14T00:00:00"/>
    <d v="1899-12-30T21:30:00"/>
    <x v="3"/>
    <x v="16"/>
    <s v="Station_18"/>
    <s v="Station_42"/>
    <d v="1899-12-30T21:30:00"/>
    <d v="1899-12-30T21:54:00"/>
    <n v="15"/>
    <n v="11"/>
    <x v="0"/>
    <n v="5.5"/>
    <n v="59"/>
    <n v="12"/>
    <n v="4.2"/>
    <x v="1"/>
    <n v="0"/>
    <n v="73"/>
    <x v="0"/>
    <x v="1"/>
    <x v="6"/>
    <x v="3"/>
    <x v="1"/>
    <x v="0"/>
  </r>
  <r>
    <s v="T01315"/>
    <d v="2023-01-14T00:00:00"/>
    <d v="1899-12-30T21:45:00"/>
    <x v="1"/>
    <x v="2"/>
    <s v="Station_27"/>
    <s v="Station_24"/>
    <d v="1899-12-30T21:45:00"/>
    <d v="1899-12-30T22:17:00"/>
    <n v="0"/>
    <n v="5"/>
    <x v="1"/>
    <n v="12.3"/>
    <n v="93"/>
    <n v="25"/>
    <n v="2"/>
    <x v="0"/>
    <n v="2000"/>
    <n v="41"/>
    <x v="0"/>
    <x v="1"/>
    <x v="6"/>
    <x v="2"/>
    <x v="0"/>
    <x v="1"/>
  </r>
  <r>
    <s v="T01316"/>
    <d v="2023-01-14T00:00:00"/>
    <d v="1899-12-30T22:00:00"/>
    <x v="3"/>
    <x v="16"/>
    <s v="Station_18"/>
    <s v="Station_49"/>
    <d v="1899-12-30T22:01:00"/>
    <d v="1899-12-30T22:31:00"/>
    <n v="19"/>
    <n v="19"/>
    <x v="0"/>
    <n v="-0.1"/>
    <n v="82"/>
    <n v="8"/>
    <n v="4.7"/>
    <x v="0"/>
    <n v="0"/>
    <n v="57"/>
    <x v="0"/>
    <x v="0"/>
    <x v="6"/>
    <x v="3"/>
    <x v="1"/>
    <x v="1"/>
  </r>
  <r>
    <s v="T01317"/>
    <d v="2023-01-14T00:00:00"/>
    <d v="1899-12-30T22:15:00"/>
    <x v="1"/>
    <x v="11"/>
    <s v="Station_23"/>
    <s v="Station_13"/>
    <d v="1899-12-30T22:16:00"/>
    <d v="1899-12-30T22:39:00"/>
    <n v="14"/>
    <n v="-1"/>
    <x v="4"/>
    <n v="-1.9"/>
    <n v="80"/>
    <n v="4"/>
    <n v="3.8"/>
    <x v="1"/>
    <n v="50000"/>
    <n v="42"/>
    <x v="0"/>
    <x v="0"/>
    <x v="6"/>
    <x v="3"/>
    <x v="0"/>
    <x v="1"/>
  </r>
  <r>
    <s v="T01318"/>
    <d v="2023-01-14T00:00:00"/>
    <d v="1899-12-30T22:30:00"/>
    <x v="3"/>
    <x v="16"/>
    <s v="Station_11"/>
    <s v="Station_18"/>
    <d v="1899-12-30T22:30:00"/>
    <d v="1899-12-30T23:26:00"/>
    <n v="13"/>
    <n v="15"/>
    <x v="3"/>
    <n v="22.2"/>
    <n v="66"/>
    <n v="38"/>
    <n v="19.5"/>
    <x v="1"/>
    <n v="500"/>
    <n v="9"/>
    <x v="0"/>
    <x v="1"/>
    <x v="6"/>
    <x v="3"/>
    <x v="1"/>
    <x v="2"/>
  </r>
  <r>
    <s v="T01319"/>
    <d v="2023-01-14T00:00:00"/>
    <d v="1899-12-30T22:45:00"/>
    <x v="0"/>
    <x v="2"/>
    <s v="Station_21"/>
    <s v="Station_13"/>
    <d v="1899-12-30T22:49:00"/>
    <d v="1899-12-30T23:35:00"/>
    <n v="3"/>
    <n v="24"/>
    <x v="5"/>
    <n v="11.3"/>
    <n v="35"/>
    <n v="32"/>
    <n v="5.7"/>
    <x v="0"/>
    <n v="50000"/>
    <n v="88"/>
    <x v="0"/>
    <x v="1"/>
    <x v="6"/>
    <x v="2"/>
    <x v="1"/>
    <x v="0"/>
  </r>
  <r>
    <s v="T01320"/>
    <d v="2023-01-14T00:00:00"/>
    <d v="1899-12-30T23:00:00"/>
    <x v="1"/>
    <x v="2"/>
    <s v="Station_44"/>
    <s v="Station_49"/>
    <d v="1899-12-30T23:01:00"/>
    <d v="1899-12-30T23:47:00"/>
    <n v="16"/>
    <n v="19"/>
    <x v="2"/>
    <n v="24"/>
    <n v="63"/>
    <n v="3"/>
    <n v="4.5999999999999996"/>
    <x v="0"/>
    <n v="0"/>
    <n v="77"/>
    <x v="0"/>
    <x v="1"/>
    <x v="6"/>
    <x v="1"/>
    <x v="1"/>
    <x v="0"/>
  </r>
  <r>
    <s v="T01321"/>
    <d v="2023-01-14T00:00:00"/>
    <d v="1899-12-30T23:15:00"/>
    <x v="0"/>
    <x v="3"/>
    <s v="Station_5"/>
    <s v="Station_37"/>
    <d v="1899-12-30T23:18:00"/>
    <d v="1899-12-30T00:02:00"/>
    <n v="4"/>
    <n v="3"/>
    <x v="4"/>
    <n v="-0.6"/>
    <n v="85"/>
    <n v="27"/>
    <n v="16.7"/>
    <x v="0"/>
    <n v="0"/>
    <n v="38"/>
    <x v="0"/>
    <x v="1"/>
    <x v="6"/>
    <x v="2"/>
    <x v="0"/>
    <x v="1"/>
  </r>
  <r>
    <s v="T01322"/>
    <d v="2023-01-14T00:00:00"/>
    <d v="1899-12-30T23:30:00"/>
    <x v="2"/>
    <x v="12"/>
    <s v="Station_23"/>
    <s v="Station_43"/>
    <d v="1899-12-30T23:33:00"/>
    <d v="1899-12-30T00:19:00"/>
    <n v="15"/>
    <n v="8"/>
    <x v="4"/>
    <n v="19.399999999999999"/>
    <n v="54"/>
    <n v="25"/>
    <n v="8.4"/>
    <x v="0"/>
    <n v="0"/>
    <n v="12"/>
    <x v="0"/>
    <x v="0"/>
    <x v="6"/>
    <x v="3"/>
    <x v="1"/>
    <x v="2"/>
  </r>
  <r>
    <s v="T01323"/>
    <d v="2023-01-14T00:00:00"/>
    <d v="1899-12-30T23:45:00"/>
    <x v="3"/>
    <x v="1"/>
    <s v="Station_41"/>
    <s v="Station_39"/>
    <d v="1899-12-30T23:49:00"/>
    <d v="1899-12-30T00:22:00"/>
    <n v="11"/>
    <n v="10"/>
    <x v="2"/>
    <n v="12.7"/>
    <n v="42"/>
    <n v="3"/>
    <n v="8.4"/>
    <x v="0"/>
    <n v="50000"/>
    <n v="74"/>
    <x v="0"/>
    <x v="1"/>
    <x v="6"/>
    <x v="1"/>
    <x v="1"/>
    <x v="0"/>
  </r>
  <r>
    <s v="T01324"/>
    <d v="2023-01-15T00:00:00"/>
    <d v="1899-12-30T00:00:00"/>
    <x v="2"/>
    <x v="0"/>
    <s v="Station_25"/>
    <s v="Station_42"/>
    <d v="1899-12-30T00:01:00"/>
    <d v="1899-12-30T00:46:00"/>
    <n v="3"/>
    <n v="11"/>
    <x v="2"/>
    <n v="-2.7"/>
    <n v="92"/>
    <n v="15"/>
    <n v="8.9"/>
    <x v="5"/>
    <n v="0"/>
    <n v="38"/>
    <x v="0"/>
    <x v="1"/>
    <x v="0"/>
    <x v="2"/>
    <x v="1"/>
    <x v="1"/>
  </r>
  <r>
    <s v="T01325"/>
    <d v="2023-01-15T00:00:00"/>
    <d v="1899-12-30T00:15:00"/>
    <x v="2"/>
    <x v="4"/>
    <s v="Station_41"/>
    <s v="Station_17"/>
    <d v="1899-12-30T00:18:00"/>
    <d v="1899-12-30T01:09:00"/>
    <n v="5"/>
    <n v="-1"/>
    <x v="5"/>
    <n v="16.8"/>
    <n v="95"/>
    <n v="36"/>
    <n v="8.3000000000000007"/>
    <x v="0"/>
    <n v="0"/>
    <n v="10"/>
    <x v="1"/>
    <x v="1"/>
    <x v="0"/>
    <x v="2"/>
    <x v="0"/>
    <x v="2"/>
  </r>
  <r>
    <s v="T01326"/>
    <d v="2023-01-15T00:00:00"/>
    <d v="1899-12-30T00:30:00"/>
    <x v="2"/>
    <x v="7"/>
    <s v="Station_10"/>
    <s v="Station_15"/>
    <d v="1899-12-30T00:31:00"/>
    <d v="1899-12-30T01:15:00"/>
    <n v="12"/>
    <n v="11"/>
    <x v="5"/>
    <n v="-1.7"/>
    <n v="34"/>
    <n v="21"/>
    <n v="6.5"/>
    <x v="0"/>
    <n v="500"/>
    <n v="15"/>
    <x v="0"/>
    <x v="0"/>
    <x v="0"/>
    <x v="1"/>
    <x v="1"/>
    <x v="2"/>
  </r>
  <r>
    <s v="T01327"/>
    <d v="2023-01-15T00:00:00"/>
    <d v="1899-12-30T00:45:00"/>
    <x v="2"/>
    <x v="11"/>
    <s v="Station_22"/>
    <s v="Station_18"/>
    <d v="1899-12-30T00:46:00"/>
    <d v="1899-12-30T01:43:00"/>
    <n v="12"/>
    <n v="20"/>
    <x v="5"/>
    <n v="28.1"/>
    <n v="40"/>
    <n v="35"/>
    <n v="5.7"/>
    <x v="1"/>
    <n v="0"/>
    <n v="32"/>
    <x v="1"/>
    <x v="1"/>
    <x v="0"/>
    <x v="0"/>
    <x v="1"/>
    <x v="2"/>
  </r>
  <r>
    <s v="T01328"/>
    <d v="2023-01-15T00:00:00"/>
    <d v="1899-12-30T01:00:00"/>
    <x v="3"/>
    <x v="15"/>
    <s v="Station_19"/>
    <s v="Station_23"/>
    <d v="1899-12-30T01:03:00"/>
    <d v="1899-12-30T01:37:00"/>
    <n v="12"/>
    <n v="4"/>
    <x v="0"/>
    <n v="20.3"/>
    <n v="73"/>
    <n v="37"/>
    <n v="17.600000000000001"/>
    <x v="0"/>
    <n v="500"/>
    <n v="59"/>
    <x v="0"/>
    <x v="0"/>
    <x v="0"/>
    <x v="3"/>
    <x v="0"/>
    <x v="1"/>
  </r>
  <r>
    <s v="T01329"/>
    <d v="2023-01-15T00:00:00"/>
    <d v="1899-12-30T01:15:00"/>
    <x v="2"/>
    <x v="3"/>
    <s v="Station_1"/>
    <s v="Station_30"/>
    <d v="1899-12-30T01:15:00"/>
    <d v="1899-12-30T02:07:00"/>
    <n v="13"/>
    <n v="1"/>
    <x v="4"/>
    <n v="17.3"/>
    <n v="98"/>
    <n v="57"/>
    <n v="3.2"/>
    <x v="0"/>
    <n v="50000"/>
    <n v="95"/>
    <x v="0"/>
    <x v="1"/>
    <x v="0"/>
    <x v="0"/>
    <x v="0"/>
    <x v="0"/>
  </r>
  <r>
    <s v="T01330"/>
    <d v="2023-01-15T00:00:00"/>
    <d v="1899-12-30T01:30:00"/>
    <x v="3"/>
    <x v="5"/>
    <s v="Station_7"/>
    <s v="Station_34"/>
    <d v="1899-12-30T01:33:00"/>
    <d v="1899-12-30T02:14:00"/>
    <n v="-2"/>
    <n v="0"/>
    <x v="3"/>
    <n v="0.3"/>
    <n v="31"/>
    <n v="54"/>
    <n v="3.6"/>
    <x v="4"/>
    <n v="50000"/>
    <n v="58"/>
    <x v="0"/>
    <x v="1"/>
    <x v="0"/>
    <x v="3"/>
    <x v="0"/>
    <x v="1"/>
  </r>
  <r>
    <s v="T01331"/>
    <d v="2023-01-15T00:00:00"/>
    <d v="1899-12-30T01:45:00"/>
    <x v="3"/>
    <x v="12"/>
    <s v="Station_4"/>
    <s v="Station_4"/>
    <d v="1899-12-30T01:49:00"/>
    <d v="1899-12-30T02:35:00"/>
    <n v="8"/>
    <n v="10"/>
    <x v="2"/>
    <n v="6.5"/>
    <n v="69"/>
    <n v="34"/>
    <n v="11.4"/>
    <x v="1"/>
    <n v="0"/>
    <n v="73"/>
    <x v="0"/>
    <x v="1"/>
    <x v="0"/>
    <x v="3"/>
    <x v="1"/>
    <x v="0"/>
  </r>
  <r>
    <s v="T01332"/>
    <d v="2023-01-15T00:00:00"/>
    <d v="1899-12-30T02:00:00"/>
    <x v="0"/>
    <x v="14"/>
    <s v="Station_1"/>
    <s v="Station_3"/>
    <d v="1899-12-30T02:02:00"/>
    <d v="1899-12-30T02:56:00"/>
    <n v="2"/>
    <n v="12"/>
    <x v="4"/>
    <n v="14.7"/>
    <n v="66"/>
    <n v="24"/>
    <n v="6.9"/>
    <x v="1"/>
    <n v="0"/>
    <n v="50"/>
    <x v="0"/>
    <x v="1"/>
    <x v="0"/>
    <x v="0"/>
    <x v="1"/>
    <x v="1"/>
  </r>
  <r>
    <s v="T01333"/>
    <d v="2023-01-15T00:00:00"/>
    <d v="1899-12-30T02:15:00"/>
    <x v="1"/>
    <x v="18"/>
    <s v="Station_15"/>
    <s v="Station_7"/>
    <d v="1899-12-30T02:18:00"/>
    <d v="1899-12-30T02:36:00"/>
    <n v="2"/>
    <n v="16"/>
    <x v="4"/>
    <n v="20.3"/>
    <n v="78"/>
    <n v="7"/>
    <n v="8.4"/>
    <x v="1"/>
    <n v="0"/>
    <n v="14"/>
    <x v="0"/>
    <x v="0"/>
    <x v="0"/>
    <x v="0"/>
    <x v="1"/>
    <x v="2"/>
  </r>
  <r>
    <s v="T01334"/>
    <d v="2023-01-15T00:00:00"/>
    <d v="1899-12-30T02:30:00"/>
    <x v="1"/>
    <x v="13"/>
    <s v="Station_40"/>
    <s v="Station_18"/>
    <d v="1899-12-30T02:31:00"/>
    <d v="1899-12-30T03:22:00"/>
    <n v="18"/>
    <n v="20"/>
    <x v="5"/>
    <n v="2.2999999999999998"/>
    <n v="65"/>
    <n v="16"/>
    <n v="16.100000000000001"/>
    <x v="0"/>
    <n v="0"/>
    <n v="79"/>
    <x v="0"/>
    <x v="0"/>
    <x v="0"/>
    <x v="3"/>
    <x v="1"/>
    <x v="0"/>
  </r>
  <r>
    <s v="T01335"/>
    <d v="2023-01-15T00:00:00"/>
    <d v="1899-12-30T02:45:00"/>
    <x v="3"/>
    <x v="14"/>
    <s v="Station_12"/>
    <s v="Station_42"/>
    <d v="1899-12-30T02:46:00"/>
    <d v="1899-12-30T03:43:00"/>
    <n v="3"/>
    <n v="2"/>
    <x v="5"/>
    <n v="-4.5999999999999996"/>
    <n v="99"/>
    <n v="17"/>
    <n v="18.100000000000001"/>
    <x v="5"/>
    <n v="500"/>
    <n v="42"/>
    <x v="0"/>
    <x v="1"/>
    <x v="0"/>
    <x v="1"/>
    <x v="0"/>
    <x v="1"/>
  </r>
  <r>
    <s v="T01336"/>
    <d v="2023-01-15T00:00:00"/>
    <d v="1899-12-30T03:00:00"/>
    <x v="0"/>
    <x v="0"/>
    <s v="Station_22"/>
    <s v="Station_7"/>
    <d v="1899-12-30T03:03:00"/>
    <d v="1899-12-30T03:51:00"/>
    <n v="-1"/>
    <n v="27"/>
    <x v="4"/>
    <n v="8.8000000000000007"/>
    <n v="63"/>
    <n v="49"/>
    <n v="15.8"/>
    <x v="0"/>
    <n v="2000"/>
    <n v="26"/>
    <x v="0"/>
    <x v="1"/>
    <x v="0"/>
    <x v="1"/>
    <x v="1"/>
    <x v="2"/>
  </r>
  <r>
    <s v="T01337"/>
    <d v="2023-01-15T00:00:00"/>
    <d v="1899-12-30T03:15:00"/>
    <x v="3"/>
    <x v="4"/>
    <s v="Station_22"/>
    <s v="Station_40"/>
    <d v="1899-12-30T03:17:00"/>
    <d v="1899-12-30T03:52:00"/>
    <n v="3"/>
    <n v="2"/>
    <x v="5"/>
    <n v="14.3"/>
    <n v="87"/>
    <n v="57"/>
    <n v="4.7"/>
    <x v="0"/>
    <n v="500"/>
    <n v="55"/>
    <x v="0"/>
    <x v="1"/>
    <x v="0"/>
    <x v="0"/>
    <x v="0"/>
    <x v="1"/>
  </r>
  <r>
    <s v="T01338"/>
    <d v="2023-01-15T00:00:00"/>
    <d v="1899-12-30T03:30:00"/>
    <x v="3"/>
    <x v="0"/>
    <s v="Station_50"/>
    <s v="Station_6"/>
    <d v="1899-12-30T03:33:00"/>
    <d v="1899-12-30T04:06:00"/>
    <n v="11"/>
    <n v="11"/>
    <x v="0"/>
    <n v="2.4"/>
    <n v="66"/>
    <n v="56"/>
    <n v="19.600000000000001"/>
    <x v="0"/>
    <n v="0"/>
    <n v="59"/>
    <x v="0"/>
    <x v="1"/>
    <x v="0"/>
    <x v="0"/>
    <x v="1"/>
    <x v="1"/>
  </r>
  <r>
    <s v="T01339"/>
    <d v="2023-01-15T00:00:00"/>
    <d v="1899-12-30T03:45:00"/>
    <x v="3"/>
    <x v="14"/>
    <s v="Station_47"/>
    <s v="Station_22"/>
    <d v="1899-12-30T03:47:00"/>
    <d v="1899-12-30T04:38:00"/>
    <n v="8"/>
    <n v="25"/>
    <x v="2"/>
    <n v="14.7"/>
    <n v="89"/>
    <n v="11"/>
    <n v="7.3"/>
    <x v="0"/>
    <n v="2000"/>
    <n v="95"/>
    <x v="1"/>
    <x v="1"/>
    <x v="0"/>
    <x v="2"/>
    <x v="1"/>
    <x v="0"/>
  </r>
  <r>
    <s v="T01340"/>
    <d v="2023-01-15T00:00:00"/>
    <d v="1899-12-30T04:00:00"/>
    <x v="0"/>
    <x v="13"/>
    <s v="Station_17"/>
    <s v="Station_1"/>
    <d v="1899-12-30T04:02:00"/>
    <d v="1899-12-30T04:58:00"/>
    <n v="1"/>
    <n v="-1"/>
    <x v="4"/>
    <n v="8.5"/>
    <n v="41"/>
    <n v="56"/>
    <n v="3.4"/>
    <x v="0"/>
    <n v="0"/>
    <n v="69"/>
    <x v="0"/>
    <x v="1"/>
    <x v="0"/>
    <x v="1"/>
    <x v="0"/>
    <x v="0"/>
  </r>
  <r>
    <s v="T01341"/>
    <d v="2023-01-15T00:00:00"/>
    <d v="1899-12-30T04:15:00"/>
    <x v="1"/>
    <x v="9"/>
    <s v="Station_29"/>
    <s v="Station_4"/>
    <d v="1899-12-30T04:19:00"/>
    <d v="1899-12-30T04:41:00"/>
    <n v="6"/>
    <n v="7"/>
    <x v="2"/>
    <n v="13.2"/>
    <n v="61"/>
    <n v="56"/>
    <n v="10"/>
    <x v="0"/>
    <n v="0"/>
    <n v="46"/>
    <x v="0"/>
    <x v="0"/>
    <x v="0"/>
    <x v="1"/>
    <x v="1"/>
    <x v="1"/>
  </r>
  <r>
    <s v="T01342"/>
    <d v="2023-01-15T00:00:00"/>
    <d v="1899-12-30T04:30:00"/>
    <x v="0"/>
    <x v="4"/>
    <s v="Station_46"/>
    <s v="Station_46"/>
    <d v="1899-12-30T04:31:00"/>
    <d v="1899-12-30T05:24:00"/>
    <n v="0"/>
    <n v="-1"/>
    <x v="0"/>
    <n v="8.9"/>
    <n v="33"/>
    <n v="32"/>
    <n v="14.5"/>
    <x v="0"/>
    <n v="2000"/>
    <n v="99"/>
    <x v="0"/>
    <x v="0"/>
    <x v="0"/>
    <x v="3"/>
    <x v="0"/>
    <x v="0"/>
  </r>
  <r>
    <s v="T01343"/>
    <d v="2023-01-15T00:00:00"/>
    <d v="1899-12-30T04:45:00"/>
    <x v="2"/>
    <x v="5"/>
    <s v="Station_14"/>
    <s v="Station_49"/>
    <d v="1899-12-30T04:46:00"/>
    <d v="1899-12-30T05:34:00"/>
    <n v="13"/>
    <n v="24"/>
    <x v="5"/>
    <n v="20.100000000000001"/>
    <n v="62"/>
    <n v="22"/>
    <n v="1.7"/>
    <x v="0"/>
    <n v="0"/>
    <n v="7"/>
    <x v="0"/>
    <x v="1"/>
    <x v="0"/>
    <x v="2"/>
    <x v="1"/>
    <x v="2"/>
  </r>
  <r>
    <s v="T01344"/>
    <d v="2023-01-15T00:00:00"/>
    <d v="1899-12-30T05:00:00"/>
    <x v="0"/>
    <x v="16"/>
    <s v="Station_50"/>
    <s v="Station_50"/>
    <d v="1899-12-30T05:02:00"/>
    <d v="1899-12-30T05:31:00"/>
    <n v="8"/>
    <n v="6"/>
    <x v="1"/>
    <n v="-3.3"/>
    <n v="72"/>
    <n v="11"/>
    <n v="12.7"/>
    <x v="1"/>
    <n v="500"/>
    <n v="62"/>
    <x v="0"/>
    <x v="0"/>
    <x v="0"/>
    <x v="3"/>
    <x v="1"/>
    <x v="1"/>
  </r>
  <r>
    <s v="T01345"/>
    <d v="2023-01-15T00:00:00"/>
    <d v="1899-12-30T05:15:00"/>
    <x v="0"/>
    <x v="15"/>
    <s v="Station_20"/>
    <s v="Station_43"/>
    <d v="1899-12-30T05:16:00"/>
    <d v="1899-12-30T06:09:00"/>
    <n v="1"/>
    <n v="29"/>
    <x v="0"/>
    <n v="1.8"/>
    <n v="38"/>
    <n v="10"/>
    <n v="17.2"/>
    <x v="1"/>
    <n v="0"/>
    <n v="88"/>
    <x v="0"/>
    <x v="1"/>
    <x v="0"/>
    <x v="2"/>
    <x v="1"/>
    <x v="0"/>
  </r>
  <r>
    <s v="T01346"/>
    <d v="2023-01-15T00:00:00"/>
    <d v="1899-12-30T05:30:00"/>
    <x v="0"/>
    <x v="4"/>
    <s v="Station_50"/>
    <s v="Station_29"/>
    <d v="1899-12-30T05:30:00"/>
    <d v="1899-12-30T06:00:00"/>
    <n v="-2"/>
    <n v="12"/>
    <x v="1"/>
    <n v="12.3"/>
    <n v="80"/>
    <n v="12"/>
    <n v="5.2"/>
    <x v="0"/>
    <n v="0"/>
    <n v="6"/>
    <x v="0"/>
    <x v="1"/>
    <x v="0"/>
    <x v="1"/>
    <x v="1"/>
    <x v="2"/>
  </r>
  <r>
    <s v="T01347"/>
    <d v="2023-01-15T00:00:00"/>
    <d v="1899-12-30T05:45:00"/>
    <x v="0"/>
    <x v="1"/>
    <s v="Station_48"/>
    <s v="Station_21"/>
    <d v="1899-12-30T05:47:00"/>
    <d v="1899-12-30T06:08:00"/>
    <n v="18"/>
    <n v="6"/>
    <x v="2"/>
    <n v="9.3000000000000007"/>
    <n v="49"/>
    <n v="34"/>
    <n v="13.9"/>
    <x v="0"/>
    <n v="0"/>
    <n v="80"/>
    <x v="0"/>
    <x v="1"/>
    <x v="0"/>
    <x v="3"/>
    <x v="1"/>
    <x v="0"/>
  </r>
  <r>
    <s v="T01348"/>
    <d v="2023-01-15T00:00:00"/>
    <d v="1899-12-30T06:00:00"/>
    <x v="1"/>
    <x v="19"/>
    <s v="Station_33"/>
    <s v="Station_26"/>
    <d v="1899-12-30T06:01:00"/>
    <d v="1899-12-30T06:44:00"/>
    <n v="19"/>
    <n v="29"/>
    <x v="4"/>
    <n v="10.7"/>
    <n v="68"/>
    <n v="26"/>
    <n v="8"/>
    <x v="0"/>
    <n v="500"/>
    <n v="93"/>
    <x v="0"/>
    <x v="1"/>
    <x v="0"/>
    <x v="2"/>
    <x v="1"/>
    <x v="0"/>
  </r>
  <r>
    <s v="T01349"/>
    <d v="2023-01-15T00:00:00"/>
    <d v="1899-12-30T06:15:00"/>
    <x v="2"/>
    <x v="11"/>
    <s v="Station_43"/>
    <s v="Station_14"/>
    <d v="1899-12-30T06:15:00"/>
    <d v="1899-12-30T07:06:00"/>
    <n v="13"/>
    <n v="-1"/>
    <x v="5"/>
    <n v="27.2"/>
    <n v="52"/>
    <n v="24"/>
    <n v="8.3000000000000007"/>
    <x v="0"/>
    <n v="0"/>
    <n v="1"/>
    <x v="1"/>
    <x v="0"/>
    <x v="0"/>
    <x v="3"/>
    <x v="0"/>
    <x v="2"/>
  </r>
  <r>
    <s v="T01350"/>
    <d v="2023-01-15T00:00:00"/>
    <d v="1899-12-30T06:30:00"/>
    <x v="1"/>
    <x v="14"/>
    <s v="Station_15"/>
    <s v="Station_9"/>
    <d v="1899-12-30T06:34:00"/>
    <d v="1899-12-30T07:09:00"/>
    <n v="16"/>
    <n v="1"/>
    <x v="0"/>
    <n v="30.5"/>
    <n v="70"/>
    <n v="39"/>
    <n v="5.6"/>
    <x v="1"/>
    <n v="500"/>
    <n v="16"/>
    <x v="0"/>
    <x v="0"/>
    <x v="0"/>
    <x v="2"/>
    <x v="0"/>
    <x v="2"/>
  </r>
  <r>
    <s v="T01351"/>
    <d v="2023-01-15T00:00:00"/>
    <d v="1899-12-30T06:45:00"/>
    <x v="1"/>
    <x v="15"/>
    <s v="Station_12"/>
    <s v="Station_47"/>
    <d v="1899-12-30T06:46:00"/>
    <d v="1899-12-30T07:35:00"/>
    <n v="13"/>
    <n v="8"/>
    <x v="5"/>
    <n v="4.9000000000000004"/>
    <n v="73"/>
    <n v="2"/>
    <n v="12.5"/>
    <x v="0"/>
    <n v="2000"/>
    <n v="3"/>
    <x v="1"/>
    <x v="1"/>
    <x v="0"/>
    <x v="0"/>
    <x v="1"/>
    <x v="2"/>
  </r>
  <r>
    <s v="T01352"/>
    <d v="2023-01-15T00:00:00"/>
    <d v="1899-12-30T07:00:00"/>
    <x v="0"/>
    <x v="7"/>
    <s v="Station_40"/>
    <s v="Station_12"/>
    <d v="1899-12-30T07:00:00"/>
    <d v="1899-12-30T07:23:00"/>
    <n v="8"/>
    <n v="9"/>
    <x v="1"/>
    <n v="28.5"/>
    <n v="64"/>
    <n v="48"/>
    <n v="7.2"/>
    <x v="0"/>
    <n v="0"/>
    <n v="25"/>
    <x v="0"/>
    <x v="1"/>
    <x v="0"/>
    <x v="3"/>
    <x v="1"/>
    <x v="2"/>
  </r>
  <r>
    <s v="T01353"/>
    <d v="2023-01-15T00:00:00"/>
    <d v="1899-12-30T07:15:00"/>
    <x v="3"/>
    <x v="12"/>
    <s v="Station_20"/>
    <s v="Station_42"/>
    <d v="1899-12-30T07:18:00"/>
    <d v="1899-12-30T08:12:00"/>
    <n v="5"/>
    <n v="20"/>
    <x v="1"/>
    <n v="13.4"/>
    <n v="52"/>
    <n v="24"/>
    <n v="16.600000000000001"/>
    <x v="0"/>
    <n v="10000"/>
    <n v="77"/>
    <x v="1"/>
    <x v="1"/>
    <x v="0"/>
    <x v="0"/>
    <x v="1"/>
    <x v="0"/>
  </r>
  <r>
    <s v="T01354"/>
    <d v="2023-01-15T00:00:00"/>
    <d v="1899-12-30T07:30:00"/>
    <x v="3"/>
    <x v="14"/>
    <s v="Station_30"/>
    <s v="Station_6"/>
    <d v="1899-12-30T07:33:00"/>
    <d v="1899-12-30T07:50:00"/>
    <n v="-2"/>
    <n v="28"/>
    <x v="3"/>
    <n v="6"/>
    <n v="87"/>
    <n v="44"/>
    <n v="19.3"/>
    <x v="2"/>
    <n v="10000"/>
    <n v="71"/>
    <x v="0"/>
    <x v="1"/>
    <x v="0"/>
    <x v="2"/>
    <x v="1"/>
    <x v="0"/>
  </r>
  <r>
    <s v="T01355"/>
    <d v="2023-01-15T00:00:00"/>
    <d v="1899-12-30T07:45:00"/>
    <x v="1"/>
    <x v="8"/>
    <s v="Station_38"/>
    <s v="Station_20"/>
    <d v="1899-12-30T07:45:00"/>
    <d v="1899-12-30T08:07:00"/>
    <n v="18"/>
    <n v="12"/>
    <x v="4"/>
    <n v="34.4"/>
    <n v="77"/>
    <n v="9"/>
    <n v="18.7"/>
    <x v="0"/>
    <n v="10000"/>
    <n v="68"/>
    <x v="0"/>
    <x v="0"/>
    <x v="0"/>
    <x v="3"/>
    <x v="1"/>
    <x v="0"/>
  </r>
  <r>
    <s v="T01356"/>
    <d v="2023-01-15T00:00:00"/>
    <d v="1899-12-30T08:00:00"/>
    <x v="1"/>
    <x v="17"/>
    <s v="Station_3"/>
    <s v="Station_24"/>
    <d v="1899-12-30T08:02:00"/>
    <d v="1899-12-30T08:56:00"/>
    <n v="6"/>
    <n v="28"/>
    <x v="1"/>
    <n v="28"/>
    <n v="87"/>
    <n v="16"/>
    <n v="3.3"/>
    <x v="4"/>
    <n v="500"/>
    <n v="4"/>
    <x v="0"/>
    <x v="0"/>
    <x v="0"/>
    <x v="2"/>
    <x v="1"/>
    <x v="2"/>
  </r>
  <r>
    <s v="T01357"/>
    <d v="2023-01-15T00:00:00"/>
    <d v="1899-12-30T08:15:00"/>
    <x v="0"/>
    <x v="3"/>
    <s v="Station_28"/>
    <s v="Station_27"/>
    <d v="1899-12-30T08:17:00"/>
    <d v="1899-12-30T08:56:00"/>
    <n v="9"/>
    <n v="17"/>
    <x v="4"/>
    <n v="34.799999999999997"/>
    <n v="86"/>
    <n v="2"/>
    <n v="0.3"/>
    <x v="0"/>
    <n v="0"/>
    <n v="4"/>
    <x v="0"/>
    <x v="1"/>
    <x v="0"/>
    <x v="2"/>
    <x v="1"/>
    <x v="2"/>
  </r>
  <r>
    <s v="T01358"/>
    <d v="2023-01-15T00:00:00"/>
    <d v="1899-12-30T08:30:00"/>
    <x v="1"/>
    <x v="6"/>
    <s v="Station_26"/>
    <s v="Station_38"/>
    <d v="1899-12-30T08:31:00"/>
    <d v="1899-12-30T09:06:00"/>
    <n v="19"/>
    <n v="8"/>
    <x v="3"/>
    <n v="1.7"/>
    <n v="68"/>
    <n v="44"/>
    <n v="8.8000000000000007"/>
    <x v="1"/>
    <n v="0"/>
    <n v="90"/>
    <x v="0"/>
    <x v="0"/>
    <x v="0"/>
    <x v="0"/>
    <x v="1"/>
    <x v="0"/>
  </r>
  <r>
    <s v="T01359"/>
    <d v="2023-01-15T00:00:00"/>
    <d v="1899-12-30T08:45:00"/>
    <x v="0"/>
    <x v="3"/>
    <s v="Station_30"/>
    <s v="Station_8"/>
    <d v="1899-12-30T08:48:00"/>
    <d v="1899-12-30T09:18:00"/>
    <n v="5"/>
    <n v="17"/>
    <x v="0"/>
    <n v="0.8"/>
    <n v="57"/>
    <n v="21"/>
    <n v="14.6"/>
    <x v="5"/>
    <n v="2000"/>
    <n v="68"/>
    <x v="0"/>
    <x v="1"/>
    <x v="0"/>
    <x v="3"/>
    <x v="1"/>
    <x v="0"/>
  </r>
  <r>
    <s v="T01360"/>
    <d v="2023-01-15T00:00:00"/>
    <d v="1899-12-30T09:00:00"/>
    <x v="3"/>
    <x v="17"/>
    <s v="Station_13"/>
    <s v="Station_1"/>
    <d v="1899-12-30T09:02:00"/>
    <d v="1899-12-30T09:54:00"/>
    <n v="14"/>
    <n v="17"/>
    <x v="3"/>
    <n v="15.1"/>
    <n v="93"/>
    <n v="37"/>
    <n v="19.5"/>
    <x v="0"/>
    <n v="0"/>
    <n v="2"/>
    <x v="0"/>
    <x v="1"/>
    <x v="0"/>
    <x v="1"/>
    <x v="1"/>
    <x v="2"/>
  </r>
  <r>
    <s v="T01361"/>
    <d v="2023-01-15T00:00:00"/>
    <d v="1899-12-30T09:15:00"/>
    <x v="3"/>
    <x v="1"/>
    <s v="Station_13"/>
    <s v="Station_49"/>
    <d v="1899-12-30T09:17:00"/>
    <d v="1899-12-30T09:47:00"/>
    <n v="7"/>
    <n v="2"/>
    <x v="4"/>
    <n v="20.5"/>
    <n v="91"/>
    <n v="13"/>
    <n v="15.7"/>
    <x v="2"/>
    <n v="2000"/>
    <n v="37"/>
    <x v="0"/>
    <x v="1"/>
    <x v="0"/>
    <x v="2"/>
    <x v="0"/>
    <x v="1"/>
  </r>
  <r>
    <s v="T01362"/>
    <d v="2023-01-15T00:00:00"/>
    <d v="1899-12-30T09:30:00"/>
    <x v="2"/>
    <x v="11"/>
    <s v="Station_2"/>
    <s v="Station_49"/>
    <d v="1899-12-30T09:33:00"/>
    <d v="1899-12-30T10:24:00"/>
    <n v="4"/>
    <n v="5"/>
    <x v="1"/>
    <n v="1.8"/>
    <n v="91"/>
    <n v="26"/>
    <n v="11.6"/>
    <x v="1"/>
    <n v="0"/>
    <n v="93"/>
    <x v="0"/>
    <x v="0"/>
    <x v="0"/>
    <x v="0"/>
    <x v="0"/>
    <x v="0"/>
  </r>
  <r>
    <s v="T01363"/>
    <d v="2023-01-15T00:00:00"/>
    <d v="1899-12-30T09:45:00"/>
    <x v="3"/>
    <x v="4"/>
    <s v="Station_37"/>
    <s v="Station_24"/>
    <d v="1899-12-30T09:49:00"/>
    <d v="1899-12-30T10:06:00"/>
    <n v="16"/>
    <n v="-3"/>
    <x v="2"/>
    <n v="29.4"/>
    <n v="55"/>
    <n v="41"/>
    <n v="0.5"/>
    <x v="1"/>
    <n v="0"/>
    <n v="0"/>
    <x v="0"/>
    <x v="1"/>
    <x v="0"/>
    <x v="1"/>
    <x v="0"/>
    <x v="2"/>
  </r>
  <r>
    <s v="T01364"/>
    <d v="2023-01-15T00:00:00"/>
    <d v="1899-12-30T10:00:00"/>
    <x v="1"/>
    <x v="9"/>
    <s v="Station_49"/>
    <s v="Station_47"/>
    <d v="1899-12-30T10:02:00"/>
    <d v="1899-12-30T10:32:00"/>
    <n v="3"/>
    <n v="8"/>
    <x v="4"/>
    <n v="16.3"/>
    <n v="80"/>
    <n v="19"/>
    <n v="16.5"/>
    <x v="1"/>
    <n v="0"/>
    <n v="7"/>
    <x v="0"/>
    <x v="0"/>
    <x v="0"/>
    <x v="0"/>
    <x v="1"/>
    <x v="2"/>
  </r>
  <r>
    <s v="T01365"/>
    <d v="2023-01-15T00:00:00"/>
    <d v="1899-12-30T10:15:00"/>
    <x v="3"/>
    <x v="18"/>
    <s v="Station_38"/>
    <s v="Station_7"/>
    <d v="1899-12-30T10:15:00"/>
    <d v="1899-12-30T10:50:00"/>
    <n v="18"/>
    <n v="10"/>
    <x v="5"/>
    <n v="11.4"/>
    <n v="79"/>
    <n v="47"/>
    <n v="3.5"/>
    <x v="0"/>
    <n v="0"/>
    <n v="12"/>
    <x v="0"/>
    <x v="1"/>
    <x v="0"/>
    <x v="0"/>
    <x v="1"/>
    <x v="2"/>
  </r>
  <r>
    <s v="T01366"/>
    <d v="2023-01-15T00:00:00"/>
    <d v="1899-12-30T10:30:00"/>
    <x v="0"/>
    <x v="6"/>
    <s v="Station_2"/>
    <s v="Station_19"/>
    <d v="1899-12-30T10:31:00"/>
    <d v="1899-12-30T11:07:00"/>
    <n v="16"/>
    <n v="2"/>
    <x v="2"/>
    <n v="19.100000000000001"/>
    <n v="65"/>
    <n v="17"/>
    <n v="1.1000000000000001"/>
    <x v="0"/>
    <n v="0"/>
    <n v="83"/>
    <x v="0"/>
    <x v="1"/>
    <x v="0"/>
    <x v="0"/>
    <x v="0"/>
    <x v="0"/>
  </r>
  <r>
    <s v="T01367"/>
    <d v="2023-01-15T00:00:00"/>
    <d v="1899-12-30T10:45:00"/>
    <x v="3"/>
    <x v="4"/>
    <s v="Station_36"/>
    <s v="Station_22"/>
    <d v="1899-12-30T10:47:00"/>
    <d v="1899-12-30T11:11:00"/>
    <n v="15"/>
    <n v="-3"/>
    <x v="4"/>
    <n v="20.399999999999999"/>
    <n v="55"/>
    <n v="12"/>
    <n v="17"/>
    <x v="3"/>
    <n v="10000"/>
    <n v="69"/>
    <x v="0"/>
    <x v="1"/>
    <x v="0"/>
    <x v="2"/>
    <x v="0"/>
    <x v="0"/>
  </r>
  <r>
    <s v="T01368"/>
    <d v="2023-01-15T00:00:00"/>
    <d v="1899-12-30T11:00:00"/>
    <x v="2"/>
    <x v="9"/>
    <s v="Station_26"/>
    <s v="Station_35"/>
    <d v="1899-12-30T11:02:00"/>
    <d v="1899-12-30T11:55:00"/>
    <n v="12"/>
    <n v="18"/>
    <x v="5"/>
    <n v="-3.3"/>
    <n v="62"/>
    <n v="41"/>
    <n v="11.3"/>
    <x v="0"/>
    <n v="0"/>
    <n v="49"/>
    <x v="0"/>
    <x v="0"/>
    <x v="0"/>
    <x v="1"/>
    <x v="1"/>
    <x v="1"/>
  </r>
  <r>
    <s v="T01369"/>
    <d v="2023-01-15T00:00:00"/>
    <d v="1899-12-30T11:15:00"/>
    <x v="3"/>
    <x v="0"/>
    <s v="Station_11"/>
    <s v="Station_30"/>
    <d v="1899-12-30T11:19:00"/>
    <d v="1899-12-30T12:04:00"/>
    <n v="-1"/>
    <n v="7"/>
    <x v="3"/>
    <n v="35"/>
    <n v="97"/>
    <n v="5"/>
    <n v="2.6"/>
    <x v="3"/>
    <n v="0"/>
    <n v="7"/>
    <x v="0"/>
    <x v="1"/>
    <x v="0"/>
    <x v="2"/>
    <x v="1"/>
    <x v="2"/>
  </r>
  <r>
    <s v="T01370"/>
    <d v="2023-01-15T00:00:00"/>
    <d v="1899-12-30T11:30:00"/>
    <x v="0"/>
    <x v="0"/>
    <s v="Station_8"/>
    <s v="Station_29"/>
    <d v="1899-12-30T11:30:00"/>
    <d v="1899-12-30T11:56:00"/>
    <n v="11"/>
    <n v="-1"/>
    <x v="2"/>
    <n v="9.6"/>
    <n v="37"/>
    <n v="9"/>
    <n v="7.7"/>
    <x v="0"/>
    <n v="0"/>
    <n v="29"/>
    <x v="0"/>
    <x v="0"/>
    <x v="0"/>
    <x v="2"/>
    <x v="0"/>
    <x v="2"/>
  </r>
  <r>
    <s v="T01371"/>
    <d v="2023-01-15T00:00:00"/>
    <d v="1899-12-30T11:45:00"/>
    <x v="0"/>
    <x v="2"/>
    <s v="Station_44"/>
    <s v="Station_22"/>
    <d v="1899-12-30T11:46:00"/>
    <d v="1899-12-30T12:19:00"/>
    <n v="18"/>
    <n v="2"/>
    <x v="4"/>
    <n v="-2.5"/>
    <n v="95"/>
    <n v="36"/>
    <n v="1.7"/>
    <x v="0"/>
    <n v="0"/>
    <n v="39"/>
    <x v="0"/>
    <x v="1"/>
    <x v="0"/>
    <x v="3"/>
    <x v="0"/>
    <x v="1"/>
  </r>
  <r>
    <s v="T01372"/>
    <d v="2023-01-15T00:00:00"/>
    <d v="1899-12-30T12:00:00"/>
    <x v="1"/>
    <x v="13"/>
    <s v="Station_40"/>
    <s v="Station_11"/>
    <d v="1899-12-30T12:02:00"/>
    <d v="1899-12-30T12:59:00"/>
    <n v="7"/>
    <n v="2"/>
    <x v="0"/>
    <n v="29.1"/>
    <n v="52"/>
    <n v="28"/>
    <n v="12.8"/>
    <x v="4"/>
    <n v="0"/>
    <n v="78"/>
    <x v="0"/>
    <x v="1"/>
    <x v="0"/>
    <x v="1"/>
    <x v="0"/>
    <x v="0"/>
  </r>
  <r>
    <s v="T01373"/>
    <d v="2023-01-15T00:00:00"/>
    <d v="1899-12-30T12:15:00"/>
    <x v="3"/>
    <x v="4"/>
    <s v="Station_43"/>
    <s v="Station_20"/>
    <d v="1899-12-30T12:16:00"/>
    <d v="1899-12-30T12:53:00"/>
    <n v="13"/>
    <n v="16"/>
    <x v="3"/>
    <n v="34.700000000000003"/>
    <n v="99"/>
    <n v="5"/>
    <n v="5.6"/>
    <x v="2"/>
    <n v="2000"/>
    <n v="73"/>
    <x v="0"/>
    <x v="0"/>
    <x v="0"/>
    <x v="3"/>
    <x v="1"/>
    <x v="0"/>
  </r>
  <r>
    <s v="T01374"/>
    <d v="2023-01-15T00:00:00"/>
    <d v="1899-12-30T12:30:00"/>
    <x v="0"/>
    <x v="8"/>
    <s v="Station_22"/>
    <s v="Station_29"/>
    <d v="1899-12-30T12:33:00"/>
    <d v="1899-12-30T13:26:00"/>
    <n v="4"/>
    <n v="17"/>
    <x v="5"/>
    <n v="27.7"/>
    <n v="84"/>
    <n v="38"/>
    <n v="17.3"/>
    <x v="0"/>
    <n v="10000"/>
    <n v="32"/>
    <x v="0"/>
    <x v="1"/>
    <x v="0"/>
    <x v="0"/>
    <x v="1"/>
    <x v="2"/>
  </r>
  <r>
    <s v="T01375"/>
    <d v="2023-01-15T00:00:00"/>
    <d v="1899-12-30T12:45:00"/>
    <x v="2"/>
    <x v="11"/>
    <s v="Station_20"/>
    <s v="Station_41"/>
    <d v="1899-12-30T12:47:00"/>
    <d v="1899-12-30T13:06:00"/>
    <n v="5"/>
    <n v="-2"/>
    <x v="0"/>
    <n v="29.1"/>
    <n v="72"/>
    <n v="10"/>
    <n v="7.2"/>
    <x v="0"/>
    <n v="10000"/>
    <n v="72"/>
    <x v="0"/>
    <x v="0"/>
    <x v="0"/>
    <x v="1"/>
    <x v="0"/>
    <x v="0"/>
  </r>
  <r>
    <s v="T01376"/>
    <d v="2023-01-15T00:00:00"/>
    <d v="1899-12-30T13:00:00"/>
    <x v="1"/>
    <x v="14"/>
    <s v="Station_8"/>
    <s v="Station_42"/>
    <d v="1899-12-30T13:02:00"/>
    <d v="1899-12-30T13:32:00"/>
    <n v="7"/>
    <n v="22"/>
    <x v="1"/>
    <n v="20"/>
    <n v="50"/>
    <n v="47"/>
    <n v="9.9"/>
    <x v="1"/>
    <n v="0"/>
    <n v="51"/>
    <x v="0"/>
    <x v="1"/>
    <x v="0"/>
    <x v="1"/>
    <x v="1"/>
    <x v="1"/>
  </r>
  <r>
    <s v="T01377"/>
    <d v="2023-01-15T00:00:00"/>
    <d v="1899-12-30T13:15:00"/>
    <x v="2"/>
    <x v="7"/>
    <s v="Station_29"/>
    <s v="Station_34"/>
    <d v="1899-12-30T13:18:00"/>
    <d v="1899-12-30T14:14:00"/>
    <n v="12"/>
    <n v="27"/>
    <x v="3"/>
    <n v="31.9"/>
    <n v="51"/>
    <n v="24"/>
    <n v="1.3"/>
    <x v="3"/>
    <n v="0"/>
    <n v="32"/>
    <x v="0"/>
    <x v="1"/>
    <x v="0"/>
    <x v="2"/>
    <x v="1"/>
    <x v="2"/>
  </r>
  <r>
    <s v="T01378"/>
    <d v="2023-01-15T00:00:00"/>
    <d v="1899-12-30T13:30:00"/>
    <x v="3"/>
    <x v="1"/>
    <s v="Station_40"/>
    <s v="Station_1"/>
    <d v="1899-12-30T13:34:00"/>
    <d v="1899-12-30T14:20:00"/>
    <n v="5"/>
    <n v="22"/>
    <x v="3"/>
    <n v="-3.6"/>
    <n v="38"/>
    <n v="43"/>
    <n v="5.5"/>
    <x v="4"/>
    <n v="10000"/>
    <n v="72"/>
    <x v="0"/>
    <x v="0"/>
    <x v="0"/>
    <x v="0"/>
    <x v="1"/>
    <x v="0"/>
  </r>
  <r>
    <s v="T01379"/>
    <d v="2023-01-15T00:00:00"/>
    <d v="1899-12-30T13:45:00"/>
    <x v="3"/>
    <x v="16"/>
    <s v="Station_26"/>
    <s v="Station_31"/>
    <d v="1899-12-30T13:47:00"/>
    <d v="1899-12-30T14:20:00"/>
    <n v="10"/>
    <n v="28"/>
    <x v="4"/>
    <n v="25.7"/>
    <n v="63"/>
    <n v="43"/>
    <n v="13.5"/>
    <x v="0"/>
    <n v="0"/>
    <n v="77"/>
    <x v="0"/>
    <x v="0"/>
    <x v="0"/>
    <x v="2"/>
    <x v="1"/>
    <x v="0"/>
  </r>
  <r>
    <s v="T01380"/>
    <d v="2023-01-15T00:00:00"/>
    <d v="1899-12-30T14:00:00"/>
    <x v="3"/>
    <x v="12"/>
    <s v="Station_30"/>
    <s v="Station_30"/>
    <d v="1899-12-30T14:01:00"/>
    <d v="1899-12-30T14:25:00"/>
    <n v="9"/>
    <n v="6"/>
    <x v="4"/>
    <n v="21.8"/>
    <n v="88"/>
    <n v="29"/>
    <n v="14.7"/>
    <x v="0"/>
    <n v="0"/>
    <n v="95"/>
    <x v="0"/>
    <x v="1"/>
    <x v="0"/>
    <x v="3"/>
    <x v="1"/>
    <x v="0"/>
  </r>
  <r>
    <s v="T01381"/>
    <d v="2023-01-15T00:00:00"/>
    <d v="1899-12-30T14:15:00"/>
    <x v="1"/>
    <x v="2"/>
    <s v="Station_17"/>
    <s v="Station_48"/>
    <d v="1899-12-30T14:15:00"/>
    <d v="1899-12-30T15:02:00"/>
    <n v="5"/>
    <n v="19"/>
    <x v="5"/>
    <n v="-3"/>
    <n v="55"/>
    <n v="54"/>
    <n v="4.9000000000000004"/>
    <x v="5"/>
    <n v="10000"/>
    <n v="36"/>
    <x v="0"/>
    <x v="1"/>
    <x v="0"/>
    <x v="0"/>
    <x v="1"/>
    <x v="1"/>
  </r>
  <r>
    <s v="T01382"/>
    <d v="2023-01-15T00:00:00"/>
    <d v="1899-12-30T14:30:00"/>
    <x v="0"/>
    <x v="15"/>
    <s v="Station_20"/>
    <s v="Station_18"/>
    <d v="1899-12-30T14:31:00"/>
    <d v="1899-12-30T15:21:00"/>
    <n v="12"/>
    <n v="2"/>
    <x v="3"/>
    <n v="16.8"/>
    <n v="30"/>
    <n v="19"/>
    <n v="10.1"/>
    <x v="0"/>
    <n v="2000"/>
    <n v="69"/>
    <x v="0"/>
    <x v="1"/>
    <x v="0"/>
    <x v="2"/>
    <x v="0"/>
    <x v="0"/>
  </r>
  <r>
    <s v="T01383"/>
    <d v="2023-01-15T00:00:00"/>
    <d v="1899-12-30T14:45:00"/>
    <x v="1"/>
    <x v="10"/>
    <s v="Station_16"/>
    <s v="Station_17"/>
    <d v="1899-12-30T14:49:00"/>
    <d v="1899-12-30T15:14:00"/>
    <n v="9"/>
    <n v="19"/>
    <x v="4"/>
    <n v="15.6"/>
    <n v="34"/>
    <n v="57"/>
    <n v="16.399999999999999"/>
    <x v="0"/>
    <n v="0"/>
    <n v="68"/>
    <x v="0"/>
    <x v="1"/>
    <x v="0"/>
    <x v="2"/>
    <x v="1"/>
    <x v="0"/>
  </r>
  <r>
    <s v="T01384"/>
    <d v="2023-01-15T00:00:00"/>
    <d v="1899-12-30T15:00:00"/>
    <x v="2"/>
    <x v="15"/>
    <s v="Station_46"/>
    <s v="Station_38"/>
    <d v="1899-12-30T15:00:00"/>
    <d v="1899-12-30T15:37:00"/>
    <n v="8"/>
    <n v="24"/>
    <x v="1"/>
    <n v="22.7"/>
    <n v="70"/>
    <n v="36"/>
    <n v="7.6"/>
    <x v="0"/>
    <n v="0"/>
    <n v="3"/>
    <x v="0"/>
    <x v="1"/>
    <x v="0"/>
    <x v="2"/>
    <x v="1"/>
    <x v="2"/>
  </r>
  <r>
    <s v="T01385"/>
    <d v="2023-01-15T00:00:00"/>
    <d v="1899-12-30T15:15:00"/>
    <x v="1"/>
    <x v="8"/>
    <s v="Station_43"/>
    <s v="Station_14"/>
    <d v="1899-12-30T15:16:00"/>
    <d v="1899-12-30T15:38:00"/>
    <n v="16"/>
    <n v="26"/>
    <x v="4"/>
    <n v="-1.9"/>
    <n v="92"/>
    <n v="15"/>
    <n v="2.7"/>
    <x v="0"/>
    <n v="0"/>
    <n v="59"/>
    <x v="1"/>
    <x v="1"/>
    <x v="0"/>
    <x v="0"/>
    <x v="1"/>
    <x v="1"/>
  </r>
  <r>
    <s v="T01386"/>
    <d v="2023-01-15T00:00:00"/>
    <d v="1899-12-30T15:30:00"/>
    <x v="2"/>
    <x v="17"/>
    <s v="Station_7"/>
    <s v="Station_23"/>
    <d v="1899-12-30T15:31:00"/>
    <d v="1899-12-30T15:58:00"/>
    <n v="11"/>
    <n v="10"/>
    <x v="3"/>
    <n v="27.2"/>
    <n v="51"/>
    <n v="30"/>
    <n v="8.6"/>
    <x v="0"/>
    <n v="0"/>
    <n v="79"/>
    <x v="1"/>
    <x v="0"/>
    <x v="0"/>
    <x v="3"/>
    <x v="1"/>
    <x v="0"/>
  </r>
  <r>
    <s v="T01387"/>
    <d v="2023-01-15T00:00:00"/>
    <d v="1899-12-30T15:45:00"/>
    <x v="1"/>
    <x v="4"/>
    <s v="Station_16"/>
    <s v="Station_25"/>
    <d v="1899-12-30T15:48:00"/>
    <d v="1899-12-30T16:11:00"/>
    <n v="15"/>
    <n v="28"/>
    <x v="2"/>
    <n v="0.6"/>
    <n v="97"/>
    <n v="28"/>
    <n v="12"/>
    <x v="0"/>
    <n v="0"/>
    <n v="73"/>
    <x v="0"/>
    <x v="0"/>
    <x v="0"/>
    <x v="1"/>
    <x v="1"/>
    <x v="0"/>
  </r>
  <r>
    <s v="T01388"/>
    <d v="2023-01-15T00:00:00"/>
    <d v="1899-12-30T16:00:00"/>
    <x v="0"/>
    <x v="7"/>
    <s v="Station_45"/>
    <s v="Station_15"/>
    <d v="1899-12-30T16:04:00"/>
    <d v="1899-12-30T16:27:00"/>
    <n v="10"/>
    <n v="18"/>
    <x v="0"/>
    <n v="11.7"/>
    <n v="77"/>
    <n v="5"/>
    <n v="0.1"/>
    <x v="1"/>
    <n v="0"/>
    <n v="30"/>
    <x v="0"/>
    <x v="1"/>
    <x v="0"/>
    <x v="2"/>
    <x v="1"/>
    <x v="2"/>
  </r>
  <r>
    <s v="T01389"/>
    <d v="2023-01-15T00:00:00"/>
    <d v="1899-12-30T16:15:00"/>
    <x v="2"/>
    <x v="19"/>
    <s v="Station_47"/>
    <s v="Station_46"/>
    <d v="1899-12-30T16:18:00"/>
    <d v="1899-12-30T16:41:00"/>
    <n v="1"/>
    <n v="27"/>
    <x v="3"/>
    <n v="30.3"/>
    <n v="95"/>
    <n v="28"/>
    <n v="7"/>
    <x v="0"/>
    <n v="0"/>
    <n v="94"/>
    <x v="0"/>
    <x v="0"/>
    <x v="0"/>
    <x v="0"/>
    <x v="1"/>
    <x v="0"/>
  </r>
  <r>
    <s v="T01390"/>
    <d v="2023-01-15T00:00:00"/>
    <d v="1899-12-30T16:30:00"/>
    <x v="3"/>
    <x v="19"/>
    <s v="Station_48"/>
    <s v="Station_22"/>
    <d v="1899-12-30T16:30:00"/>
    <d v="1899-12-30T17:29:00"/>
    <n v="14"/>
    <n v="3"/>
    <x v="1"/>
    <n v="17.399999999999999"/>
    <n v="45"/>
    <n v="31"/>
    <n v="12.1"/>
    <x v="0"/>
    <n v="2000"/>
    <n v="13"/>
    <x v="0"/>
    <x v="1"/>
    <x v="0"/>
    <x v="1"/>
    <x v="0"/>
    <x v="2"/>
  </r>
  <r>
    <s v="T01391"/>
    <d v="2023-01-15T00:00:00"/>
    <d v="1899-12-30T16:45:00"/>
    <x v="3"/>
    <x v="4"/>
    <s v="Station_27"/>
    <s v="Station_3"/>
    <d v="1899-12-30T16:48:00"/>
    <d v="1899-12-30T17:07:00"/>
    <n v="16"/>
    <n v="17"/>
    <x v="3"/>
    <n v="10.199999999999999"/>
    <n v="82"/>
    <n v="8"/>
    <n v="19"/>
    <x v="0"/>
    <n v="2000"/>
    <n v="76"/>
    <x v="0"/>
    <x v="1"/>
    <x v="0"/>
    <x v="2"/>
    <x v="1"/>
    <x v="0"/>
  </r>
  <r>
    <s v="T01392"/>
    <d v="2023-01-15T00:00:00"/>
    <d v="1899-12-30T17:00:00"/>
    <x v="1"/>
    <x v="6"/>
    <s v="Station_23"/>
    <s v="Station_19"/>
    <d v="1899-12-30T17:04:00"/>
    <d v="1899-12-30T17:36:00"/>
    <n v="6"/>
    <n v="12"/>
    <x v="1"/>
    <n v="-3.1"/>
    <n v="94"/>
    <n v="36"/>
    <n v="8.1999999999999993"/>
    <x v="5"/>
    <n v="500"/>
    <n v="59"/>
    <x v="0"/>
    <x v="0"/>
    <x v="0"/>
    <x v="0"/>
    <x v="1"/>
    <x v="1"/>
  </r>
  <r>
    <s v="T01393"/>
    <d v="2023-01-15T00:00:00"/>
    <d v="1899-12-30T17:15:00"/>
    <x v="3"/>
    <x v="2"/>
    <s v="Station_24"/>
    <s v="Station_44"/>
    <d v="1899-12-30T17:17:00"/>
    <d v="1899-12-30T17:36:00"/>
    <n v="4"/>
    <n v="16"/>
    <x v="3"/>
    <n v="21.9"/>
    <n v="93"/>
    <n v="52"/>
    <n v="3.3"/>
    <x v="4"/>
    <n v="0"/>
    <n v="67"/>
    <x v="1"/>
    <x v="0"/>
    <x v="0"/>
    <x v="3"/>
    <x v="1"/>
    <x v="0"/>
  </r>
  <r>
    <s v="T01394"/>
    <d v="2023-01-15T00:00:00"/>
    <d v="1899-12-30T17:30:00"/>
    <x v="2"/>
    <x v="17"/>
    <s v="Station_9"/>
    <s v="Station_34"/>
    <d v="1899-12-30T17:32:00"/>
    <d v="1899-12-30T18:04:00"/>
    <n v="-2"/>
    <n v="15"/>
    <x v="0"/>
    <n v="34.5"/>
    <n v="97"/>
    <n v="22"/>
    <n v="10.7"/>
    <x v="0"/>
    <n v="0"/>
    <n v="25"/>
    <x v="0"/>
    <x v="1"/>
    <x v="0"/>
    <x v="2"/>
    <x v="1"/>
    <x v="2"/>
  </r>
  <r>
    <s v="T01395"/>
    <d v="2023-01-15T00:00:00"/>
    <d v="1899-12-30T17:45:00"/>
    <x v="3"/>
    <x v="6"/>
    <s v="Station_35"/>
    <s v="Station_35"/>
    <d v="1899-12-30T17:45:00"/>
    <d v="1899-12-30T18:33:00"/>
    <n v="4"/>
    <n v="28"/>
    <x v="0"/>
    <n v="31.5"/>
    <n v="92"/>
    <n v="15"/>
    <n v="5.7"/>
    <x v="0"/>
    <n v="0"/>
    <n v="23"/>
    <x v="0"/>
    <x v="0"/>
    <x v="0"/>
    <x v="0"/>
    <x v="1"/>
    <x v="2"/>
  </r>
  <r>
    <s v="T01396"/>
    <d v="2023-01-15T00:00:00"/>
    <d v="1899-12-30T18:00:00"/>
    <x v="0"/>
    <x v="18"/>
    <s v="Station_20"/>
    <s v="Station_50"/>
    <d v="1899-12-30T18:02:00"/>
    <d v="1899-12-30T18:41:00"/>
    <n v="4"/>
    <n v="11"/>
    <x v="1"/>
    <n v="23.7"/>
    <n v="91"/>
    <n v="17"/>
    <n v="4.3"/>
    <x v="0"/>
    <n v="0"/>
    <n v="55"/>
    <x v="0"/>
    <x v="1"/>
    <x v="0"/>
    <x v="2"/>
    <x v="1"/>
    <x v="1"/>
  </r>
  <r>
    <s v="T01397"/>
    <d v="2023-01-15T00:00:00"/>
    <d v="1899-12-30T18:15:00"/>
    <x v="0"/>
    <x v="7"/>
    <s v="Station_37"/>
    <s v="Station_1"/>
    <d v="1899-12-30T18:18:00"/>
    <d v="1899-12-30T18:38:00"/>
    <n v="17"/>
    <n v="1"/>
    <x v="3"/>
    <n v="-0.8"/>
    <n v="74"/>
    <n v="18"/>
    <n v="11.8"/>
    <x v="5"/>
    <n v="50000"/>
    <n v="8"/>
    <x v="0"/>
    <x v="0"/>
    <x v="0"/>
    <x v="0"/>
    <x v="0"/>
    <x v="2"/>
  </r>
  <r>
    <s v="T01398"/>
    <d v="2023-01-15T00:00:00"/>
    <d v="1899-12-30T18:30:00"/>
    <x v="1"/>
    <x v="13"/>
    <s v="Station_42"/>
    <s v="Station_21"/>
    <d v="1899-12-30T18:30:00"/>
    <d v="1899-12-30T18:55:00"/>
    <n v="4"/>
    <n v="7"/>
    <x v="0"/>
    <n v="4.5999999999999996"/>
    <n v="81"/>
    <n v="43"/>
    <n v="18.3"/>
    <x v="0"/>
    <n v="500"/>
    <n v="34"/>
    <x v="0"/>
    <x v="1"/>
    <x v="0"/>
    <x v="3"/>
    <x v="1"/>
    <x v="1"/>
  </r>
  <r>
    <s v="T01399"/>
    <d v="2023-01-15T00:00:00"/>
    <d v="1899-12-30T18:45:00"/>
    <x v="2"/>
    <x v="3"/>
    <s v="Station_17"/>
    <s v="Station_29"/>
    <d v="1899-12-30T18:49:00"/>
    <d v="1899-12-30T19:42:00"/>
    <n v="5"/>
    <n v="11"/>
    <x v="5"/>
    <n v="2.5"/>
    <n v="94"/>
    <n v="1"/>
    <n v="16.7"/>
    <x v="0"/>
    <n v="0"/>
    <n v="78"/>
    <x v="0"/>
    <x v="0"/>
    <x v="0"/>
    <x v="3"/>
    <x v="1"/>
    <x v="0"/>
  </r>
  <r>
    <s v="T01400"/>
    <d v="2023-01-15T00:00:00"/>
    <d v="1899-12-30T19:00:00"/>
    <x v="0"/>
    <x v="9"/>
    <s v="Station_47"/>
    <s v="Station_6"/>
    <d v="1899-12-30T19:00:00"/>
    <d v="1899-12-30T19:45:00"/>
    <n v="13"/>
    <n v="25"/>
    <x v="3"/>
    <n v="9.1999999999999993"/>
    <n v="31"/>
    <n v="57"/>
    <n v="3.6"/>
    <x v="1"/>
    <n v="0"/>
    <n v="23"/>
    <x v="0"/>
    <x v="1"/>
    <x v="0"/>
    <x v="0"/>
    <x v="1"/>
    <x v="2"/>
  </r>
  <r>
    <s v="T01401"/>
    <d v="2023-01-15T00:00:00"/>
    <d v="1899-12-30T19:15:00"/>
    <x v="0"/>
    <x v="1"/>
    <s v="Station_31"/>
    <s v="Station_37"/>
    <d v="1899-12-30T19:15:00"/>
    <d v="1899-12-30T19:45:00"/>
    <n v="0"/>
    <n v="0"/>
    <x v="0"/>
    <n v="4.4000000000000004"/>
    <n v="78"/>
    <n v="9"/>
    <n v="15.3"/>
    <x v="4"/>
    <n v="0"/>
    <n v="30"/>
    <x v="0"/>
    <x v="1"/>
    <x v="0"/>
    <x v="1"/>
    <x v="0"/>
    <x v="2"/>
  </r>
  <r>
    <s v="T01402"/>
    <d v="2023-01-15T00:00:00"/>
    <d v="1899-12-30T19:30:00"/>
    <x v="2"/>
    <x v="17"/>
    <s v="Station_8"/>
    <s v="Station_1"/>
    <d v="1899-12-30T19:31:00"/>
    <d v="1899-12-30T20:15:00"/>
    <n v="10"/>
    <n v="19"/>
    <x v="2"/>
    <n v="4.8"/>
    <n v="51"/>
    <n v="11"/>
    <n v="4.5999999999999996"/>
    <x v="0"/>
    <n v="0"/>
    <n v="82"/>
    <x v="0"/>
    <x v="1"/>
    <x v="0"/>
    <x v="3"/>
    <x v="1"/>
    <x v="0"/>
  </r>
  <r>
    <s v="T01403"/>
    <d v="2023-01-15T00:00:00"/>
    <d v="1899-12-30T19:45:00"/>
    <x v="3"/>
    <x v="13"/>
    <s v="Station_15"/>
    <s v="Station_1"/>
    <d v="1899-12-30T19:46:00"/>
    <d v="1899-12-30T20:21:00"/>
    <n v="7"/>
    <n v="11"/>
    <x v="2"/>
    <n v="19.7"/>
    <n v="58"/>
    <n v="45"/>
    <n v="5.8"/>
    <x v="0"/>
    <n v="0"/>
    <n v="65"/>
    <x v="0"/>
    <x v="1"/>
    <x v="0"/>
    <x v="2"/>
    <x v="1"/>
    <x v="1"/>
  </r>
  <r>
    <s v="T01404"/>
    <d v="2023-01-15T00:00:00"/>
    <d v="1899-12-30T20:00:00"/>
    <x v="3"/>
    <x v="2"/>
    <s v="Station_31"/>
    <s v="Station_27"/>
    <d v="1899-12-30T20:00:00"/>
    <d v="1899-12-30T20:43:00"/>
    <n v="15"/>
    <n v="-1"/>
    <x v="5"/>
    <n v="7.7"/>
    <n v="64"/>
    <n v="17"/>
    <n v="18.399999999999999"/>
    <x v="0"/>
    <n v="0"/>
    <n v="65"/>
    <x v="0"/>
    <x v="1"/>
    <x v="0"/>
    <x v="3"/>
    <x v="0"/>
    <x v="1"/>
  </r>
  <r>
    <s v="T01405"/>
    <d v="2023-01-15T00:00:00"/>
    <d v="1899-12-30T20:15:00"/>
    <x v="1"/>
    <x v="19"/>
    <s v="Station_30"/>
    <s v="Station_21"/>
    <d v="1899-12-30T20:17:00"/>
    <d v="1899-12-30T21:02:00"/>
    <n v="4"/>
    <n v="28"/>
    <x v="0"/>
    <n v="22.1"/>
    <n v="53"/>
    <n v="18"/>
    <n v="18.2"/>
    <x v="0"/>
    <n v="0"/>
    <n v="40"/>
    <x v="0"/>
    <x v="0"/>
    <x v="0"/>
    <x v="2"/>
    <x v="1"/>
    <x v="1"/>
  </r>
  <r>
    <s v="T01406"/>
    <d v="2023-01-15T00:00:00"/>
    <d v="1899-12-30T20:30:00"/>
    <x v="3"/>
    <x v="10"/>
    <s v="Station_46"/>
    <s v="Station_16"/>
    <d v="1899-12-30T20:31:00"/>
    <d v="1899-12-30T21:24:00"/>
    <n v="18"/>
    <n v="6"/>
    <x v="2"/>
    <n v="32.9"/>
    <n v="59"/>
    <n v="37"/>
    <n v="3.4"/>
    <x v="0"/>
    <n v="0"/>
    <n v="35"/>
    <x v="0"/>
    <x v="0"/>
    <x v="0"/>
    <x v="3"/>
    <x v="1"/>
    <x v="1"/>
  </r>
  <r>
    <s v="T01407"/>
    <d v="2023-01-15T00:00:00"/>
    <d v="1899-12-30T20:45:00"/>
    <x v="2"/>
    <x v="10"/>
    <s v="Station_20"/>
    <s v="Station_44"/>
    <d v="1899-12-30T20:49:00"/>
    <d v="1899-12-30T21:35:00"/>
    <n v="18"/>
    <n v="18"/>
    <x v="3"/>
    <n v="20.5"/>
    <n v="71"/>
    <n v="36"/>
    <n v="1.3"/>
    <x v="3"/>
    <n v="500"/>
    <n v="33"/>
    <x v="0"/>
    <x v="1"/>
    <x v="0"/>
    <x v="3"/>
    <x v="1"/>
    <x v="2"/>
  </r>
  <r>
    <s v="T01408"/>
    <d v="2023-01-15T00:00:00"/>
    <d v="1899-12-30T21:00:00"/>
    <x v="0"/>
    <x v="16"/>
    <s v="Station_39"/>
    <s v="Station_40"/>
    <d v="1899-12-30T21:03:00"/>
    <d v="1899-12-30T21:32:00"/>
    <n v="2"/>
    <n v="10"/>
    <x v="4"/>
    <n v="25.1"/>
    <n v="79"/>
    <n v="26"/>
    <n v="5.9"/>
    <x v="0"/>
    <n v="0"/>
    <n v="38"/>
    <x v="0"/>
    <x v="0"/>
    <x v="0"/>
    <x v="2"/>
    <x v="1"/>
    <x v="1"/>
  </r>
  <r>
    <s v="T01409"/>
    <d v="2023-01-15T00:00:00"/>
    <d v="1899-12-30T21:15:00"/>
    <x v="3"/>
    <x v="18"/>
    <s v="Station_12"/>
    <s v="Station_26"/>
    <d v="1899-12-30T21:16:00"/>
    <d v="1899-12-30T22:09:00"/>
    <n v="19"/>
    <n v="13"/>
    <x v="0"/>
    <n v="25.1"/>
    <n v="89"/>
    <n v="47"/>
    <n v="11.6"/>
    <x v="4"/>
    <n v="10000"/>
    <n v="82"/>
    <x v="0"/>
    <x v="1"/>
    <x v="0"/>
    <x v="3"/>
    <x v="1"/>
    <x v="0"/>
  </r>
  <r>
    <s v="T01410"/>
    <d v="2023-01-15T00:00:00"/>
    <d v="1899-12-30T21:30:00"/>
    <x v="1"/>
    <x v="7"/>
    <s v="Station_49"/>
    <s v="Station_16"/>
    <d v="1899-12-30T21:30:00"/>
    <d v="1899-12-30T22:05:00"/>
    <n v="4"/>
    <n v="17"/>
    <x v="5"/>
    <n v="8.1999999999999993"/>
    <n v="59"/>
    <n v="13"/>
    <n v="17.5"/>
    <x v="0"/>
    <n v="0"/>
    <n v="22"/>
    <x v="0"/>
    <x v="1"/>
    <x v="0"/>
    <x v="2"/>
    <x v="1"/>
    <x v="2"/>
  </r>
  <r>
    <s v="T01411"/>
    <d v="2023-01-15T00:00:00"/>
    <d v="1899-12-30T21:45:00"/>
    <x v="3"/>
    <x v="6"/>
    <s v="Station_17"/>
    <s v="Station_28"/>
    <d v="1899-12-30T21:47:00"/>
    <d v="1899-12-30T22:19:00"/>
    <n v="19"/>
    <n v="11"/>
    <x v="0"/>
    <n v="-4.4000000000000004"/>
    <n v="41"/>
    <n v="44"/>
    <n v="2.4"/>
    <x v="0"/>
    <n v="10000"/>
    <n v="79"/>
    <x v="1"/>
    <x v="0"/>
    <x v="0"/>
    <x v="2"/>
    <x v="1"/>
    <x v="0"/>
  </r>
  <r>
    <s v="T01412"/>
    <d v="2023-01-15T00:00:00"/>
    <d v="1899-12-30T22:00:00"/>
    <x v="2"/>
    <x v="15"/>
    <s v="Station_42"/>
    <s v="Station_1"/>
    <d v="1899-12-30T22:03:00"/>
    <d v="1899-12-30T22:37:00"/>
    <n v="14"/>
    <n v="11"/>
    <x v="1"/>
    <n v="-2.8"/>
    <n v="78"/>
    <n v="52"/>
    <n v="8.3000000000000007"/>
    <x v="5"/>
    <n v="0"/>
    <n v="43"/>
    <x v="0"/>
    <x v="1"/>
    <x v="0"/>
    <x v="3"/>
    <x v="1"/>
    <x v="1"/>
  </r>
  <r>
    <s v="T01413"/>
    <d v="2023-01-15T00:00:00"/>
    <d v="1899-12-30T22:15:00"/>
    <x v="1"/>
    <x v="19"/>
    <s v="Station_30"/>
    <s v="Station_36"/>
    <d v="1899-12-30T22:16:00"/>
    <d v="1899-12-30T23:11:00"/>
    <n v="1"/>
    <n v="-3"/>
    <x v="1"/>
    <n v="6.3"/>
    <n v="75"/>
    <n v="33"/>
    <n v="5.4"/>
    <x v="4"/>
    <n v="0"/>
    <n v="69"/>
    <x v="0"/>
    <x v="0"/>
    <x v="0"/>
    <x v="3"/>
    <x v="0"/>
    <x v="0"/>
  </r>
  <r>
    <s v="T01414"/>
    <d v="2023-01-15T00:00:00"/>
    <d v="1899-12-30T22:30:00"/>
    <x v="3"/>
    <x v="18"/>
    <s v="Station_29"/>
    <s v="Station_10"/>
    <d v="1899-12-30T22:32:00"/>
    <d v="1899-12-30T23:16:00"/>
    <n v="13"/>
    <n v="20"/>
    <x v="2"/>
    <n v="22.6"/>
    <n v="72"/>
    <n v="1"/>
    <n v="0.3"/>
    <x v="3"/>
    <n v="0"/>
    <n v="57"/>
    <x v="0"/>
    <x v="0"/>
    <x v="0"/>
    <x v="2"/>
    <x v="1"/>
    <x v="1"/>
  </r>
  <r>
    <s v="T01415"/>
    <d v="2023-01-15T00:00:00"/>
    <d v="1899-12-30T22:45:00"/>
    <x v="1"/>
    <x v="14"/>
    <s v="Station_19"/>
    <s v="Station_43"/>
    <d v="1899-12-30T22:47:00"/>
    <d v="1899-12-30T23:39:00"/>
    <n v="16"/>
    <n v="8"/>
    <x v="1"/>
    <n v="31.3"/>
    <n v="31"/>
    <n v="43"/>
    <n v="15.8"/>
    <x v="0"/>
    <n v="0"/>
    <n v="58"/>
    <x v="0"/>
    <x v="1"/>
    <x v="0"/>
    <x v="0"/>
    <x v="1"/>
    <x v="1"/>
  </r>
  <r>
    <s v="T01416"/>
    <d v="2023-01-15T00:00:00"/>
    <d v="1899-12-30T23:00:00"/>
    <x v="2"/>
    <x v="16"/>
    <s v="Station_46"/>
    <s v="Station_17"/>
    <d v="1899-12-30T23:02:00"/>
    <d v="1899-12-30T23:54:00"/>
    <n v="7"/>
    <n v="6"/>
    <x v="5"/>
    <n v="33.4"/>
    <n v="83"/>
    <n v="32"/>
    <n v="16.3"/>
    <x v="0"/>
    <n v="0"/>
    <n v="25"/>
    <x v="0"/>
    <x v="1"/>
    <x v="0"/>
    <x v="3"/>
    <x v="1"/>
    <x v="2"/>
  </r>
  <r>
    <s v="T01417"/>
    <d v="2023-01-15T00:00:00"/>
    <d v="1899-12-30T23:15:00"/>
    <x v="0"/>
    <x v="6"/>
    <s v="Station_11"/>
    <s v="Station_23"/>
    <d v="1899-12-30T23:15:00"/>
    <d v="1899-12-30T00:02:00"/>
    <n v="0"/>
    <n v="27"/>
    <x v="2"/>
    <n v="-4"/>
    <n v="64"/>
    <n v="18"/>
    <n v="4.4000000000000004"/>
    <x v="0"/>
    <n v="0"/>
    <n v="21"/>
    <x v="0"/>
    <x v="1"/>
    <x v="0"/>
    <x v="1"/>
    <x v="1"/>
    <x v="2"/>
  </r>
  <r>
    <s v="T01418"/>
    <d v="2023-01-15T00:00:00"/>
    <d v="1899-12-30T23:30:00"/>
    <x v="2"/>
    <x v="15"/>
    <s v="Station_34"/>
    <s v="Station_7"/>
    <d v="1899-12-30T23:34:00"/>
    <d v="1899-12-30T00:28:00"/>
    <n v="0"/>
    <n v="7"/>
    <x v="5"/>
    <n v="34.6"/>
    <n v="81"/>
    <n v="59"/>
    <n v="3"/>
    <x v="0"/>
    <n v="10000"/>
    <n v="87"/>
    <x v="0"/>
    <x v="0"/>
    <x v="0"/>
    <x v="3"/>
    <x v="1"/>
    <x v="0"/>
  </r>
  <r>
    <s v="T01419"/>
    <d v="2023-01-15T00:00:00"/>
    <d v="1899-12-30T23:45:00"/>
    <x v="2"/>
    <x v="9"/>
    <s v="Station_50"/>
    <s v="Station_44"/>
    <d v="1899-12-30T23:47:00"/>
    <d v="1899-12-30T00:42:00"/>
    <n v="14"/>
    <n v="12"/>
    <x v="3"/>
    <n v="7.9"/>
    <n v="62"/>
    <n v="59"/>
    <n v="2.9"/>
    <x v="0"/>
    <n v="0"/>
    <n v="39"/>
    <x v="0"/>
    <x v="1"/>
    <x v="0"/>
    <x v="0"/>
    <x v="1"/>
    <x v="1"/>
  </r>
  <r>
    <s v="T01420"/>
    <d v="2023-01-16T00:00:00"/>
    <d v="1899-12-30T00:00:00"/>
    <x v="2"/>
    <x v="14"/>
    <s v="Station_7"/>
    <s v="Station_7"/>
    <d v="1899-12-30T00:03:00"/>
    <d v="1899-12-30T00:28:00"/>
    <n v="7"/>
    <n v="5"/>
    <x v="5"/>
    <n v="28.7"/>
    <n v="80"/>
    <n v="26"/>
    <n v="9.3000000000000007"/>
    <x v="5"/>
    <n v="0"/>
    <n v="84"/>
    <x v="0"/>
    <x v="1"/>
    <x v="1"/>
    <x v="0"/>
    <x v="0"/>
    <x v="0"/>
  </r>
  <r>
    <s v="T01421"/>
    <d v="2023-01-16T00:00:00"/>
    <d v="1899-12-30T00:15:00"/>
    <x v="2"/>
    <x v="7"/>
    <s v="Station_44"/>
    <s v="Station_44"/>
    <d v="1899-12-30T00:16:00"/>
    <d v="1899-12-30T00:46:00"/>
    <n v="14"/>
    <n v="10"/>
    <x v="1"/>
    <n v="2.2000000000000002"/>
    <n v="55"/>
    <n v="47"/>
    <n v="4.9000000000000004"/>
    <x v="0"/>
    <n v="0"/>
    <n v="93"/>
    <x v="0"/>
    <x v="1"/>
    <x v="1"/>
    <x v="3"/>
    <x v="1"/>
    <x v="0"/>
  </r>
  <r>
    <s v="T01422"/>
    <d v="2023-01-16T00:00:00"/>
    <d v="1899-12-30T00:30:00"/>
    <x v="0"/>
    <x v="8"/>
    <s v="Station_34"/>
    <s v="Station_15"/>
    <d v="1899-12-30T00:33:00"/>
    <d v="1899-12-30T01:04:00"/>
    <n v="19"/>
    <n v="15"/>
    <x v="3"/>
    <n v="-2.5"/>
    <n v="91"/>
    <n v="29"/>
    <n v="10.199999999999999"/>
    <x v="5"/>
    <n v="0"/>
    <n v="10"/>
    <x v="0"/>
    <x v="1"/>
    <x v="1"/>
    <x v="3"/>
    <x v="1"/>
    <x v="2"/>
  </r>
  <r>
    <s v="T01423"/>
    <d v="2023-01-16T00:00:00"/>
    <d v="1899-12-30T00:45:00"/>
    <x v="0"/>
    <x v="7"/>
    <s v="Station_20"/>
    <s v="Station_34"/>
    <d v="1899-12-30T00:45:00"/>
    <d v="1899-12-30T01:25:00"/>
    <n v="14"/>
    <n v="27"/>
    <x v="1"/>
    <n v="10.1"/>
    <n v="90"/>
    <n v="6"/>
    <n v="7.7"/>
    <x v="0"/>
    <n v="10000"/>
    <n v="8"/>
    <x v="1"/>
    <x v="0"/>
    <x v="1"/>
    <x v="1"/>
    <x v="1"/>
    <x v="2"/>
  </r>
  <r>
    <s v="T01424"/>
    <d v="2023-01-16T00:00:00"/>
    <d v="1899-12-30T01:00:00"/>
    <x v="1"/>
    <x v="3"/>
    <s v="Station_50"/>
    <s v="Station_46"/>
    <d v="1899-12-30T01:00:00"/>
    <d v="1899-12-30T01:54:00"/>
    <n v="18"/>
    <n v="5"/>
    <x v="5"/>
    <n v="29.4"/>
    <n v="55"/>
    <n v="26"/>
    <n v="4.2"/>
    <x v="4"/>
    <n v="50000"/>
    <n v="11"/>
    <x v="0"/>
    <x v="1"/>
    <x v="1"/>
    <x v="3"/>
    <x v="0"/>
    <x v="2"/>
  </r>
  <r>
    <s v="T01425"/>
    <d v="2023-01-16T00:00:00"/>
    <d v="1899-12-30T01:15:00"/>
    <x v="3"/>
    <x v="1"/>
    <s v="Station_38"/>
    <s v="Station_45"/>
    <d v="1899-12-30T01:18:00"/>
    <d v="1899-12-30T02:07:00"/>
    <n v="1"/>
    <n v="22"/>
    <x v="1"/>
    <n v="3.8"/>
    <n v="66"/>
    <n v="20"/>
    <n v="15"/>
    <x v="0"/>
    <n v="0"/>
    <n v="25"/>
    <x v="1"/>
    <x v="0"/>
    <x v="1"/>
    <x v="0"/>
    <x v="1"/>
    <x v="2"/>
  </r>
  <r>
    <s v="T01426"/>
    <d v="2023-01-16T00:00:00"/>
    <d v="1899-12-30T01:30:00"/>
    <x v="0"/>
    <x v="17"/>
    <s v="Station_24"/>
    <s v="Station_4"/>
    <d v="1899-12-30T01:34:00"/>
    <d v="1899-12-30T02:08:00"/>
    <n v="18"/>
    <n v="4"/>
    <x v="1"/>
    <n v="1.2"/>
    <n v="59"/>
    <n v="6"/>
    <n v="3"/>
    <x v="0"/>
    <n v="0"/>
    <n v="37"/>
    <x v="0"/>
    <x v="1"/>
    <x v="1"/>
    <x v="1"/>
    <x v="0"/>
    <x v="1"/>
  </r>
  <r>
    <s v="T01427"/>
    <d v="2023-01-16T00:00:00"/>
    <d v="1899-12-30T01:45:00"/>
    <x v="0"/>
    <x v="16"/>
    <s v="Station_10"/>
    <s v="Station_14"/>
    <d v="1899-12-30T01:45:00"/>
    <d v="1899-12-30T02:27:00"/>
    <n v="3"/>
    <n v="20"/>
    <x v="1"/>
    <n v="31.4"/>
    <n v="40"/>
    <n v="47"/>
    <n v="16"/>
    <x v="5"/>
    <n v="10000"/>
    <n v="2"/>
    <x v="0"/>
    <x v="1"/>
    <x v="1"/>
    <x v="3"/>
    <x v="1"/>
    <x v="2"/>
  </r>
  <r>
    <s v="T01428"/>
    <d v="2023-01-16T00:00:00"/>
    <d v="1899-12-30T02:00:00"/>
    <x v="3"/>
    <x v="0"/>
    <s v="Station_32"/>
    <s v="Station_14"/>
    <d v="1899-12-30T02:00:00"/>
    <d v="1899-12-30T02:32:00"/>
    <n v="9"/>
    <n v="4"/>
    <x v="0"/>
    <n v="32.5"/>
    <n v="82"/>
    <n v="24"/>
    <n v="11.2"/>
    <x v="0"/>
    <n v="0"/>
    <n v="96"/>
    <x v="0"/>
    <x v="1"/>
    <x v="1"/>
    <x v="1"/>
    <x v="0"/>
    <x v="0"/>
  </r>
  <r>
    <s v="T01429"/>
    <d v="2023-01-16T00:00:00"/>
    <d v="1899-12-30T02:15:00"/>
    <x v="0"/>
    <x v="1"/>
    <s v="Station_15"/>
    <s v="Station_16"/>
    <d v="1899-12-30T02:18:00"/>
    <d v="1899-12-30T02:35:00"/>
    <n v="19"/>
    <n v="15"/>
    <x v="3"/>
    <n v="-4.5"/>
    <n v="70"/>
    <n v="37"/>
    <n v="16.600000000000001"/>
    <x v="1"/>
    <n v="500"/>
    <n v="14"/>
    <x v="0"/>
    <x v="0"/>
    <x v="1"/>
    <x v="1"/>
    <x v="1"/>
    <x v="2"/>
  </r>
  <r>
    <s v="T01430"/>
    <d v="2023-01-16T00:00:00"/>
    <d v="1899-12-30T02:30:00"/>
    <x v="2"/>
    <x v="1"/>
    <s v="Station_37"/>
    <s v="Station_7"/>
    <d v="1899-12-30T02:30:00"/>
    <d v="1899-12-30T03:18:00"/>
    <n v="17"/>
    <n v="26"/>
    <x v="3"/>
    <n v="24.1"/>
    <n v="34"/>
    <n v="17"/>
    <n v="0.1"/>
    <x v="0"/>
    <n v="50000"/>
    <n v="46"/>
    <x v="0"/>
    <x v="1"/>
    <x v="1"/>
    <x v="0"/>
    <x v="1"/>
    <x v="1"/>
  </r>
  <r>
    <s v="T01431"/>
    <d v="2023-01-16T00:00:00"/>
    <d v="1899-12-30T02:45:00"/>
    <x v="2"/>
    <x v="9"/>
    <s v="Station_20"/>
    <s v="Station_32"/>
    <d v="1899-12-30T02:49:00"/>
    <d v="1899-12-30T03:28:00"/>
    <n v="14"/>
    <n v="18"/>
    <x v="3"/>
    <n v="7.4"/>
    <n v="95"/>
    <n v="32"/>
    <n v="15"/>
    <x v="5"/>
    <n v="500"/>
    <n v="4"/>
    <x v="0"/>
    <x v="1"/>
    <x v="1"/>
    <x v="0"/>
    <x v="1"/>
    <x v="2"/>
  </r>
  <r>
    <s v="T01432"/>
    <d v="2023-01-16T00:00:00"/>
    <d v="1899-12-30T03:00:00"/>
    <x v="3"/>
    <x v="16"/>
    <s v="Station_3"/>
    <s v="Station_19"/>
    <d v="1899-12-30T03:04:00"/>
    <d v="1899-12-30T03:35:00"/>
    <n v="14"/>
    <n v="5"/>
    <x v="5"/>
    <n v="10"/>
    <n v="42"/>
    <n v="32"/>
    <n v="1"/>
    <x v="1"/>
    <n v="0"/>
    <n v="53"/>
    <x v="0"/>
    <x v="1"/>
    <x v="1"/>
    <x v="2"/>
    <x v="0"/>
    <x v="1"/>
  </r>
  <r>
    <s v="T01433"/>
    <d v="2023-01-16T00:00:00"/>
    <d v="1899-12-30T03:15:00"/>
    <x v="1"/>
    <x v="15"/>
    <s v="Station_37"/>
    <s v="Station_2"/>
    <d v="1899-12-30T03:19:00"/>
    <d v="1899-12-30T03:59:00"/>
    <n v="7"/>
    <n v="0"/>
    <x v="4"/>
    <n v="13.8"/>
    <n v="92"/>
    <n v="31"/>
    <n v="19"/>
    <x v="0"/>
    <n v="10000"/>
    <n v="23"/>
    <x v="0"/>
    <x v="1"/>
    <x v="1"/>
    <x v="0"/>
    <x v="0"/>
    <x v="2"/>
  </r>
  <r>
    <s v="T01434"/>
    <d v="2023-01-16T00:00:00"/>
    <d v="1899-12-30T03:30:00"/>
    <x v="1"/>
    <x v="1"/>
    <s v="Station_40"/>
    <s v="Station_10"/>
    <d v="1899-12-30T03:31:00"/>
    <d v="1899-12-30T04:12:00"/>
    <n v="4"/>
    <n v="4"/>
    <x v="5"/>
    <n v="12.1"/>
    <n v="54"/>
    <n v="57"/>
    <n v="14.1"/>
    <x v="0"/>
    <n v="50000"/>
    <n v="10"/>
    <x v="0"/>
    <x v="1"/>
    <x v="1"/>
    <x v="2"/>
    <x v="0"/>
    <x v="2"/>
  </r>
  <r>
    <s v="T01435"/>
    <d v="2023-01-16T00:00:00"/>
    <d v="1899-12-30T03:45:00"/>
    <x v="3"/>
    <x v="2"/>
    <s v="Station_8"/>
    <s v="Station_50"/>
    <d v="1899-12-30T03:49:00"/>
    <d v="1899-12-30T04:32:00"/>
    <n v="13"/>
    <n v="-3"/>
    <x v="3"/>
    <n v="15.6"/>
    <n v="73"/>
    <n v="24"/>
    <n v="6.4"/>
    <x v="0"/>
    <n v="2000"/>
    <n v="32"/>
    <x v="0"/>
    <x v="1"/>
    <x v="1"/>
    <x v="0"/>
    <x v="0"/>
    <x v="2"/>
  </r>
  <r>
    <s v="T01436"/>
    <d v="2023-01-16T00:00:00"/>
    <d v="1899-12-30T04:00:00"/>
    <x v="3"/>
    <x v="19"/>
    <s v="Station_40"/>
    <s v="Station_17"/>
    <d v="1899-12-30T04:04:00"/>
    <d v="1899-12-30T04:35:00"/>
    <n v="10"/>
    <n v="24"/>
    <x v="2"/>
    <n v="18.3"/>
    <n v="43"/>
    <n v="13"/>
    <n v="6.4"/>
    <x v="0"/>
    <n v="0"/>
    <n v="86"/>
    <x v="0"/>
    <x v="1"/>
    <x v="1"/>
    <x v="0"/>
    <x v="1"/>
    <x v="0"/>
  </r>
  <r>
    <s v="T01437"/>
    <d v="2023-01-16T00:00:00"/>
    <d v="1899-12-30T04:15:00"/>
    <x v="2"/>
    <x v="15"/>
    <s v="Station_44"/>
    <s v="Station_37"/>
    <d v="1899-12-30T04:16:00"/>
    <d v="1899-12-30T05:12:00"/>
    <n v="0"/>
    <n v="2"/>
    <x v="1"/>
    <n v="13.6"/>
    <n v="98"/>
    <n v="37"/>
    <n v="17.2"/>
    <x v="0"/>
    <n v="50000"/>
    <n v="73"/>
    <x v="1"/>
    <x v="1"/>
    <x v="1"/>
    <x v="2"/>
    <x v="0"/>
    <x v="0"/>
  </r>
  <r>
    <s v="T01438"/>
    <d v="2023-01-16T00:00:00"/>
    <d v="1899-12-30T04:30:00"/>
    <x v="1"/>
    <x v="14"/>
    <s v="Station_23"/>
    <s v="Station_12"/>
    <d v="1899-12-30T04:32:00"/>
    <d v="1899-12-30T05:00:00"/>
    <n v="-1"/>
    <n v="7"/>
    <x v="1"/>
    <n v="23.1"/>
    <n v="88"/>
    <n v="37"/>
    <n v="18.100000000000001"/>
    <x v="0"/>
    <n v="50000"/>
    <n v="56"/>
    <x v="0"/>
    <x v="0"/>
    <x v="1"/>
    <x v="2"/>
    <x v="1"/>
    <x v="1"/>
  </r>
  <r>
    <s v="T01439"/>
    <d v="2023-01-16T00:00:00"/>
    <d v="1899-12-30T04:45:00"/>
    <x v="0"/>
    <x v="16"/>
    <s v="Station_40"/>
    <s v="Station_6"/>
    <d v="1899-12-30T04:45:00"/>
    <d v="1899-12-30T05:07:00"/>
    <n v="13"/>
    <n v="1"/>
    <x v="4"/>
    <n v="23.7"/>
    <n v="85"/>
    <n v="3"/>
    <n v="17.8"/>
    <x v="0"/>
    <n v="50000"/>
    <n v="51"/>
    <x v="0"/>
    <x v="1"/>
    <x v="1"/>
    <x v="2"/>
    <x v="0"/>
    <x v="1"/>
  </r>
  <r>
    <s v="T01440"/>
    <d v="2023-01-16T00:00:00"/>
    <d v="1899-12-30T05:00:00"/>
    <x v="2"/>
    <x v="9"/>
    <s v="Station_11"/>
    <s v="Station_22"/>
    <d v="1899-12-30T05:04:00"/>
    <d v="1899-12-30T05:34:00"/>
    <n v="3"/>
    <n v="20"/>
    <x v="2"/>
    <n v="12.6"/>
    <n v="81"/>
    <n v="43"/>
    <n v="16.2"/>
    <x v="3"/>
    <n v="0"/>
    <n v="63"/>
    <x v="0"/>
    <x v="1"/>
    <x v="1"/>
    <x v="1"/>
    <x v="1"/>
    <x v="1"/>
  </r>
  <r>
    <s v="T01441"/>
    <d v="2023-01-16T00:00:00"/>
    <d v="1899-12-30T05:15:00"/>
    <x v="3"/>
    <x v="3"/>
    <s v="Station_46"/>
    <s v="Station_32"/>
    <d v="1899-12-30T05:15:00"/>
    <d v="1899-12-30T05:35:00"/>
    <n v="3"/>
    <n v="14"/>
    <x v="0"/>
    <n v="0.7"/>
    <n v="95"/>
    <n v="17"/>
    <n v="16.399999999999999"/>
    <x v="0"/>
    <n v="2000"/>
    <n v="42"/>
    <x v="0"/>
    <x v="1"/>
    <x v="1"/>
    <x v="2"/>
    <x v="1"/>
    <x v="1"/>
  </r>
  <r>
    <s v="T01442"/>
    <d v="2023-01-16T00:00:00"/>
    <d v="1899-12-30T05:30:00"/>
    <x v="1"/>
    <x v="0"/>
    <s v="Station_8"/>
    <s v="Station_41"/>
    <d v="1899-12-30T05:33:00"/>
    <d v="1899-12-30T05:56:00"/>
    <n v="10"/>
    <n v="16"/>
    <x v="5"/>
    <n v="20.6"/>
    <n v="97"/>
    <n v="9"/>
    <n v="11.5"/>
    <x v="5"/>
    <n v="500"/>
    <n v="91"/>
    <x v="0"/>
    <x v="1"/>
    <x v="1"/>
    <x v="1"/>
    <x v="1"/>
    <x v="0"/>
  </r>
  <r>
    <s v="T01443"/>
    <d v="2023-01-16T00:00:00"/>
    <d v="1899-12-30T05:45:00"/>
    <x v="0"/>
    <x v="8"/>
    <s v="Station_29"/>
    <s v="Station_20"/>
    <d v="1899-12-30T05:45:00"/>
    <d v="1899-12-30T06:05:00"/>
    <n v="4"/>
    <n v="24"/>
    <x v="0"/>
    <n v="25.9"/>
    <n v="41"/>
    <n v="34"/>
    <n v="0.6"/>
    <x v="0"/>
    <n v="0"/>
    <n v="80"/>
    <x v="0"/>
    <x v="1"/>
    <x v="1"/>
    <x v="1"/>
    <x v="1"/>
    <x v="0"/>
  </r>
  <r>
    <s v="T01444"/>
    <d v="2023-01-16T00:00:00"/>
    <d v="1899-12-30T06:00:00"/>
    <x v="0"/>
    <x v="17"/>
    <s v="Station_30"/>
    <s v="Station_1"/>
    <d v="1899-12-30T06:01:00"/>
    <d v="1899-12-30T06:51:00"/>
    <n v="2"/>
    <n v="9"/>
    <x v="2"/>
    <n v="20.5"/>
    <n v="97"/>
    <n v="34"/>
    <n v="1.7"/>
    <x v="4"/>
    <n v="0"/>
    <n v="43"/>
    <x v="0"/>
    <x v="1"/>
    <x v="1"/>
    <x v="2"/>
    <x v="1"/>
    <x v="1"/>
  </r>
  <r>
    <s v="T01445"/>
    <d v="2023-01-16T00:00:00"/>
    <d v="1899-12-30T06:15:00"/>
    <x v="2"/>
    <x v="2"/>
    <s v="Station_10"/>
    <s v="Station_47"/>
    <d v="1899-12-30T06:15:00"/>
    <d v="1899-12-30T06:43:00"/>
    <n v="4"/>
    <n v="1"/>
    <x v="4"/>
    <n v="18.5"/>
    <n v="72"/>
    <n v="39"/>
    <n v="13"/>
    <x v="0"/>
    <n v="2000"/>
    <n v="89"/>
    <x v="0"/>
    <x v="1"/>
    <x v="1"/>
    <x v="2"/>
    <x v="0"/>
    <x v="0"/>
  </r>
  <r>
    <s v="T01446"/>
    <d v="2023-01-16T00:00:00"/>
    <d v="1899-12-30T06:30:00"/>
    <x v="1"/>
    <x v="5"/>
    <s v="Station_39"/>
    <s v="Station_6"/>
    <d v="1899-12-30T06:30:00"/>
    <d v="1899-12-30T07:18:00"/>
    <n v="-1"/>
    <n v="26"/>
    <x v="2"/>
    <n v="4.2"/>
    <n v="35"/>
    <n v="53"/>
    <n v="8"/>
    <x v="0"/>
    <n v="10000"/>
    <n v="88"/>
    <x v="0"/>
    <x v="1"/>
    <x v="1"/>
    <x v="2"/>
    <x v="1"/>
    <x v="0"/>
  </r>
  <r>
    <s v="T01447"/>
    <d v="2023-01-16T00:00:00"/>
    <d v="1899-12-30T06:45:00"/>
    <x v="1"/>
    <x v="6"/>
    <s v="Station_28"/>
    <s v="Station_19"/>
    <d v="1899-12-30T06:45:00"/>
    <d v="1899-12-30T07:30:00"/>
    <n v="14"/>
    <n v="-3"/>
    <x v="4"/>
    <n v="20.8"/>
    <n v="44"/>
    <n v="22"/>
    <n v="11.3"/>
    <x v="5"/>
    <n v="10000"/>
    <n v="35"/>
    <x v="0"/>
    <x v="1"/>
    <x v="1"/>
    <x v="0"/>
    <x v="0"/>
    <x v="1"/>
  </r>
  <r>
    <s v="T01448"/>
    <d v="2023-01-16T00:00:00"/>
    <d v="1899-12-30T07:00:00"/>
    <x v="3"/>
    <x v="1"/>
    <s v="Station_49"/>
    <s v="Station_18"/>
    <d v="1899-12-30T07:02:00"/>
    <d v="1899-12-30T07:42:00"/>
    <n v="10"/>
    <n v="18"/>
    <x v="0"/>
    <n v="8.4"/>
    <n v="71"/>
    <n v="24"/>
    <n v="4.5999999999999996"/>
    <x v="3"/>
    <n v="0"/>
    <n v="11"/>
    <x v="0"/>
    <x v="0"/>
    <x v="1"/>
    <x v="0"/>
    <x v="1"/>
    <x v="2"/>
  </r>
  <r>
    <s v="T01449"/>
    <d v="2023-01-16T00:00:00"/>
    <d v="1899-12-30T07:15:00"/>
    <x v="1"/>
    <x v="17"/>
    <s v="Station_36"/>
    <s v="Station_6"/>
    <d v="1899-12-30T07:17:00"/>
    <d v="1899-12-30T08:03:00"/>
    <n v="18"/>
    <n v="14"/>
    <x v="0"/>
    <n v="31.8"/>
    <n v="60"/>
    <n v="0"/>
    <n v="13"/>
    <x v="0"/>
    <n v="0"/>
    <n v="55"/>
    <x v="0"/>
    <x v="0"/>
    <x v="1"/>
    <x v="2"/>
    <x v="1"/>
    <x v="1"/>
  </r>
  <r>
    <s v="T01450"/>
    <d v="2023-01-16T00:00:00"/>
    <d v="1899-12-30T07:30:00"/>
    <x v="1"/>
    <x v="0"/>
    <s v="Station_13"/>
    <s v="Station_45"/>
    <d v="1899-12-30T07:33:00"/>
    <d v="1899-12-30T08:27:00"/>
    <n v="18"/>
    <n v="1"/>
    <x v="2"/>
    <n v="21.1"/>
    <n v="82"/>
    <n v="17"/>
    <n v="4.9000000000000004"/>
    <x v="5"/>
    <n v="0"/>
    <n v="2"/>
    <x v="0"/>
    <x v="0"/>
    <x v="1"/>
    <x v="3"/>
    <x v="0"/>
    <x v="2"/>
  </r>
  <r>
    <s v="T01451"/>
    <d v="2023-01-16T00:00:00"/>
    <d v="1899-12-30T07:45:00"/>
    <x v="2"/>
    <x v="15"/>
    <s v="Station_32"/>
    <s v="Station_33"/>
    <d v="1899-12-30T07:46:00"/>
    <d v="1899-12-30T08:37:00"/>
    <n v="13"/>
    <n v="27"/>
    <x v="2"/>
    <n v="6.1"/>
    <n v="35"/>
    <n v="14"/>
    <n v="9.1999999999999993"/>
    <x v="4"/>
    <n v="10000"/>
    <n v="49"/>
    <x v="0"/>
    <x v="1"/>
    <x v="1"/>
    <x v="2"/>
    <x v="1"/>
    <x v="1"/>
  </r>
  <r>
    <s v="T01452"/>
    <d v="2023-01-16T00:00:00"/>
    <d v="1899-12-30T08:00:00"/>
    <x v="1"/>
    <x v="19"/>
    <s v="Station_36"/>
    <s v="Station_23"/>
    <d v="1899-12-30T08:00:00"/>
    <d v="1899-12-30T08:26:00"/>
    <n v="17"/>
    <n v="2"/>
    <x v="1"/>
    <n v="13.9"/>
    <n v="62"/>
    <n v="24"/>
    <n v="9.6"/>
    <x v="3"/>
    <n v="0"/>
    <n v="28"/>
    <x v="0"/>
    <x v="1"/>
    <x v="1"/>
    <x v="3"/>
    <x v="0"/>
    <x v="2"/>
  </r>
  <r>
    <s v="T01453"/>
    <d v="2023-01-16T00:00:00"/>
    <d v="1899-12-30T08:15:00"/>
    <x v="0"/>
    <x v="14"/>
    <s v="Station_37"/>
    <s v="Station_23"/>
    <d v="1899-12-30T08:15:00"/>
    <d v="1899-12-30T08:46:00"/>
    <n v="-1"/>
    <n v="23"/>
    <x v="4"/>
    <n v="28.9"/>
    <n v="58"/>
    <n v="31"/>
    <n v="3.6"/>
    <x v="0"/>
    <n v="2000"/>
    <n v="87"/>
    <x v="0"/>
    <x v="0"/>
    <x v="1"/>
    <x v="0"/>
    <x v="1"/>
    <x v="0"/>
  </r>
  <r>
    <s v="T01454"/>
    <d v="2023-01-16T00:00:00"/>
    <d v="1899-12-30T08:30:00"/>
    <x v="2"/>
    <x v="2"/>
    <s v="Station_26"/>
    <s v="Station_26"/>
    <d v="1899-12-30T08:30:00"/>
    <d v="1899-12-30T09:20:00"/>
    <n v="2"/>
    <n v="21"/>
    <x v="1"/>
    <n v="8.4"/>
    <n v="50"/>
    <n v="52"/>
    <n v="17.5"/>
    <x v="3"/>
    <n v="500"/>
    <n v="82"/>
    <x v="0"/>
    <x v="1"/>
    <x v="1"/>
    <x v="0"/>
    <x v="1"/>
    <x v="0"/>
  </r>
  <r>
    <s v="T01455"/>
    <d v="2023-01-16T00:00:00"/>
    <d v="1899-12-30T08:45:00"/>
    <x v="2"/>
    <x v="16"/>
    <s v="Station_22"/>
    <s v="Station_13"/>
    <d v="1899-12-30T08:45:00"/>
    <d v="1899-12-30T09:36:00"/>
    <n v="15"/>
    <n v="25"/>
    <x v="5"/>
    <n v="16"/>
    <n v="83"/>
    <n v="19"/>
    <n v="10.5"/>
    <x v="5"/>
    <n v="50000"/>
    <n v="76"/>
    <x v="0"/>
    <x v="1"/>
    <x v="1"/>
    <x v="3"/>
    <x v="1"/>
    <x v="0"/>
  </r>
  <r>
    <s v="T01456"/>
    <d v="2023-01-16T00:00:00"/>
    <d v="1899-12-30T09:00:00"/>
    <x v="3"/>
    <x v="16"/>
    <s v="Station_4"/>
    <s v="Station_7"/>
    <d v="1899-12-30T09:02:00"/>
    <d v="1899-12-30T09:39:00"/>
    <n v="4"/>
    <n v="24"/>
    <x v="5"/>
    <n v="22.2"/>
    <n v="85"/>
    <n v="16"/>
    <n v="17.3"/>
    <x v="0"/>
    <n v="0"/>
    <n v="15"/>
    <x v="0"/>
    <x v="1"/>
    <x v="1"/>
    <x v="0"/>
    <x v="1"/>
    <x v="2"/>
  </r>
  <r>
    <s v="T01457"/>
    <d v="2023-01-16T00:00:00"/>
    <d v="1899-12-30T09:15:00"/>
    <x v="1"/>
    <x v="15"/>
    <s v="Station_31"/>
    <s v="Station_15"/>
    <d v="1899-12-30T09:18:00"/>
    <d v="1899-12-30T09:51:00"/>
    <n v="8"/>
    <n v="12"/>
    <x v="2"/>
    <n v="25.2"/>
    <n v="50"/>
    <n v="56"/>
    <n v="5.3"/>
    <x v="0"/>
    <n v="500"/>
    <n v="39"/>
    <x v="0"/>
    <x v="1"/>
    <x v="1"/>
    <x v="2"/>
    <x v="1"/>
    <x v="1"/>
  </r>
  <r>
    <s v="T01458"/>
    <d v="2023-01-16T00:00:00"/>
    <d v="1899-12-30T09:30:00"/>
    <x v="3"/>
    <x v="4"/>
    <s v="Station_18"/>
    <s v="Station_44"/>
    <d v="1899-12-30T09:34:00"/>
    <d v="1899-12-30T10:25:00"/>
    <n v="8"/>
    <n v="8"/>
    <x v="0"/>
    <n v="2"/>
    <n v="84"/>
    <n v="10"/>
    <n v="3.4"/>
    <x v="0"/>
    <n v="50000"/>
    <n v="26"/>
    <x v="0"/>
    <x v="0"/>
    <x v="1"/>
    <x v="3"/>
    <x v="1"/>
    <x v="2"/>
  </r>
  <r>
    <s v="T01459"/>
    <d v="2023-01-16T00:00:00"/>
    <d v="1899-12-30T09:45:00"/>
    <x v="0"/>
    <x v="0"/>
    <s v="Station_38"/>
    <s v="Station_27"/>
    <d v="1899-12-30T09:46:00"/>
    <d v="1899-12-30T10:07:00"/>
    <n v="19"/>
    <n v="16"/>
    <x v="5"/>
    <n v="17.600000000000001"/>
    <n v="87"/>
    <n v="12"/>
    <n v="0.4"/>
    <x v="0"/>
    <n v="2000"/>
    <n v="69"/>
    <x v="0"/>
    <x v="0"/>
    <x v="1"/>
    <x v="3"/>
    <x v="1"/>
    <x v="0"/>
  </r>
  <r>
    <s v="T01460"/>
    <d v="2023-01-16T00:00:00"/>
    <d v="1899-12-30T10:00:00"/>
    <x v="2"/>
    <x v="12"/>
    <s v="Station_24"/>
    <s v="Station_26"/>
    <d v="1899-12-30T10:00:00"/>
    <d v="1899-12-30T10:20:00"/>
    <n v="14"/>
    <n v="14"/>
    <x v="5"/>
    <n v="31.5"/>
    <n v="93"/>
    <n v="24"/>
    <n v="1.9"/>
    <x v="2"/>
    <n v="0"/>
    <n v="41"/>
    <x v="0"/>
    <x v="0"/>
    <x v="1"/>
    <x v="1"/>
    <x v="1"/>
    <x v="1"/>
  </r>
  <r>
    <s v="T01461"/>
    <d v="2023-01-16T00:00:00"/>
    <d v="1899-12-30T10:15:00"/>
    <x v="2"/>
    <x v="7"/>
    <s v="Station_23"/>
    <s v="Station_33"/>
    <d v="1899-12-30T10:18:00"/>
    <d v="1899-12-30T11:01:00"/>
    <n v="13"/>
    <n v="19"/>
    <x v="1"/>
    <n v="33.700000000000003"/>
    <n v="75"/>
    <n v="19"/>
    <n v="2.9"/>
    <x v="1"/>
    <n v="0"/>
    <n v="56"/>
    <x v="0"/>
    <x v="0"/>
    <x v="1"/>
    <x v="0"/>
    <x v="1"/>
    <x v="1"/>
  </r>
  <r>
    <s v="T01462"/>
    <d v="2023-01-16T00:00:00"/>
    <d v="1899-12-30T10:30:00"/>
    <x v="2"/>
    <x v="9"/>
    <s v="Station_22"/>
    <s v="Station_15"/>
    <d v="1899-12-30T10:34:00"/>
    <d v="1899-12-30T11:29:00"/>
    <n v="10"/>
    <n v="23"/>
    <x v="1"/>
    <n v="21.2"/>
    <n v="51"/>
    <n v="24"/>
    <n v="1.6"/>
    <x v="1"/>
    <n v="10000"/>
    <n v="9"/>
    <x v="1"/>
    <x v="1"/>
    <x v="1"/>
    <x v="3"/>
    <x v="1"/>
    <x v="2"/>
  </r>
  <r>
    <s v="T01463"/>
    <d v="2023-01-16T00:00:00"/>
    <d v="1899-12-30T10:45:00"/>
    <x v="0"/>
    <x v="14"/>
    <s v="Station_2"/>
    <s v="Station_36"/>
    <d v="1899-12-30T10:48:00"/>
    <d v="1899-12-30T11:37:00"/>
    <n v="19"/>
    <n v="13"/>
    <x v="5"/>
    <n v="34.299999999999997"/>
    <n v="89"/>
    <n v="41"/>
    <n v="17.899999999999999"/>
    <x v="0"/>
    <n v="0"/>
    <n v="37"/>
    <x v="0"/>
    <x v="0"/>
    <x v="1"/>
    <x v="3"/>
    <x v="1"/>
    <x v="1"/>
  </r>
  <r>
    <s v="T01464"/>
    <d v="2023-01-16T00:00:00"/>
    <d v="1899-12-30T11:00:00"/>
    <x v="0"/>
    <x v="19"/>
    <s v="Station_31"/>
    <s v="Station_45"/>
    <d v="1899-12-30T11:02:00"/>
    <d v="1899-12-30T11:39:00"/>
    <n v="2"/>
    <n v="17"/>
    <x v="2"/>
    <n v="17.8"/>
    <n v="40"/>
    <n v="44"/>
    <n v="18.2"/>
    <x v="0"/>
    <n v="2000"/>
    <n v="7"/>
    <x v="0"/>
    <x v="1"/>
    <x v="1"/>
    <x v="3"/>
    <x v="1"/>
    <x v="2"/>
  </r>
  <r>
    <s v="T01465"/>
    <d v="2023-01-16T00:00:00"/>
    <d v="1899-12-30T11:15:00"/>
    <x v="3"/>
    <x v="4"/>
    <s v="Station_11"/>
    <s v="Station_27"/>
    <d v="1899-12-30T11:19:00"/>
    <d v="1899-12-30T11:48:00"/>
    <n v="17"/>
    <n v="27"/>
    <x v="1"/>
    <n v="12.7"/>
    <n v="76"/>
    <n v="48"/>
    <n v="18.7"/>
    <x v="0"/>
    <n v="500"/>
    <n v="17"/>
    <x v="0"/>
    <x v="1"/>
    <x v="1"/>
    <x v="0"/>
    <x v="1"/>
    <x v="2"/>
  </r>
  <r>
    <s v="T01466"/>
    <d v="2023-01-16T00:00:00"/>
    <d v="1899-12-30T11:30:00"/>
    <x v="3"/>
    <x v="15"/>
    <s v="Station_28"/>
    <s v="Station_5"/>
    <d v="1899-12-30T11:33:00"/>
    <d v="1899-12-30T12:25:00"/>
    <n v="13"/>
    <n v="-1"/>
    <x v="5"/>
    <n v="17.100000000000001"/>
    <n v="60"/>
    <n v="30"/>
    <n v="19.2"/>
    <x v="1"/>
    <n v="50000"/>
    <n v="95"/>
    <x v="0"/>
    <x v="1"/>
    <x v="1"/>
    <x v="3"/>
    <x v="0"/>
    <x v="0"/>
  </r>
  <r>
    <s v="T01467"/>
    <d v="2023-01-16T00:00:00"/>
    <d v="1899-12-30T11:45:00"/>
    <x v="3"/>
    <x v="18"/>
    <s v="Station_46"/>
    <s v="Station_2"/>
    <d v="1899-12-30T11:47:00"/>
    <d v="1899-12-30T12:09:00"/>
    <n v="19"/>
    <n v="13"/>
    <x v="0"/>
    <n v="-0.4"/>
    <n v="47"/>
    <n v="52"/>
    <n v="9.8000000000000007"/>
    <x v="0"/>
    <n v="0"/>
    <n v="16"/>
    <x v="0"/>
    <x v="0"/>
    <x v="1"/>
    <x v="3"/>
    <x v="1"/>
    <x v="2"/>
  </r>
  <r>
    <s v="T01468"/>
    <d v="2023-01-16T00:00:00"/>
    <d v="1899-12-30T12:00:00"/>
    <x v="1"/>
    <x v="0"/>
    <s v="Station_32"/>
    <s v="Station_33"/>
    <d v="1899-12-30T12:03:00"/>
    <d v="1899-12-30T12:42:00"/>
    <n v="19"/>
    <n v="22"/>
    <x v="1"/>
    <n v="11.1"/>
    <n v="51"/>
    <n v="0"/>
    <n v="10.6"/>
    <x v="0"/>
    <n v="2000"/>
    <n v="57"/>
    <x v="0"/>
    <x v="0"/>
    <x v="1"/>
    <x v="2"/>
    <x v="1"/>
    <x v="1"/>
  </r>
  <r>
    <s v="T01469"/>
    <d v="2023-01-16T00:00:00"/>
    <d v="1899-12-30T12:15:00"/>
    <x v="2"/>
    <x v="7"/>
    <s v="Station_5"/>
    <s v="Station_16"/>
    <d v="1899-12-30T12:18:00"/>
    <d v="1899-12-30T12:49:00"/>
    <n v="13"/>
    <n v="19"/>
    <x v="5"/>
    <n v="13.3"/>
    <n v="85"/>
    <n v="51"/>
    <n v="2.6"/>
    <x v="0"/>
    <n v="0"/>
    <n v="65"/>
    <x v="0"/>
    <x v="1"/>
    <x v="1"/>
    <x v="2"/>
    <x v="1"/>
    <x v="1"/>
  </r>
  <r>
    <s v="T01470"/>
    <d v="2023-01-16T00:00:00"/>
    <d v="1899-12-30T12:30:00"/>
    <x v="2"/>
    <x v="0"/>
    <s v="Station_38"/>
    <s v="Station_23"/>
    <d v="1899-12-30T12:34:00"/>
    <d v="1899-12-30T12:55:00"/>
    <n v="13"/>
    <n v="2"/>
    <x v="4"/>
    <n v="28.9"/>
    <n v="46"/>
    <n v="15"/>
    <n v="2.7"/>
    <x v="0"/>
    <n v="0"/>
    <n v="43"/>
    <x v="0"/>
    <x v="1"/>
    <x v="1"/>
    <x v="1"/>
    <x v="0"/>
    <x v="1"/>
  </r>
  <r>
    <s v="T01471"/>
    <d v="2023-01-16T00:00:00"/>
    <d v="1899-12-30T12:45:00"/>
    <x v="3"/>
    <x v="15"/>
    <s v="Station_10"/>
    <s v="Station_38"/>
    <d v="1899-12-30T12:47:00"/>
    <d v="1899-12-30T13:37:00"/>
    <n v="11"/>
    <n v="24"/>
    <x v="1"/>
    <n v="25.3"/>
    <n v="67"/>
    <n v="47"/>
    <n v="15.5"/>
    <x v="0"/>
    <n v="0"/>
    <n v="83"/>
    <x v="1"/>
    <x v="1"/>
    <x v="1"/>
    <x v="3"/>
    <x v="1"/>
    <x v="0"/>
  </r>
  <r>
    <s v="T01472"/>
    <d v="2023-01-16T00:00:00"/>
    <d v="1899-12-30T13:00:00"/>
    <x v="2"/>
    <x v="13"/>
    <s v="Station_40"/>
    <s v="Station_16"/>
    <d v="1899-12-30T13:00:00"/>
    <d v="1899-12-30T13:38:00"/>
    <n v="3"/>
    <n v="4"/>
    <x v="4"/>
    <n v="19.100000000000001"/>
    <n v="54"/>
    <n v="27"/>
    <n v="17.100000000000001"/>
    <x v="0"/>
    <n v="10000"/>
    <n v="73"/>
    <x v="1"/>
    <x v="1"/>
    <x v="1"/>
    <x v="0"/>
    <x v="0"/>
    <x v="0"/>
  </r>
  <r>
    <s v="T01473"/>
    <d v="2023-01-16T00:00:00"/>
    <d v="1899-12-30T13:15:00"/>
    <x v="3"/>
    <x v="14"/>
    <s v="Station_46"/>
    <s v="Station_14"/>
    <d v="1899-12-30T13:16:00"/>
    <d v="1899-12-30T13:47:00"/>
    <n v="-1"/>
    <n v="4"/>
    <x v="1"/>
    <n v="8.9"/>
    <n v="61"/>
    <n v="20"/>
    <n v="15.7"/>
    <x v="3"/>
    <n v="10000"/>
    <n v="8"/>
    <x v="0"/>
    <x v="1"/>
    <x v="1"/>
    <x v="1"/>
    <x v="0"/>
    <x v="2"/>
  </r>
  <r>
    <s v="T01474"/>
    <d v="2023-01-16T00:00:00"/>
    <d v="1899-12-30T13:30:00"/>
    <x v="1"/>
    <x v="13"/>
    <s v="Station_24"/>
    <s v="Station_29"/>
    <d v="1899-12-30T13:34:00"/>
    <d v="1899-12-30T14:18:00"/>
    <n v="11"/>
    <n v="15"/>
    <x v="1"/>
    <n v="2.5"/>
    <n v="44"/>
    <n v="29"/>
    <n v="16.7"/>
    <x v="0"/>
    <n v="0"/>
    <n v="47"/>
    <x v="0"/>
    <x v="0"/>
    <x v="1"/>
    <x v="1"/>
    <x v="1"/>
    <x v="1"/>
  </r>
  <r>
    <s v="T01475"/>
    <d v="2023-01-16T00:00:00"/>
    <d v="1899-12-30T13:45:00"/>
    <x v="1"/>
    <x v="18"/>
    <s v="Station_35"/>
    <s v="Station_26"/>
    <d v="1899-12-30T13:47:00"/>
    <d v="1899-12-30T14:10:00"/>
    <n v="13"/>
    <n v="25"/>
    <x v="3"/>
    <n v="8.9"/>
    <n v="42"/>
    <n v="58"/>
    <n v="5.5"/>
    <x v="5"/>
    <n v="0"/>
    <n v="38"/>
    <x v="0"/>
    <x v="1"/>
    <x v="1"/>
    <x v="1"/>
    <x v="1"/>
    <x v="1"/>
  </r>
  <r>
    <s v="T01476"/>
    <d v="2023-01-16T00:00:00"/>
    <d v="1899-12-30T14:00:00"/>
    <x v="0"/>
    <x v="1"/>
    <s v="Station_44"/>
    <s v="Station_35"/>
    <d v="1899-12-30T14:03:00"/>
    <d v="1899-12-30T14:34:00"/>
    <n v="17"/>
    <n v="19"/>
    <x v="3"/>
    <n v="22.2"/>
    <n v="87"/>
    <n v="2"/>
    <n v="9.3000000000000007"/>
    <x v="0"/>
    <n v="2000"/>
    <n v="88"/>
    <x v="0"/>
    <x v="1"/>
    <x v="1"/>
    <x v="3"/>
    <x v="1"/>
    <x v="0"/>
  </r>
  <r>
    <s v="T01477"/>
    <d v="2023-01-16T00:00:00"/>
    <d v="1899-12-30T14:15:00"/>
    <x v="1"/>
    <x v="5"/>
    <s v="Station_48"/>
    <s v="Station_15"/>
    <d v="1899-12-30T14:17:00"/>
    <d v="1899-12-30T14:50:00"/>
    <n v="10"/>
    <n v="28"/>
    <x v="4"/>
    <n v="5.5"/>
    <n v="79"/>
    <n v="33"/>
    <n v="9.1999999999999993"/>
    <x v="5"/>
    <n v="2000"/>
    <n v="88"/>
    <x v="0"/>
    <x v="0"/>
    <x v="1"/>
    <x v="1"/>
    <x v="1"/>
    <x v="0"/>
  </r>
  <r>
    <s v="T01478"/>
    <d v="2023-01-16T00:00:00"/>
    <d v="1899-12-30T14:30:00"/>
    <x v="3"/>
    <x v="12"/>
    <s v="Station_23"/>
    <s v="Station_3"/>
    <d v="1899-12-30T14:31:00"/>
    <d v="1899-12-30T15:13:00"/>
    <n v="12"/>
    <n v="6"/>
    <x v="2"/>
    <n v="12.1"/>
    <n v="40"/>
    <n v="5"/>
    <n v="19.899999999999999"/>
    <x v="0"/>
    <n v="500"/>
    <n v="87"/>
    <x v="0"/>
    <x v="1"/>
    <x v="1"/>
    <x v="0"/>
    <x v="1"/>
    <x v="0"/>
  </r>
  <r>
    <s v="T01479"/>
    <d v="2023-01-16T00:00:00"/>
    <d v="1899-12-30T14:45:00"/>
    <x v="1"/>
    <x v="9"/>
    <s v="Station_17"/>
    <s v="Station_23"/>
    <d v="1899-12-30T14:46:00"/>
    <d v="1899-12-30T15:27:00"/>
    <n v="9"/>
    <n v="23"/>
    <x v="5"/>
    <n v="10.5"/>
    <n v="42"/>
    <n v="42"/>
    <n v="19"/>
    <x v="2"/>
    <n v="50000"/>
    <n v="5"/>
    <x v="0"/>
    <x v="1"/>
    <x v="1"/>
    <x v="2"/>
    <x v="1"/>
    <x v="2"/>
  </r>
  <r>
    <s v="T01480"/>
    <d v="2023-01-16T00:00:00"/>
    <d v="1899-12-30T15:00:00"/>
    <x v="0"/>
    <x v="15"/>
    <s v="Station_1"/>
    <s v="Station_29"/>
    <d v="1899-12-30T15:00:00"/>
    <d v="1899-12-30T15:29:00"/>
    <n v="6"/>
    <n v="-3"/>
    <x v="2"/>
    <n v="25.6"/>
    <n v="79"/>
    <n v="28"/>
    <n v="12"/>
    <x v="5"/>
    <n v="10000"/>
    <n v="29"/>
    <x v="1"/>
    <x v="0"/>
    <x v="1"/>
    <x v="2"/>
    <x v="0"/>
    <x v="2"/>
  </r>
  <r>
    <s v="T01481"/>
    <d v="2023-01-16T00:00:00"/>
    <d v="1899-12-30T15:15:00"/>
    <x v="2"/>
    <x v="10"/>
    <s v="Station_31"/>
    <s v="Station_34"/>
    <d v="1899-12-30T15:15:00"/>
    <d v="1899-12-30T15:51:00"/>
    <n v="15"/>
    <n v="25"/>
    <x v="2"/>
    <n v="30.4"/>
    <n v="67"/>
    <n v="2"/>
    <n v="2.8"/>
    <x v="0"/>
    <n v="0"/>
    <n v="73"/>
    <x v="0"/>
    <x v="0"/>
    <x v="1"/>
    <x v="3"/>
    <x v="1"/>
    <x v="0"/>
  </r>
  <r>
    <s v="T01482"/>
    <d v="2023-01-16T00:00:00"/>
    <d v="1899-12-30T15:30:00"/>
    <x v="3"/>
    <x v="0"/>
    <s v="Station_31"/>
    <s v="Station_33"/>
    <d v="1899-12-30T15:31:00"/>
    <d v="1899-12-30T16:19:00"/>
    <n v="18"/>
    <n v="-1"/>
    <x v="3"/>
    <n v="23"/>
    <n v="30"/>
    <n v="57"/>
    <n v="5.2"/>
    <x v="5"/>
    <n v="0"/>
    <n v="94"/>
    <x v="0"/>
    <x v="1"/>
    <x v="1"/>
    <x v="0"/>
    <x v="0"/>
    <x v="0"/>
  </r>
  <r>
    <s v="T01483"/>
    <d v="2023-01-16T00:00:00"/>
    <d v="1899-12-30T15:45:00"/>
    <x v="2"/>
    <x v="8"/>
    <s v="Station_42"/>
    <s v="Station_41"/>
    <d v="1899-12-30T15:49:00"/>
    <d v="1899-12-30T16:14:00"/>
    <n v="11"/>
    <n v="27"/>
    <x v="5"/>
    <n v="8.6999999999999993"/>
    <n v="68"/>
    <n v="32"/>
    <n v="7.3"/>
    <x v="0"/>
    <n v="0"/>
    <n v="17"/>
    <x v="0"/>
    <x v="1"/>
    <x v="1"/>
    <x v="0"/>
    <x v="1"/>
    <x v="2"/>
  </r>
  <r>
    <s v="T01484"/>
    <d v="2023-01-16T00:00:00"/>
    <d v="1899-12-30T16:00:00"/>
    <x v="0"/>
    <x v="3"/>
    <s v="Station_42"/>
    <s v="Station_41"/>
    <d v="1899-12-30T16:04:00"/>
    <d v="1899-12-30T16:38:00"/>
    <n v="17"/>
    <n v="7"/>
    <x v="3"/>
    <n v="12.3"/>
    <n v="56"/>
    <n v="10"/>
    <n v="17.5"/>
    <x v="1"/>
    <n v="10000"/>
    <n v="42"/>
    <x v="0"/>
    <x v="1"/>
    <x v="1"/>
    <x v="0"/>
    <x v="1"/>
    <x v="1"/>
  </r>
  <r>
    <s v="T01485"/>
    <d v="2023-01-16T00:00:00"/>
    <d v="1899-12-30T16:15:00"/>
    <x v="0"/>
    <x v="19"/>
    <s v="Station_34"/>
    <s v="Station_23"/>
    <d v="1899-12-30T16:18:00"/>
    <d v="1899-12-30T17:03:00"/>
    <n v="1"/>
    <n v="18"/>
    <x v="3"/>
    <n v="0.7"/>
    <n v="65"/>
    <n v="44"/>
    <n v="3.4"/>
    <x v="0"/>
    <n v="0"/>
    <n v="32"/>
    <x v="0"/>
    <x v="1"/>
    <x v="1"/>
    <x v="3"/>
    <x v="1"/>
    <x v="2"/>
  </r>
  <r>
    <s v="T01486"/>
    <d v="2023-01-16T00:00:00"/>
    <d v="1899-12-30T16:30:00"/>
    <x v="0"/>
    <x v="7"/>
    <s v="Station_9"/>
    <s v="Station_7"/>
    <d v="1899-12-30T16:30:00"/>
    <d v="1899-12-30T16:51:00"/>
    <n v="5"/>
    <n v="14"/>
    <x v="3"/>
    <n v="1.7"/>
    <n v="61"/>
    <n v="4"/>
    <n v="4.4000000000000004"/>
    <x v="5"/>
    <n v="2000"/>
    <n v="52"/>
    <x v="0"/>
    <x v="1"/>
    <x v="1"/>
    <x v="0"/>
    <x v="1"/>
    <x v="1"/>
  </r>
  <r>
    <s v="T01487"/>
    <d v="2023-01-16T00:00:00"/>
    <d v="1899-12-30T16:45:00"/>
    <x v="2"/>
    <x v="16"/>
    <s v="Station_22"/>
    <s v="Station_3"/>
    <d v="1899-12-30T16:48:00"/>
    <d v="1899-12-30T17:40:00"/>
    <n v="5"/>
    <n v="2"/>
    <x v="0"/>
    <n v="1.6"/>
    <n v="70"/>
    <n v="49"/>
    <n v="7"/>
    <x v="2"/>
    <n v="0"/>
    <n v="55"/>
    <x v="1"/>
    <x v="1"/>
    <x v="1"/>
    <x v="2"/>
    <x v="0"/>
    <x v="1"/>
  </r>
  <r>
    <s v="T01488"/>
    <d v="2023-01-16T00:00:00"/>
    <d v="1899-12-30T17:00:00"/>
    <x v="2"/>
    <x v="13"/>
    <s v="Station_13"/>
    <s v="Station_32"/>
    <d v="1899-12-30T17:00:00"/>
    <d v="1899-12-30T17:38:00"/>
    <n v="19"/>
    <n v="-1"/>
    <x v="2"/>
    <n v="0.2"/>
    <n v="44"/>
    <n v="31"/>
    <n v="18.5"/>
    <x v="0"/>
    <n v="50000"/>
    <n v="18"/>
    <x v="0"/>
    <x v="0"/>
    <x v="1"/>
    <x v="0"/>
    <x v="0"/>
    <x v="2"/>
  </r>
  <r>
    <s v="T01489"/>
    <d v="2023-01-16T00:00:00"/>
    <d v="1899-12-30T17:15:00"/>
    <x v="2"/>
    <x v="7"/>
    <s v="Station_25"/>
    <s v="Station_31"/>
    <d v="1899-12-30T17:16:00"/>
    <d v="1899-12-30T17:41:00"/>
    <n v="19"/>
    <n v="1"/>
    <x v="2"/>
    <n v="2.2000000000000002"/>
    <n v="60"/>
    <n v="46"/>
    <n v="10.1"/>
    <x v="0"/>
    <n v="2000"/>
    <n v="86"/>
    <x v="0"/>
    <x v="1"/>
    <x v="1"/>
    <x v="0"/>
    <x v="0"/>
    <x v="0"/>
  </r>
  <r>
    <s v="T01490"/>
    <d v="2023-01-16T00:00:00"/>
    <d v="1899-12-30T17:30:00"/>
    <x v="2"/>
    <x v="13"/>
    <s v="Station_48"/>
    <s v="Station_18"/>
    <d v="1899-12-30T17:34:00"/>
    <d v="1899-12-30T18:15:00"/>
    <n v="13"/>
    <n v="5"/>
    <x v="2"/>
    <n v="3.1"/>
    <n v="35"/>
    <n v="17"/>
    <n v="12.9"/>
    <x v="5"/>
    <n v="0"/>
    <n v="68"/>
    <x v="0"/>
    <x v="1"/>
    <x v="1"/>
    <x v="3"/>
    <x v="0"/>
    <x v="0"/>
  </r>
  <r>
    <s v="T01491"/>
    <d v="2023-01-16T00:00:00"/>
    <d v="1899-12-30T17:45:00"/>
    <x v="0"/>
    <x v="18"/>
    <s v="Station_18"/>
    <s v="Station_43"/>
    <d v="1899-12-30T17:49:00"/>
    <d v="1899-12-30T18:19:00"/>
    <n v="7"/>
    <n v="24"/>
    <x v="0"/>
    <n v="-0.5"/>
    <n v="81"/>
    <n v="46"/>
    <n v="7.7"/>
    <x v="1"/>
    <n v="0"/>
    <n v="25"/>
    <x v="0"/>
    <x v="1"/>
    <x v="1"/>
    <x v="1"/>
    <x v="1"/>
    <x v="2"/>
  </r>
  <r>
    <s v="T01492"/>
    <d v="2023-01-16T00:00:00"/>
    <d v="1899-12-30T18:00:00"/>
    <x v="0"/>
    <x v="4"/>
    <s v="Station_12"/>
    <s v="Station_7"/>
    <d v="1899-12-30T18:01:00"/>
    <d v="1899-12-30T18:57:00"/>
    <n v="18"/>
    <n v="15"/>
    <x v="1"/>
    <n v="20.6"/>
    <n v="51"/>
    <n v="19"/>
    <n v="3.8"/>
    <x v="3"/>
    <n v="0"/>
    <n v="28"/>
    <x v="0"/>
    <x v="1"/>
    <x v="1"/>
    <x v="1"/>
    <x v="1"/>
    <x v="2"/>
  </r>
  <r>
    <s v="T01493"/>
    <d v="2023-01-16T00:00:00"/>
    <d v="1899-12-30T18:15:00"/>
    <x v="3"/>
    <x v="15"/>
    <s v="Station_40"/>
    <s v="Station_41"/>
    <d v="1899-12-30T18:18:00"/>
    <d v="1899-12-30T18:37:00"/>
    <n v="14"/>
    <n v="24"/>
    <x v="4"/>
    <n v="34.6"/>
    <n v="60"/>
    <n v="51"/>
    <n v="4.5"/>
    <x v="0"/>
    <n v="10000"/>
    <n v="23"/>
    <x v="0"/>
    <x v="1"/>
    <x v="1"/>
    <x v="3"/>
    <x v="1"/>
    <x v="2"/>
  </r>
  <r>
    <s v="T01494"/>
    <d v="2023-01-16T00:00:00"/>
    <d v="1899-12-30T18:30:00"/>
    <x v="3"/>
    <x v="3"/>
    <s v="Station_17"/>
    <s v="Station_1"/>
    <d v="1899-12-30T18:33:00"/>
    <d v="1899-12-30T19:27:00"/>
    <n v="-2"/>
    <n v="23"/>
    <x v="4"/>
    <n v="30.2"/>
    <n v="75"/>
    <n v="51"/>
    <n v="16.100000000000001"/>
    <x v="0"/>
    <n v="2000"/>
    <n v="5"/>
    <x v="0"/>
    <x v="0"/>
    <x v="1"/>
    <x v="3"/>
    <x v="1"/>
    <x v="2"/>
  </r>
  <r>
    <s v="T01495"/>
    <d v="2023-01-16T00:00:00"/>
    <d v="1899-12-30T18:45:00"/>
    <x v="2"/>
    <x v="13"/>
    <s v="Station_15"/>
    <s v="Station_14"/>
    <d v="1899-12-30T18:47:00"/>
    <d v="1899-12-30T19:20:00"/>
    <n v="15"/>
    <n v="9"/>
    <x v="0"/>
    <n v="-3.2"/>
    <n v="96"/>
    <n v="38"/>
    <n v="17.899999999999999"/>
    <x v="0"/>
    <n v="500"/>
    <n v="53"/>
    <x v="0"/>
    <x v="1"/>
    <x v="1"/>
    <x v="3"/>
    <x v="1"/>
    <x v="1"/>
  </r>
  <r>
    <s v="T01496"/>
    <d v="2023-01-16T00:00:00"/>
    <d v="1899-12-30T19:00:00"/>
    <x v="1"/>
    <x v="14"/>
    <s v="Station_42"/>
    <s v="Station_32"/>
    <d v="1899-12-30T19:00:00"/>
    <d v="1899-12-30T19:21:00"/>
    <n v="7"/>
    <n v="17"/>
    <x v="2"/>
    <n v="11.9"/>
    <n v="72"/>
    <n v="48"/>
    <n v="9.9"/>
    <x v="0"/>
    <n v="0"/>
    <n v="38"/>
    <x v="0"/>
    <x v="1"/>
    <x v="1"/>
    <x v="3"/>
    <x v="1"/>
    <x v="1"/>
  </r>
  <r>
    <s v="T01497"/>
    <d v="2023-01-16T00:00:00"/>
    <d v="1899-12-30T19:15:00"/>
    <x v="1"/>
    <x v="5"/>
    <s v="Station_15"/>
    <s v="Station_6"/>
    <d v="1899-12-30T19:18:00"/>
    <d v="1899-12-30T20:05:00"/>
    <n v="18"/>
    <n v="23"/>
    <x v="4"/>
    <n v="29.4"/>
    <n v="30"/>
    <n v="39"/>
    <n v="7.1"/>
    <x v="0"/>
    <n v="0"/>
    <n v="3"/>
    <x v="0"/>
    <x v="1"/>
    <x v="1"/>
    <x v="0"/>
    <x v="1"/>
    <x v="2"/>
  </r>
  <r>
    <s v="T01498"/>
    <d v="2023-01-16T00:00:00"/>
    <d v="1899-12-30T19:30:00"/>
    <x v="0"/>
    <x v="4"/>
    <s v="Station_15"/>
    <s v="Station_39"/>
    <d v="1899-12-30T19:31:00"/>
    <d v="1899-12-30T20:17:00"/>
    <n v="1"/>
    <n v="2"/>
    <x v="0"/>
    <n v="0.4"/>
    <n v="73"/>
    <n v="27"/>
    <n v="16.2"/>
    <x v="0"/>
    <n v="0"/>
    <n v="57"/>
    <x v="1"/>
    <x v="1"/>
    <x v="1"/>
    <x v="0"/>
    <x v="0"/>
    <x v="1"/>
  </r>
  <r>
    <s v="T01499"/>
    <d v="2023-01-16T00:00:00"/>
    <d v="1899-12-30T19:45:00"/>
    <x v="0"/>
    <x v="13"/>
    <s v="Station_39"/>
    <s v="Station_10"/>
    <d v="1899-12-30T19:48:00"/>
    <d v="1899-12-30T20:11:00"/>
    <n v="-2"/>
    <n v="7"/>
    <x v="3"/>
    <n v="28.9"/>
    <n v="86"/>
    <n v="12"/>
    <n v="13.5"/>
    <x v="0"/>
    <n v="0"/>
    <n v="47"/>
    <x v="0"/>
    <x v="1"/>
    <x v="1"/>
    <x v="1"/>
    <x v="1"/>
    <x v="1"/>
  </r>
  <r>
    <s v="T01500"/>
    <d v="2023-01-16T00:00:00"/>
    <d v="1899-12-30T20:00:00"/>
    <x v="0"/>
    <x v="7"/>
    <s v="Station_13"/>
    <s v="Station_7"/>
    <d v="1899-12-30T20:04:00"/>
    <d v="1899-12-30T20:49:00"/>
    <n v="1"/>
    <n v="13"/>
    <x v="5"/>
    <n v="18.7"/>
    <n v="38"/>
    <n v="25"/>
    <n v="0.8"/>
    <x v="0"/>
    <n v="0"/>
    <n v="59"/>
    <x v="0"/>
    <x v="1"/>
    <x v="1"/>
    <x v="3"/>
    <x v="1"/>
    <x v="1"/>
  </r>
  <r>
    <s v="T01501"/>
    <d v="2023-01-16T00:00:00"/>
    <d v="1899-12-30T20:15:00"/>
    <x v="3"/>
    <x v="2"/>
    <s v="Station_17"/>
    <s v="Station_26"/>
    <d v="1899-12-30T20:15:00"/>
    <d v="1899-12-30T20:41:00"/>
    <n v="1"/>
    <n v="3"/>
    <x v="4"/>
    <n v="32.299999999999997"/>
    <n v="34"/>
    <n v="15"/>
    <n v="7"/>
    <x v="0"/>
    <n v="0"/>
    <n v="25"/>
    <x v="0"/>
    <x v="1"/>
    <x v="1"/>
    <x v="3"/>
    <x v="0"/>
    <x v="2"/>
  </r>
  <r>
    <s v="T01502"/>
    <d v="2023-01-16T00:00:00"/>
    <d v="1899-12-30T20:30:00"/>
    <x v="3"/>
    <x v="3"/>
    <s v="Station_32"/>
    <s v="Station_34"/>
    <d v="1899-12-30T20:32:00"/>
    <d v="1899-12-30T21:25:00"/>
    <n v="1"/>
    <n v="26"/>
    <x v="5"/>
    <n v="30"/>
    <n v="38"/>
    <n v="24"/>
    <n v="13.6"/>
    <x v="1"/>
    <n v="0"/>
    <n v="78"/>
    <x v="0"/>
    <x v="1"/>
    <x v="1"/>
    <x v="0"/>
    <x v="1"/>
    <x v="0"/>
  </r>
  <r>
    <s v="T01503"/>
    <d v="2023-01-16T00:00:00"/>
    <d v="1899-12-30T20:45:00"/>
    <x v="0"/>
    <x v="13"/>
    <s v="Station_9"/>
    <s v="Station_30"/>
    <d v="1899-12-30T20:45:00"/>
    <d v="1899-12-30T21:33:00"/>
    <n v="14"/>
    <n v="17"/>
    <x v="2"/>
    <n v="22.1"/>
    <n v="74"/>
    <n v="9"/>
    <n v="11.5"/>
    <x v="0"/>
    <n v="500"/>
    <n v="76"/>
    <x v="0"/>
    <x v="0"/>
    <x v="1"/>
    <x v="3"/>
    <x v="1"/>
    <x v="0"/>
  </r>
  <r>
    <s v="T01504"/>
    <d v="2023-01-16T00:00:00"/>
    <d v="1899-12-30T21:00:00"/>
    <x v="0"/>
    <x v="3"/>
    <s v="Station_40"/>
    <s v="Station_36"/>
    <d v="1899-12-30T21:04:00"/>
    <d v="1899-12-30T21:43:00"/>
    <n v="6"/>
    <n v="-3"/>
    <x v="4"/>
    <n v="21.3"/>
    <n v="53"/>
    <n v="28"/>
    <n v="19.600000000000001"/>
    <x v="0"/>
    <n v="10000"/>
    <n v="39"/>
    <x v="0"/>
    <x v="1"/>
    <x v="1"/>
    <x v="2"/>
    <x v="0"/>
    <x v="1"/>
  </r>
  <r>
    <s v="T01505"/>
    <d v="2023-01-16T00:00:00"/>
    <d v="1899-12-30T21:15:00"/>
    <x v="0"/>
    <x v="15"/>
    <s v="Station_20"/>
    <s v="Station_21"/>
    <d v="1899-12-30T21:19:00"/>
    <d v="1899-12-30T22:13:00"/>
    <n v="16"/>
    <n v="21"/>
    <x v="0"/>
    <n v="3.5"/>
    <n v="71"/>
    <n v="45"/>
    <n v="17.3"/>
    <x v="0"/>
    <n v="0"/>
    <n v="85"/>
    <x v="0"/>
    <x v="1"/>
    <x v="1"/>
    <x v="0"/>
    <x v="1"/>
    <x v="0"/>
  </r>
  <r>
    <s v="T01506"/>
    <d v="2023-01-16T00:00:00"/>
    <d v="1899-12-30T21:30:00"/>
    <x v="1"/>
    <x v="11"/>
    <s v="Station_26"/>
    <s v="Station_17"/>
    <d v="1899-12-30T21:34:00"/>
    <d v="1899-12-30T21:53:00"/>
    <n v="10"/>
    <n v="28"/>
    <x v="1"/>
    <n v="-0.3"/>
    <n v="51"/>
    <n v="37"/>
    <n v="1.2"/>
    <x v="0"/>
    <n v="500"/>
    <n v="76"/>
    <x v="0"/>
    <x v="1"/>
    <x v="1"/>
    <x v="2"/>
    <x v="1"/>
    <x v="0"/>
  </r>
  <r>
    <s v="T01507"/>
    <d v="2023-01-16T00:00:00"/>
    <d v="1899-12-30T21:45:00"/>
    <x v="3"/>
    <x v="3"/>
    <s v="Station_27"/>
    <s v="Station_33"/>
    <d v="1899-12-30T21:49:00"/>
    <d v="1899-12-30T22:33:00"/>
    <n v="1"/>
    <n v="4"/>
    <x v="4"/>
    <n v="11.6"/>
    <n v="89"/>
    <n v="19"/>
    <n v="14.5"/>
    <x v="5"/>
    <n v="0"/>
    <n v="55"/>
    <x v="0"/>
    <x v="1"/>
    <x v="1"/>
    <x v="0"/>
    <x v="0"/>
    <x v="1"/>
  </r>
  <r>
    <s v="T01508"/>
    <d v="2023-01-16T00:00:00"/>
    <d v="1899-12-30T22:00:00"/>
    <x v="1"/>
    <x v="9"/>
    <s v="Station_21"/>
    <s v="Station_10"/>
    <d v="1899-12-30T22:01:00"/>
    <d v="1899-12-30T22:24:00"/>
    <n v="2"/>
    <n v="1"/>
    <x v="4"/>
    <n v="2.5"/>
    <n v="66"/>
    <n v="53"/>
    <n v="6.7"/>
    <x v="0"/>
    <n v="0"/>
    <n v="38"/>
    <x v="0"/>
    <x v="1"/>
    <x v="1"/>
    <x v="0"/>
    <x v="0"/>
    <x v="1"/>
  </r>
  <r>
    <s v="T01509"/>
    <d v="2023-01-16T00:00:00"/>
    <d v="1899-12-30T22:15:00"/>
    <x v="1"/>
    <x v="14"/>
    <s v="Station_18"/>
    <s v="Station_47"/>
    <d v="1899-12-30T22:17:00"/>
    <d v="1899-12-30T23:03:00"/>
    <n v="10"/>
    <n v="26"/>
    <x v="4"/>
    <n v="-0.9"/>
    <n v="68"/>
    <n v="25"/>
    <n v="13.6"/>
    <x v="5"/>
    <n v="50000"/>
    <n v="80"/>
    <x v="0"/>
    <x v="1"/>
    <x v="1"/>
    <x v="0"/>
    <x v="1"/>
    <x v="0"/>
  </r>
  <r>
    <s v="T01510"/>
    <d v="2023-01-16T00:00:00"/>
    <d v="1899-12-30T22:30:00"/>
    <x v="0"/>
    <x v="10"/>
    <s v="Station_13"/>
    <s v="Station_42"/>
    <d v="1899-12-30T22:34:00"/>
    <d v="1899-12-30T23:19:00"/>
    <n v="13"/>
    <n v="4"/>
    <x v="4"/>
    <n v="7.1"/>
    <n v="82"/>
    <n v="31"/>
    <n v="12.3"/>
    <x v="0"/>
    <n v="0"/>
    <n v="99"/>
    <x v="0"/>
    <x v="1"/>
    <x v="1"/>
    <x v="1"/>
    <x v="0"/>
    <x v="0"/>
  </r>
  <r>
    <s v="T01511"/>
    <d v="2023-01-16T00:00:00"/>
    <d v="1899-12-30T22:45:00"/>
    <x v="0"/>
    <x v="12"/>
    <s v="Station_16"/>
    <s v="Station_12"/>
    <d v="1899-12-30T22:49:00"/>
    <d v="1899-12-30T23:33:00"/>
    <n v="19"/>
    <n v="15"/>
    <x v="0"/>
    <n v="29.4"/>
    <n v="57"/>
    <n v="38"/>
    <n v="10.1"/>
    <x v="5"/>
    <n v="0"/>
    <n v="38"/>
    <x v="0"/>
    <x v="0"/>
    <x v="1"/>
    <x v="1"/>
    <x v="1"/>
    <x v="1"/>
  </r>
  <r>
    <s v="T01512"/>
    <d v="2023-01-16T00:00:00"/>
    <d v="1899-12-30T23:00:00"/>
    <x v="2"/>
    <x v="13"/>
    <s v="Station_9"/>
    <s v="Station_16"/>
    <d v="1899-12-30T23:03:00"/>
    <d v="1899-12-30T23:45:00"/>
    <n v="2"/>
    <n v="26"/>
    <x v="0"/>
    <n v="-4.3"/>
    <n v="44"/>
    <n v="37"/>
    <n v="17.100000000000001"/>
    <x v="0"/>
    <n v="0"/>
    <n v="47"/>
    <x v="0"/>
    <x v="1"/>
    <x v="1"/>
    <x v="0"/>
    <x v="1"/>
    <x v="1"/>
  </r>
  <r>
    <s v="T01513"/>
    <d v="2023-01-16T00:00:00"/>
    <d v="1899-12-30T23:15:00"/>
    <x v="2"/>
    <x v="9"/>
    <s v="Station_12"/>
    <s v="Station_41"/>
    <d v="1899-12-30T23:17:00"/>
    <d v="1899-12-30T23:53:00"/>
    <n v="5"/>
    <n v="11"/>
    <x v="1"/>
    <n v="6.7"/>
    <n v="89"/>
    <n v="58"/>
    <n v="14.2"/>
    <x v="0"/>
    <n v="0"/>
    <n v="24"/>
    <x v="0"/>
    <x v="0"/>
    <x v="1"/>
    <x v="0"/>
    <x v="1"/>
    <x v="2"/>
  </r>
  <r>
    <s v="T01514"/>
    <d v="2023-01-16T00:00:00"/>
    <d v="1899-12-30T23:30:00"/>
    <x v="1"/>
    <x v="3"/>
    <s v="Station_44"/>
    <s v="Station_32"/>
    <d v="1899-12-30T23:30:00"/>
    <d v="1899-12-30T00:15:00"/>
    <n v="13"/>
    <n v="23"/>
    <x v="0"/>
    <n v="12"/>
    <n v="89"/>
    <n v="48"/>
    <n v="17.8"/>
    <x v="2"/>
    <n v="500"/>
    <n v="33"/>
    <x v="0"/>
    <x v="0"/>
    <x v="1"/>
    <x v="0"/>
    <x v="1"/>
    <x v="2"/>
  </r>
  <r>
    <s v="T01515"/>
    <d v="2023-01-16T00:00:00"/>
    <d v="1899-12-30T23:45:00"/>
    <x v="3"/>
    <x v="0"/>
    <s v="Station_38"/>
    <s v="Station_15"/>
    <d v="1899-12-30T23:47:00"/>
    <d v="1899-12-30T00:41:00"/>
    <n v="-2"/>
    <n v="9"/>
    <x v="0"/>
    <n v="15.4"/>
    <n v="35"/>
    <n v="52"/>
    <n v="5.6"/>
    <x v="0"/>
    <n v="0"/>
    <n v="20"/>
    <x v="0"/>
    <x v="1"/>
    <x v="1"/>
    <x v="0"/>
    <x v="1"/>
    <x v="2"/>
  </r>
  <r>
    <s v="T01516"/>
    <d v="2023-01-17T00:00:00"/>
    <d v="1899-12-30T00:00:00"/>
    <x v="0"/>
    <x v="14"/>
    <s v="Station_19"/>
    <s v="Station_27"/>
    <d v="1899-12-30T00:02:00"/>
    <d v="1899-12-30T00:46:00"/>
    <n v="3"/>
    <n v="10"/>
    <x v="2"/>
    <n v="2.2999999999999998"/>
    <n v="81"/>
    <n v="23"/>
    <n v="7"/>
    <x v="1"/>
    <n v="0"/>
    <n v="24"/>
    <x v="0"/>
    <x v="1"/>
    <x v="2"/>
    <x v="3"/>
    <x v="1"/>
    <x v="2"/>
  </r>
  <r>
    <s v="T01517"/>
    <d v="2023-01-17T00:00:00"/>
    <d v="1899-12-30T00:15:00"/>
    <x v="0"/>
    <x v="13"/>
    <s v="Station_7"/>
    <s v="Station_28"/>
    <d v="1899-12-30T00:17:00"/>
    <d v="1899-12-30T01:04:00"/>
    <n v="8"/>
    <n v="26"/>
    <x v="2"/>
    <n v="33.6"/>
    <n v="41"/>
    <n v="30"/>
    <n v="12.4"/>
    <x v="0"/>
    <n v="10000"/>
    <n v="88"/>
    <x v="0"/>
    <x v="1"/>
    <x v="2"/>
    <x v="3"/>
    <x v="1"/>
    <x v="0"/>
  </r>
  <r>
    <s v="T01518"/>
    <d v="2023-01-17T00:00:00"/>
    <d v="1899-12-30T00:30:00"/>
    <x v="1"/>
    <x v="7"/>
    <s v="Station_35"/>
    <s v="Station_17"/>
    <d v="1899-12-30T00:34:00"/>
    <d v="1899-12-30T01:19:00"/>
    <n v="13"/>
    <n v="9"/>
    <x v="5"/>
    <n v="18.2"/>
    <n v="48"/>
    <n v="39"/>
    <n v="19.3"/>
    <x v="1"/>
    <n v="0"/>
    <n v="21"/>
    <x v="0"/>
    <x v="1"/>
    <x v="2"/>
    <x v="3"/>
    <x v="1"/>
    <x v="2"/>
  </r>
  <r>
    <s v="T01519"/>
    <d v="2023-01-17T00:00:00"/>
    <d v="1899-12-30T00:45:00"/>
    <x v="2"/>
    <x v="18"/>
    <s v="Station_48"/>
    <s v="Station_46"/>
    <d v="1899-12-30T00:49:00"/>
    <d v="1899-12-30T01:07:00"/>
    <n v="2"/>
    <n v="12"/>
    <x v="1"/>
    <n v="15.9"/>
    <n v="31"/>
    <n v="11"/>
    <n v="7.4"/>
    <x v="5"/>
    <n v="0"/>
    <n v="22"/>
    <x v="0"/>
    <x v="1"/>
    <x v="2"/>
    <x v="1"/>
    <x v="1"/>
    <x v="2"/>
  </r>
  <r>
    <s v="T01520"/>
    <d v="2023-01-17T00:00:00"/>
    <d v="1899-12-30T01:00:00"/>
    <x v="3"/>
    <x v="4"/>
    <s v="Station_18"/>
    <s v="Station_50"/>
    <d v="1899-12-30T01:01:00"/>
    <d v="1899-12-30T01:26:00"/>
    <n v="13"/>
    <n v="3"/>
    <x v="2"/>
    <n v="-4.5999999999999996"/>
    <n v="84"/>
    <n v="57"/>
    <n v="0.6"/>
    <x v="3"/>
    <n v="50000"/>
    <n v="24"/>
    <x v="0"/>
    <x v="1"/>
    <x v="2"/>
    <x v="2"/>
    <x v="0"/>
    <x v="2"/>
  </r>
  <r>
    <s v="T01521"/>
    <d v="2023-01-17T00:00:00"/>
    <d v="1899-12-30T01:15:00"/>
    <x v="2"/>
    <x v="5"/>
    <s v="Station_16"/>
    <s v="Station_2"/>
    <d v="1899-12-30T01:15:00"/>
    <d v="1899-12-30T01:43:00"/>
    <n v="4"/>
    <n v="23"/>
    <x v="1"/>
    <n v="14.4"/>
    <n v="44"/>
    <n v="56"/>
    <n v="8.9"/>
    <x v="0"/>
    <n v="0"/>
    <n v="77"/>
    <x v="0"/>
    <x v="0"/>
    <x v="2"/>
    <x v="0"/>
    <x v="1"/>
    <x v="0"/>
  </r>
  <r>
    <s v="T01522"/>
    <d v="2023-01-17T00:00:00"/>
    <d v="1899-12-30T01:30:00"/>
    <x v="2"/>
    <x v="9"/>
    <s v="Station_39"/>
    <s v="Station_36"/>
    <d v="1899-12-30T01:33:00"/>
    <d v="1899-12-30T02:02:00"/>
    <n v="16"/>
    <n v="11"/>
    <x v="1"/>
    <n v="28.5"/>
    <n v="93"/>
    <n v="35"/>
    <n v="10.9"/>
    <x v="0"/>
    <n v="10000"/>
    <n v="77"/>
    <x v="0"/>
    <x v="1"/>
    <x v="2"/>
    <x v="3"/>
    <x v="1"/>
    <x v="0"/>
  </r>
  <r>
    <s v="T01523"/>
    <d v="2023-01-17T00:00:00"/>
    <d v="1899-12-30T01:45:00"/>
    <x v="2"/>
    <x v="19"/>
    <s v="Station_4"/>
    <s v="Station_50"/>
    <d v="1899-12-30T01:47:00"/>
    <d v="1899-12-30T02:19:00"/>
    <n v="-2"/>
    <n v="24"/>
    <x v="4"/>
    <n v="3.8"/>
    <n v="98"/>
    <n v="9"/>
    <n v="16"/>
    <x v="3"/>
    <n v="50000"/>
    <n v="25"/>
    <x v="1"/>
    <x v="1"/>
    <x v="2"/>
    <x v="3"/>
    <x v="1"/>
    <x v="2"/>
  </r>
  <r>
    <s v="T01524"/>
    <d v="2023-01-17T00:00:00"/>
    <d v="1899-12-30T02:00:00"/>
    <x v="2"/>
    <x v="14"/>
    <s v="Station_25"/>
    <s v="Station_7"/>
    <d v="1899-12-30T02:00:00"/>
    <d v="1899-12-30T02:24:00"/>
    <n v="6"/>
    <n v="3"/>
    <x v="3"/>
    <n v="9"/>
    <n v="44"/>
    <n v="5"/>
    <n v="14.6"/>
    <x v="5"/>
    <n v="0"/>
    <n v="29"/>
    <x v="0"/>
    <x v="1"/>
    <x v="2"/>
    <x v="3"/>
    <x v="0"/>
    <x v="2"/>
  </r>
  <r>
    <s v="T01525"/>
    <d v="2023-01-17T00:00:00"/>
    <d v="1899-12-30T02:15:00"/>
    <x v="0"/>
    <x v="13"/>
    <s v="Station_32"/>
    <s v="Station_13"/>
    <d v="1899-12-30T02:15:00"/>
    <d v="1899-12-30T03:03:00"/>
    <n v="15"/>
    <n v="16"/>
    <x v="3"/>
    <n v="-4.2"/>
    <n v="72"/>
    <n v="6"/>
    <n v="19.3"/>
    <x v="0"/>
    <n v="0"/>
    <n v="89"/>
    <x v="0"/>
    <x v="1"/>
    <x v="2"/>
    <x v="0"/>
    <x v="1"/>
    <x v="0"/>
  </r>
  <r>
    <s v="T01526"/>
    <d v="2023-01-17T00:00:00"/>
    <d v="1899-12-30T02:30:00"/>
    <x v="0"/>
    <x v="17"/>
    <s v="Station_40"/>
    <s v="Station_15"/>
    <d v="1899-12-30T02:31:00"/>
    <d v="1899-12-30T03:24:00"/>
    <n v="10"/>
    <n v="28"/>
    <x v="3"/>
    <n v="34.1"/>
    <n v="46"/>
    <n v="52"/>
    <n v="15.7"/>
    <x v="0"/>
    <n v="0"/>
    <n v="37"/>
    <x v="0"/>
    <x v="0"/>
    <x v="2"/>
    <x v="0"/>
    <x v="1"/>
    <x v="1"/>
  </r>
  <r>
    <s v="T01527"/>
    <d v="2023-01-17T00:00:00"/>
    <d v="1899-12-30T02:45:00"/>
    <x v="2"/>
    <x v="15"/>
    <s v="Station_13"/>
    <s v="Station_25"/>
    <d v="1899-12-30T02:48:00"/>
    <d v="1899-12-30T03:31:00"/>
    <n v="12"/>
    <n v="28"/>
    <x v="1"/>
    <n v="-2.2999999999999998"/>
    <n v="53"/>
    <n v="30"/>
    <n v="6"/>
    <x v="0"/>
    <n v="10000"/>
    <n v="85"/>
    <x v="0"/>
    <x v="1"/>
    <x v="2"/>
    <x v="2"/>
    <x v="1"/>
    <x v="0"/>
  </r>
  <r>
    <s v="T01528"/>
    <d v="2023-01-17T00:00:00"/>
    <d v="1899-12-30T03:00:00"/>
    <x v="3"/>
    <x v="9"/>
    <s v="Station_45"/>
    <s v="Station_23"/>
    <d v="1899-12-30T03:02:00"/>
    <d v="1899-12-30T03:46:00"/>
    <n v="0"/>
    <n v="22"/>
    <x v="4"/>
    <n v="30.9"/>
    <n v="59"/>
    <n v="26"/>
    <n v="12.8"/>
    <x v="3"/>
    <n v="0"/>
    <n v="33"/>
    <x v="0"/>
    <x v="1"/>
    <x v="2"/>
    <x v="1"/>
    <x v="1"/>
    <x v="2"/>
  </r>
  <r>
    <s v="T01529"/>
    <d v="2023-01-17T00:00:00"/>
    <d v="1899-12-30T03:15:00"/>
    <x v="1"/>
    <x v="13"/>
    <s v="Station_17"/>
    <s v="Station_22"/>
    <d v="1899-12-30T03:18:00"/>
    <d v="1899-12-30T03:42:00"/>
    <n v="7"/>
    <n v="16"/>
    <x v="5"/>
    <n v="7.5"/>
    <n v="96"/>
    <n v="7"/>
    <n v="13.4"/>
    <x v="0"/>
    <n v="2000"/>
    <n v="88"/>
    <x v="0"/>
    <x v="0"/>
    <x v="2"/>
    <x v="2"/>
    <x v="1"/>
    <x v="0"/>
  </r>
  <r>
    <s v="T01530"/>
    <d v="2023-01-17T00:00:00"/>
    <d v="1899-12-30T03:30:00"/>
    <x v="3"/>
    <x v="9"/>
    <s v="Station_49"/>
    <s v="Station_26"/>
    <d v="1899-12-30T03:31:00"/>
    <d v="1899-12-30T04:21:00"/>
    <n v="6"/>
    <n v="14"/>
    <x v="5"/>
    <n v="18.5"/>
    <n v="80"/>
    <n v="2"/>
    <n v="20"/>
    <x v="0"/>
    <n v="50000"/>
    <n v="99"/>
    <x v="0"/>
    <x v="0"/>
    <x v="2"/>
    <x v="0"/>
    <x v="1"/>
    <x v="0"/>
  </r>
  <r>
    <s v="T01531"/>
    <d v="2023-01-17T00:00:00"/>
    <d v="1899-12-30T03:45:00"/>
    <x v="3"/>
    <x v="18"/>
    <s v="Station_37"/>
    <s v="Station_33"/>
    <d v="1899-12-30T03:49:00"/>
    <d v="1899-12-30T04:24:00"/>
    <n v="10"/>
    <n v="11"/>
    <x v="3"/>
    <n v="22.2"/>
    <n v="89"/>
    <n v="39"/>
    <n v="2.8"/>
    <x v="4"/>
    <n v="10000"/>
    <n v="76"/>
    <x v="0"/>
    <x v="0"/>
    <x v="2"/>
    <x v="2"/>
    <x v="1"/>
    <x v="0"/>
  </r>
  <r>
    <s v="T01532"/>
    <d v="2023-01-17T00:00:00"/>
    <d v="1899-12-30T04:00:00"/>
    <x v="3"/>
    <x v="18"/>
    <s v="Station_6"/>
    <s v="Station_11"/>
    <d v="1899-12-30T04:00:00"/>
    <d v="1899-12-30T04:29:00"/>
    <n v="13"/>
    <n v="18"/>
    <x v="5"/>
    <n v="0.6"/>
    <n v="32"/>
    <n v="46"/>
    <n v="3.8"/>
    <x v="5"/>
    <n v="50000"/>
    <n v="92"/>
    <x v="0"/>
    <x v="0"/>
    <x v="2"/>
    <x v="3"/>
    <x v="1"/>
    <x v="0"/>
  </r>
  <r>
    <s v="T01533"/>
    <d v="2023-01-17T00:00:00"/>
    <d v="1899-12-30T04:15:00"/>
    <x v="2"/>
    <x v="4"/>
    <s v="Station_19"/>
    <s v="Station_10"/>
    <d v="1899-12-30T04:17:00"/>
    <d v="1899-12-30T04:47:00"/>
    <n v="0"/>
    <n v="18"/>
    <x v="4"/>
    <n v="12.8"/>
    <n v="34"/>
    <n v="20"/>
    <n v="3.1"/>
    <x v="2"/>
    <n v="2000"/>
    <n v="72"/>
    <x v="0"/>
    <x v="1"/>
    <x v="2"/>
    <x v="2"/>
    <x v="1"/>
    <x v="0"/>
  </r>
  <r>
    <s v="T01534"/>
    <d v="2023-01-17T00:00:00"/>
    <d v="1899-12-30T04:30:00"/>
    <x v="0"/>
    <x v="16"/>
    <s v="Station_13"/>
    <s v="Station_25"/>
    <d v="1899-12-30T04:34:00"/>
    <d v="1899-12-30T05:18:00"/>
    <n v="19"/>
    <n v="17"/>
    <x v="3"/>
    <n v="8"/>
    <n v="57"/>
    <n v="0"/>
    <n v="11.8"/>
    <x v="0"/>
    <n v="50000"/>
    <n v="14"/>
    <x v="0"/>
    <x v="1"/>
    <x v="2"/>
    <x v="3"/>
    <x v="1"/>
    <x v="2"/>
  </r>
  <r>
    <s v="T01535"/>
    <d v="2023-01-17T00:00:00"/>
    <d v="1899-12-30T04:45:00"/>
    <x v="3"/>
    <x v="9"/>
    <s v="Station_26"/>
    <s v="Station_37"/>
    <d v="1899-12-30T04:46:00"/>
    <d v="1899-12-30T05:39:00"/>
    <n v="12"/>
    <n v="-2"/>
    <x v="4"/>
    <n v="-2.7"/>
    <n v="40"/>
    <n v="44"/>
    <n v="2.7"/>
    <x v="0"/>
    <n v="0"/>
    <n v="94"/>
    <x v="0"/>
    <x v="1"/>
    <x v="2"/>
    <x v="2"/>
    <x v="0"/>
    <x v="0"/>
  </r>
  <r>
    <s v="T01536"/>
    <d v="2023-01-17T00:00:00"/>
    <d v="1899-12-30T05:00:00"/>
    <x v="2"/>
    <x v="13"/>
    <s v="Station_14"/>
    <s v="Station_48"/>
    <d v="1899-12-30T05:03:00"/>
    <d v="1899-12-30T05:27:00"/>
    <n v="14"/>
    <n v="14"/>
    <x v="5"/>
    <n v="28.3"/>
    <n v="44"/>
    <n v="53"/>
    <n v="13.1"/>
    <x v="3"/>
    <n v="2000"/>
    <n v="43"/>
    <x v="0"/>
    <x v="1"/>
    <x v="2"/>
    <x v="3"/>
    <x v="1"/>
    <x v="1"/>
  </r>
  <r>
    <s v="T01537"/>
    <d v="2023-01-17T00:00:00"/>
    <d v="1899-12-30T05:15:00"/>
    <x v="3"/>
    <x v="9"/>
    <s v="Station_31"/>
    <s v="Station_43"/>
    <d v="1899-12-30T05:15:00"/>
    <d v="1899-12-30T06:03:00"/>
    <n v="11"/>
    <n v="19"/>
    <x v="3"/>
    <n v="-3.2"/>
    <n v="77"/>
    <n v="49"/>
    <n v="16.100000000000001"/>
    <x v="1"/>
    <n v="2000"/>
    <n v="90"/>
    <x v="0"/>
    <x v="1"/>
    <x v="2"/>
    <x v="2"/>
    <x v="1"/>
    <x v="0"/>
  </r>
  <r>
    <s v="T01538"/>
    <d v="2023-01-17T00:00:00"/>
    <d v="1899-12-30T05:30:00"/>
    <x v="3"/>
    <x v="2"/>
    <s v="Station_4"/>
    <s v="Station_38"/>
    <d v="1899-12-30T05:32:00"/>
    <d v="1899-12-30T06:20:00"/>
    <n v="4"/>
    <n v="9"/>
    <x v="4"/>
    <n v="21.1"/>
    <n v="75"/>
    <n v="14"/>
    <n v="8.6999999999999993"/>
    <x v="4"/>
    <n v="0"/>
    <n v="94"/>
    <x v="0"/>
    <x v="0"/>
    <x v="2"/>
    <x v="1"/>
    <x v="1"/>
    <x v="0"/>
  </r>
  <r>
    <s v="T01539"/>
    <d v="2023-01-17T00:00:00"/>
    <d v="1899-12-30T05:45:00"/>
    <x v="2"/>
    <x v="5"/>
    <s v="Station_39"/>
    <s v="Station_41"/>
    <d v="1899-12-30T05:49:00"/>
    <d v="1899-12-30T06:34:00"/>
    <n v="17"/>
    <n v="5"/>
    <x v="0"/>
    <n v="7.6"/>
    <n v="57"/>
    <n v="6"/>
    <n v="11.2"/>
    <x v="1"/>
    <n v="0"/>
    <n v="9"/>
    <x v="0"/>
    <x v="1"/>
    <x v="2"/>
    <x v="2"/>
    <x v="0"/>
    <x v="2"/>
  </r>
  <r>
    <s v="T01540"/>
    <d v="2023-01-17T00:00:00"/>
    <d v="1899-12-30T06:00:00"/>
    <x v="0"/>
    <x v="2"/>
    <s v="Station_8"/>
    <s v="Station_45"/>
    <d v="1899-12-30T06:04:00"/>
    <d v="1899-12-30T06:41:00"/>
    <n v="13"/>
    <n v="3"/>
    <x v="0"/>
    <n v="2.7"/>
    <n v="36"/>
    <n v="14"/>
    <n v="18.3"/>
    <x v="0"/>
    <n v="500"/>
    <n v="36"/>
    <x v="0"/>
    <x v="0"/>
    <x v="2"/>
    <x v="0"/>
    <x v="0"/>
    <x v="1"/>
  </r>
  <r>
    <s v="T01541"/>
    <d v="2023-01-17T00:00:00"/>
    <d v="1899-12-30T06:15:00"/>
    <x v="0"/>
    <x v="1"/>
    <s v="Station_25"/>
    <s v="Station_24"/>
    <d v="1899-12-30T06:15:00"/>
    <d v="1899-12-30T06:55:00"/>
    <n v="18"/>
    <n v="-3"/>
    <x v="4"/>
    <n v="21.7"/>
    <n v="35"/>
    <n v="24"/>
    <n v="11.4"/>
    <x v="1"/>
    <n v="0"/>
    <n v="6"/>
    <x v="0"/>
    <x v="1"/>
    <x v="2"/>
    <x v="0"/>
    <x v="0"/>
    <x v="2"/>
  </r>
  <r>
    <s v="T01542"/>
    <d v="2023-01-17T00:00:00"/>
    <d v="1899-12-30T06:30:00"/>
    <x v="1"/>
    <x v="15"/>
    <s v="Station_13"/>
    <s v="Station_40"/>
    <d v="1899-12-30T06:33:00"/>
    <d v="1899-12-30T07:01:00"/>
    <n v="5"/>
    <n v="-2"/>
    <x v="4"/>
    <n v="18"/>
    <n v="87"/>
    <n v="2"/>
    <n v="4.2"/>
    <x v="0"/>
    <n v="0"/>
    <n v="31"/>
    <x v="0"/>
    <x v="1"/>
    <x v="2"/>
    <x v="3"/>
    <x v="0"/>
    <x v="2"/>
  </r>
  <r>
    <s v="T01543"/>
    <d v="2023-01-17T00:00:00"/>
    <d v="1899-12-30T06:45:00"/>
    <x v="2"/>
    <x v="17"/>
    <s v="Station_32"/>
    <s v="Station_46"/>
    <d v="1899-12-30T06:46:00"/>
    <d v="1899-12-30T07:15:00"/>
    <n v="1"/>
    <n v="0"/>
    <x v="2"/>
    <n v="7.6"/>
    <n v="97"/>
    <n v="29"/>
    <n v="6.9"/>
    <x v="0"/>
    <n v="0"/>
    <n v="10"/>
    <x v="0"/>
    <x v="1"/>
    <x v="2"/>
    <x v="0"/>
    <x v="0"/>
    <x v="2"/>
  </r>
  <r>
    <s v="T01544"/>
    <d v="2023-01-17T00:00:00"/>
    <d v="1899-12-30T07:00:00"/>
    <x v="1"/>
    <x v="13"/>
    <s v="Station_38"/>
    <s v="Station_33"/>
    <d v="1899-12-30T07:03:00"/>
    <d v="1899-12-30T07:21:00"/>
    <n v="17"/>
    <n v="10"/>
    <x v="2"/>
    <n v="15.5"/>
    <n v="84"/>
    <n v="57"/>
    <n v="10.6"/>
    <x v="5"/>
    <n v="50000"/>
    <n v="47"/>
    <x v="0"/>
    <x v="1"/>
    <x v="2"/>
    <x v="3"/>
    <x v="1"/>
    <x v="1"/>
  </r>
  <r>
    <s v="T01545"/>
    <d v="2023-01-17T00:00:00"/>
    <d v="1899-12-30T07:15:00"/>
    <x v="1"/>
    <x v="8"/>
    <s v="Station_38"/>
    <s v="Station_17"/>
    <d v="1899-12-30T07:18:00"/>
    <d v="1899-12-30T07:36:00"/>
    <n v="12"/>
    <n v="28"/>
    <x v="1"/>
    <n v="4.8"/>
    <n v="96"/>
    <n v="13"/>
    <n v="3.1"/>
    <x v="0"/>
    <n v="0"/>
    <n v="91"/>
    <x v="0"/>
    <x v="1"/>
    <x v="2"/>
    <x v="1"/>
    <x v="1"/>
    <x v="0"/>
  </r>
  <r>
    <s v="T01546"/>
    <d v="2023-01-17T00:00:00"/>
    <d v="1899-12-30T07:30:00"/>
    <x v="1"/>
    <x v="6"/>
    <s v="Station_28"/>
    <s v="Station_24"/>
    <d v="1899-12-30T07:33:00"/>
    <d v="1899-12-30T08:23:00"/>
    <n v="2"/>
    <n v="-2"/>
    <x v="3"/>
    <n v="29.5"/>
    <n v="78"/>
    <n v="51"/>
    <n v="12.3"/>
    <x v="0"/>
    <n v="10000"/>
    <n v="67"/>
    <x v="0"/>
    <x v="1"/>
    <x v="2"/>
    <x v="0"/>
    <x v="0"/>
    <x v="0"/>
  </r>
  <r>
    <s v="T01547"/>
    <d v="2023-01-17T00:00:00"/>
    <d v="1899-12-30T07:45:00"/>
    <x v="0"/>
    <x v="2"/>
    <s v="Station_30"/>
    <s v="Station_37"/>
    <d v="1899-12-30T07:45:00"/>
    <d v="1899-12-30T08:07:00"/>
    <n v="10"/>
    <n v="10"/>
    <x v="1"/>
    <n v="7.6"/>
    <n v="80"/>
    <n v="3"/>
    <n v="20"/>
    <x v="0"/>
    <n v="0"/>
    <n v="47"/>
    <x v="0"/>
    <x v="1"/>
    <x v="2"/>
    <x v="0"/>
    <x v="1"/>
    <x v="1"/>
  </r>
  <r>
    <s v="T01548"/>
    <d v="2023-01-17T00:00:00"/>
    <d v="1899-12-30T08:00:00"/>
    <x v="2"/>
    <x v="14"/>
    <s v="Station_3"/>
    <s v="Station_2"/>
    <d v="1899-12-30T08:00:00"/>
    <d v="1899-12-30T08:35:00"/>
    <n v="3"/>
    <n v="16"/>
    <x v="1"/>
    <n v="4.8"/>
    <n v="88"/>
    <n v="35"/>
    <n v="13.1"/>
    <x v="0"/>
    <n v="0"/>
    <n v="44"/>
    <x v="0"/>
    <x v="0"/>
    <x v="2"/>
    <x v="3"/>
    <x v="1"/>
    <x v="1"/>
  </r>
  <r>
    <s v="T01549"/>
    <d v="2023-01-17T00:00:00"/>
    <d v="1899-12-30T08:15:00"/>
    <x v="1"/>
    <x v="6"/>
    <s v="Station_28"/>
    <s v="Station_32"/>
    <d v="1899-12-30T08:16:00"/>
    <d v="1899-12-30T08:38:00"/>
    <n v="2"/>
    <n v="21"/>
    <x v="5"/>
    <n v="25.1"/>
    <n v="35"/>
    <n v="2"/>
    <n v="7.4"/>
    <x v="2"/>
    <n v="0"/>
    <n v="94"/>
    <x v="1"/>
    <x v="1"/>
    <x v="2"/>
    <x v="1"/>
    <x v="1"/>
    <x v="0"/>
  </r>
  <r>
    <s v="T01550"/>
    <d v="2023-01-17T00:00:00"/>
    <d v="1899-12-30T08:30:00"/>
    <x v="2"/>
    <x v="15"/>
    <s v="Station_3"/>
    <s v="Station_24"/>
    <d v="1899-12-30T08:33:00"/>
    <d v="1899-12-30T09:12:00"/>
    <n v="14"/>
    <n v="4"/>
    <x v="0"/>
    <n v="-4.3"/>
    <n v="80"/>
    <n v="4"/>
    <n v="6.6"/>
    <x v="4"/>
    <n v="500"/>
    <n v="92"/>
    <x v="0"/>
    <x v="1"/>
    <x v="2"/>
    <x v="1"/>
    <x v="0"/>
    <x v="0"/>
  </r>
  <r>
    <s v="T01551"/>
    <d v="2023-01-17T00:00:00"/>
    <d v="1899-12-30T08:45:00"/>
    <x v="2"/>
    <x v="1"/>
    <s v="Station_45"/>
    <s v="Station_9"/>
    <d v="1899-12-30T08:45:00"/>
    <d v="1899-12-30T09:24:00"/>
    <n v="4"/>
    <n v="24"/>
    <x v="5"/>
    <n v="5.7"/>
    <n v="67"/>
    <n v="24"/>
    <n v="18.600000000000001"/>
    <x v="0"/>
    <n v="10000"/>
    <n v="32"/>
    <x v="0"/>
    <x v="1"/>
    <x v="2"/>
    <x v="2"/>
    <x v="1"/>
    <x v="2"/>
  </r>
  <r>
    <s v="T01552"/>
    <d v="2023-01-17T00:00:00"/>
    <d v="1899-12-30T09:00:00"/>
    <x v="0"/>
    <x v="19"/>
    <s v="Station_34"/>
    <s v="Station_4"/>
    <d v="1899-12-30T09:01:00"/>
    <d v="1899-12-30T09:44:00"/>
    <n v="3"/>
    <n v="17"/>
    <x v="3"/>
    <n v="10"/>
    <n v="40"/>
    <n v="30"/>
    <n v="17.399999999999999"/>
    <x v="0"/>
    <n v="2000"/>
    <n v="3"/>
    <x v="0"/>
    <x v="1"/>
    <x v="2"/>
    <x v="3"/>
    <x v="1"/>
    <x v="2"/>
  </r>
  <r>
    <s v="T01553"/>
    <d v="2023-01-17T00:00:00"/>
    <d v="1899-12-30T09:15:00"/>
    <x v="1"/>
    <x v="9"/>
    <s v="Station_16"/>
    <s v="Station_17"/>
    <d v="1899-12-30T09:16:00"/>
    <d v="1899-12-30T10:04:00"/>
    <n v="-1"/>
    <n v="19"/>
    <x v="4"/>
    <n v="30.3"/>
    <n v="81"/>
    <n v="10"/>
    <n v="9.4"/>
    <x v="0"/>
    <n v="2000"/>
    <n v="46"/>
    <x v="1"/>
    <x v="0"/>
    <x v="2"/>
    <x v="3"/>
    <x v="1"/>
    <x v="1"/>
  </r>
  <r>
    <s v="T01554"/>
    <d v="2023-01-17T00:00:00"/>
    <d v="1899-12-30T09:30:00"/>
    <x v="1"/>
    <x v="9"/>
    <s v="Station_22"/>
    <s v="Station_17"/>
    <d v="1899-12-30T09:33:00"/>
    <d v="1899-12-30T10:07:00"/>
    <n v="8"/>
    <n v="28"/>
    <x v="2"/>
    <n v="33"/>
    <n v="49"/>
    <n v="7"/>
    <n v="7.1"/>
    <x v="0"/>
    <n v="0"/>
    <n v="89"/>
    <x v="0"/>
    <x v="0"/>
    <x v="2"/>
    <x v="1"/>
    <x v="1"/>
    <x v="0"/>
  </r>
  <r>
    <s v="T01555"/>
    <d v="2023-01-17T00:00:00"/>
    <d v="1899-12-30T09:45:00"/>
    <x v="2"/>
    <x v="18"/>
    <s v="Station_32"/>
    <s v="Station_50"/>
    <d v="1899-12-30T09:47:00"/>
    <d v="1899-12-30T10:15:00"/>
    <n v="4"/>
    <n v="4"/>
    <x v="3"/>
    <n v="23.7"/>
    <n v="39"/>
    <n v="25"/>
    <n v="14.2"/>
    <x v="1"/>
    <n v="2000"/>
    <n v="52"/>
    <x v="0"/>
    <x v="0"/>
    <x v="2"/>
    <x v="3"/>
    <x v="0"/>
    <x v="1"/>
  </r>
  <r>
    <s v="T01556"/>
    <d v="2023-01-17T00:00:00"/>
    <d v="1899-12-30T10:00:00"/>
    <x v="3"/>
    <x v="15"/>
    <s v="Station_38"/>
    <s v="Station_48"/>
    <d v="1899-12-30T10:03:00"/>
    <d v="1899-12-30T10:48:00"/>
    <n v="19"/>
    <n v="27"/>
    <x v="4"/>
    <n v="14.7"/>
    <n v="55"/>
    <n v="1"/>
    <n v="6.3"/>
    <x v="0"/>
    <n v="0"/>
    <n v="30"/>
    <x v="1"/>
    <x v="1"/>
    <x v="2"/>
    <x v="0"/>
    <x v="1"/>
    <x v="2"/>
  </r>
  <r>
    <s v="T01557"/>
    <d v="2023-01-17T00:00:00"/>
    <d v="1899-12-30T10:15:00"/>
    <x v="0"/>
    <x v="5"/>
    <s v="Station_8"/>
    <s v="Station_30"/>
    <d v="1899-12-30T10:17:00"/>
    <d v="1899-12-30T10:51:00"/>
    <n v="18"/>
    <n v="12"/>
    <x v="3"/>
    <n v="20.6"/>
    <n v="77"/>
    <n v="27"/>
    <n v="2.4"/>
    <x v="1"/>
    <n v="0"/>
    <n v="30"/>
    <x v="0"/>
    <x v="1"/>
    <x v="2"/>
    <x v="0"/>
    <x v="1"/>
    <x v="2"/>
  </r>
  <r>
    <s v="T01558"/>
    <d v="2023-01-17T00:00:00"/>
    <d v="1899-12-30T10:30:00"/>
    <x v="0"/>
    <x v="16"/>
    <s v="Station_8"/>
    <s v="Station_40"/>
    <d v="1899-12-30T10:31:00"/>
    <d v="1899-12-30T11:15:00"/>
    <n v="5"/>
    <n v="23"/>
    <x v="4"/>
    <n v="11.6"/>
    <n v="43"/>
    <n v="47"/>
    <n v="6.2"/>
    <x v="0"/>
    <n v="10000"/>
    <n v="26"/>
    <x v="0"/>
    <x v="0"/>
    <x v="2"/>
    <x v="0"/>
    <x v="1"/>
    <x v="2"/>
  </r>
  <r>
    <s v="T01559"/>
    <d v="2023-01-17T00:00:00"/>
    <d v="1899-12-30T10:45:00"/>
    <x v="0"/>
    <x v="19"/>
    <s v="Station_6"/>
    <s v="Station_11"/>
    <d v="1899-12-30T10:45:00"/>
    <d v="1899-12-30T11:27:00"/>
    <n v="2"/>
    <n v="14"/>
    <x v="2"/>
    <n v="7"/>
    <n v="88"/>
    <n v="56"/>
    <n v="8.6999999999999993"/>
    <x v="0"/>
    <n v="10000"/>
    <n v="88"/>
    <x v="0"/>
    <x v="0"/>
    <x v="2"/>
    <x v="3"/>
    <x v="1"/>
    <x v="0"/>
  </r>
  <r>
    <s v="T01560"/>
    <d v="2023-01-17T00:00:00"/>
    <d v="1899-12-30T11:00:00"/>
    <x v="0"/>
    <x v="4"/>
    <s v="Station_14"/>
    <s v="Station_21"/>
    <d v="1899-12-30T11:04:00"/>
    <d v="1899-12-30T11:39:00"/>
    <n v="15"/>
    <n v="11"/>
    <x v="4"/>
    <n v="33"/>
    <n v="41"/>
    <n v="59"/>
    <n v="5.0999999999999996"/>
    <x v="0"/>
    <n v="0"/>
    <n v="47"/>
    <x v="0"/>
    <x v="0"/>
    <x v="2"/>
    <x v="2"/>
    <x v="1"/>
    <x v="1"/>
  </r>
  <r>
    <s v="T01561"/>
    <d v="2023-01-17T00:00:00"/>
    <d v="1899-12-30T11:15:00"/>
    <x v="1"/>
    <x v="10"/>
    <s v="Station_32"/>
    <s v="Station_21"/>
    <d v="1899-12-30T11:16:00"/>
    <d v="1899-12-30T11:36:00"/>
    <n v="19"/>
    <n v="23"/>
    <x v="1"/>
    <n v="-0.4"/>
    <n v="52"/>
    <n v="9"/>
    <n v="4.3"/>
    <x v="0"/>
    <n v="50000"/>
    <n v="35"/>
    <x v="0"/>
    <x v="0"/>
    <x v="2"/>
    <x v="2"/>
    <x v="1"/>
    <x v="1"/>
  </r>
  <r>
    <s v="T01562"/>
    <d v="2023-01-17T00:00:00"/>
    <d v="1899-12-30T11:30:00"/>
    <x v="1"/>
    <x v="0"/>
    <s v="Station_35"/>
    <s v="Station_18"/>
    <d v="1899-12-30T11:30:00"/>
    <d v="1899-12-30T12:13:00"/>
    <n v="13"/>
    <n v="13"/>
    <x v="3"/>
    <n v="8.9"/>
    <n v="68"/>
    <n v="49"/>
    <n v="0.1"/>
    <x v="5"/>
    <n v="2000"/>
    <n v="48"/>
    <x v="0"/>
    <x v="1"/>
    <x v="2"/>
    <x v="1"/>
    <x v="1"/>
    <x v="1"/>
  </r>
  <r>
    <s v="T01563"/>
    <d v="2023-01-17T00:00:00"/>
    <d v="1899-12-30T11:45:00"/>
    <x v="3"/>
    <x v="4"/>
    <s v="Station_10"/>
    <s v="Station_29"/>
    <d v="1899-12-30T11:46:00"/>
    <d v="1899-12-30T12:35:00"/>
    <n v="11"/>
    <n v="-2"/>
    <x v="2"/>
    <n v="31"/>
    <n v="38"/>
    <n v="38"/>
    <n v="12.6"/>
    <x v="0"/>
    <n v="0"/>
    <n v="30"/>
    <x v="0"/>
    <x v="1"/>
    <x v="2"/>
    <x v="3"/>
    <x v="0"/>
    <x v="2"/>
  </r>
  <r>
    <s v="T01564"/>
    <d v="2023-01-17T00:00:00"/>
    <d v="1899-12-30T12:00:00"/>
    <x v="0"/>
    <x v="1"/>
    <s v="Station_3"/>
    <s v="Station_24"/>
    <d v="1899-12-30T12:03:00"/>
    <d v="1899-12-30T12:46:00"/>
    <n v="9"/>
    <n v="27"/>
    <x v="4"/>
    <n v="23.9"/>
    <n v="54"/>
    <n v="36"/>
    <n v="12.3"/>
    <x v="0"/>
    <n v="0"/>
    <n v="43"/>
    <x v="0"/>
    <x v="0"/>
    <x v="2"/>
    <x v="1"/>
    <x v="1"/>
    <x v="1"/>
  </r>
  <r>
    <s v="T01565"/>
    <d v="2023-01-17T00:00:00"/>
    <d v="1899-12-30T12:15:00"/>
    <x v="0"/>
    <x v="1"/>
    <s v="Station_12"/>
    <s v="Station_10"/>
    <d v="1899-12-30T12:17:00"/>
    <d v="1899-12-30T12:36:00"/>
    <n v="14"/>
    <n v="-1"/>
    <x v="1"/>
    <n v="-3.8"/>
    <n v="46"/>
    <n v="38"/>
    <n v="3.8"/>
    <x v="5"/>
    <n v="50000"/>
    <n v="58"/>
    <x v="0"/>
    <x v="0"/>
    <x v="2"/>
    <x v="3"/>
    <x v="0"/>
    <x v="1"/>
  </r>
  <r>
    <s v="T01566"/>
    <d v="2023-01-17T00:00:00"/>
    <d v="1899-12-30T12:30:00"/>
    <x v="2"/>
    <x v="13"/>
    <s v="Station_49"/>
    <s v="Station_45"/>
    <d v="1899-12-30T12:31:00"/>
    <d v="1899-12-30T13:03:00"/>
    <n v="2"/>
    <n v="13"/>
    <x v="1"/>
    <n v="-4.0999999999999996"/>
    <n v="71"/>
    <n v="20"/>
    <n v="18.899999999999999"/>
    <x v="4"/>
    <n v="2000"/>
    <n v="22"/>
    <x v="0"/>
    <x v="0"/>
    <x v="2"/>
    <x v="2"/>
    <x v="1"/>
    <x v="2"/>
  </r>
  <r>
    <s v="T01567"/>
    <d v="2023-01-17T00:00:00"/>
    <d v="1899-12-30T12:45:00"/>
    <x v="1"/>
    <x v="0"/>
    <s v="Station_31"/>
    <s v="Station_17"/>
    <d v="1899-12-30T12:45:00"/>
    <d v="1899-12-30T13:08:00"/>
    <n v="11"/>
    <n v="10"/>
    <x v="0"/>
    <n v="15.7"/>
    <n v="58"/>
    <n v="27"/>
    <n v="8.1999999999999993"/>
    <x v="0"/>
    <n v="0"/>
    <n v="98"/>
    <x v="0"/>
    <x v="1"/>
    <x v="2"/>
    <x v="0"/>
    <x v="1"/>
    <x v="0"/>
  </r>
  <r>
    <s v="T01568"/>
    <d v="2023-01-17T00:00:00"/>
    <d v="1899-12-30T13:00:00"/>
    <x v="0"/>
    <x v="0"/>
    <s v="Station_29"/>
    <s v="Station_18"/>
    <d v="1899-12-30T13:03:00"/>
    <d v="1899-12-30T13:32:00"/>
    <n v="3"/>
    <n v="10"/>
    <x v="1"/>
    <n v="14.4"/>
    <n v="89"/>
    <n v="37"/>
    <n v="0.5"/>
    <x v="3"/>
    <n v="500"/>
    <n v="67"/>
    <x v="0"/>
    <x v="1"/>
    <x v="2"/>
    <x v="3"/>
    <x v="1"/>
    <x v="0"/>
  </r>
  <r>
    <s v="T01569"/>
    <d v="2023-01-17T00:00:00"/>
    <d v="1899-12-30T13:15:00"/>
    <x v="3"/>
    <x v="9"/>
    <s v="Station_5"/>
    <s v="Station_42"/>
    <d v="1899-12-30T13:19:00"/>
    <d v="1899-12-30T14:10:00"/>
    <n v="12"/>
    <n v="-3"/>
    <x v="5"/>
    <n v="12.7"/>
    <n v="96"/>
    <n v="55"/>
    <n v="4.4000000000000004"/>
    <x v="0"/>
    <n v="0"/>
    <n v="91"/>
    <x v="0"/>
    <x v="1"/>
    <x v="2"/>
    <x v="2"/>
    <x v="0"/>
    <x v="0"/>
  </r>
  <r>
    <s v="T01570"/>
    <d v="2023-01-17T00:00:00"/>
    <d v="1899-12-30T13:30:00"/>
    <x v="3"/>
    <x v="3"/>
    <s v="Station_25"/>
    <s v="Station_48"/>
    <d v="1899-12-30T13:33:00"/>
    <d v="1899-12-30T14:24:00"/>
    <n v="4"/>
    <n v="25"/>
    <x v="2"/>
    <n v="7.1"/>
    <n v="86"/>
    <n v="32"/>
    <n v="13.8"/>
    <x v="1"/>
    <n v="0"/>
    <n v="41"/>
    <x v="0"/>
    <x v="1"/>
    <x v="2"/>
    <x v="2"/>
    <x v="1"/>
    <x v="1"/>
  </r>
  <r>
    <s v="T01571"/>
    <d v="2023-01-17T00:00:00"/>
    <d v="1899-12-30T13:45:00"/>
    <x v="1"/>
    <x v="14"/>
    <s v="Station_41"/>
    <s v="Station_20"/>
    <d v="1899-12-30T13:47:00"/>
    <d v="1899-12-30T14:12:00"/>
    <n v="11"/>
    <n v="0"/>
    <x v="2"/>
    <n v="34.5"/>
    <n v="43"/>
    <n v="10"/>
    <n v="4"/>
    <x v="0"/>
    <n v="500"/>
    <n v="41"/>
    <x v="0"/>
    <x v="1"/>
    <x v="2"/>
    <x v="2"/>
    <x v="0"/>
    <x v="1"/>
  </r>
  <r>
    <s v="T01572"/>
    <d v="2023-01-17T00:00:00"/>
    <d v="1899-12-30T14:00:00"/>
    <x v="3"/>
    <x v="4"/>
    <s v="Station_31"/>
    <s v="Station_37"/>
    <d v="1899-12-30T14:03:00"/>
    <d v="1899-12-30T14:21:00"/>
    <n v="15"/>
    <n v="29"/>
    <x v="2"/>
    <n v="5.9"/>
    <n v="68"/>
    <n v="44"/>
    <n v="1.1000000000000001"/>
    <x v="4"/>
    <n v="0"/>
    <n v="12"/>
    <x v="0"/>
    <x v="0"/>
    <x v="2"/>
    <x v="0"/>
    <x v="1"/>
    <x v="2"/>
  </r>
  <r>
    <s v="T01573"/>
    <d v="2023-01-17T00:00:00"/>
    <d v="1899-12-30T14:15:00"/>
    <x v="3"/>
    <x v="3"/>
    <s v="Station_21"/>
    <s v="Station_45"/>
    <d v="1899-12-30T14:19:00"/>
    <d v="1899-12-30T14:40:00"/>
    <n v="-2"/>
    <n v="13"/>
    <x v="4"/>
    <n v="14.6"/>
    <n v="45"/>
    <n v="43"/>
    <n v="12.4"/>
    <x v="0"/>
    <n v="500"/>
    <n v="0"/>
    <x v="1"/>
    <x v="1"/>
    <x v="2"/>
    <x v="2"/>
    <x v="1"/>
    <x v="2"/>
  </r>
  <r>
    <s v="T01574"/>
    <d v="2023-01-17T00:00:00"/>
    <d v="1899-12-30T14:30:00"/>
    <x v="1"/>
    <x v="7"/>
    <s v="Station_20"/>
    <s v="Station_18"/>
    <d v="1899-12-30T14:30:00"/>
    <d v="1899-12-30T15:20:00"/>
    <n v="3"/>
    <n v="24"/>
    <x v="3"/>
    <n v="11.2"/>
    <n v="47"/>
    <n v="0"/>
    <n v="10.4"/>
    <x v="0"/>
    <n v="50000"/>
    <n v="75"/>
    <x v="0"/>
    <x v="1"/>
    <x v="2"/>
    <x v="1"/>
    <x v="1"/>
    <x v="0"/>
  </r>
  <r>
    <s v="T01575"/>
    <d v="2023-01-17T00:00:00"/>
    <d v="1899-12-30T14:45:00"/>
    <x v="0"/>
    <x v="14"/>
    <s v="Station_39"/>
    <s v="Station_17"/>
    <d v="1899-12-30T14:46:00"/>
    <d v="1899-12-30T15:14:00"/>
    <n v="0"/>
    <n v="22"/>
    <x v="4"/>
    <n v="1.8"/>
    <n v="49"/>
    <n v="52"/>
    <n v="15.2"/>
    <x v="4"/>
    <n v="50000"/>
    <n v="52"/>
    <x v="0"/>
    <x v="1"/>
    <x v="2"/>
    <x v="2"/>
    <x v="1"/>
    <x v="1"/>
  </r>
  <r>
    <s v="T01576"/>
    <d v="2023-01-17T00:00:00"/>
    <d v="1899-12-30T15:00:00"/>
    <x v="0"/>
    <x v="3"/>
    <s v="Station_22"/>
    <s v="Station_9"/>
    <d v="1899-12-30T15:02:00"/>
    <d v="1899-12-30T15:40:00"/>
    <n v="2"/>
    <n v="4"/>
    <x v="5"/>
    <n v="3.1"/>
    <n v="75"/>
    <n v="46"/>
    <n v="15.5"/>
    <x v="4"/>
    <n v="2000"/>
    <n v="39"/>
    <x v="0"/>
    <x v="1"/>
    <x v="2"/>
    <x v="2"/>
    <x v="0"/>
    <x v="1"/>
  </r>
  <r>
    <s v="T01577"/>
    <d v="2023-01-17T00:00:00"/>
    <d v="1899-12-30T15:15:00"/>
    <x v="3"/>
    <x v="18"/>
    <s v="Station_4"/>
    <s v="Station_14"/>
    <d v="1899-12-30T15:19:00"/>
    <d v="1899-12-30T15:44:00"/>
    <n v="9"/>
    <n v="14"/>
    <x v="3"/>
    <n v="31.7"/>
    <n v="74"/>
    <n v="32"/>
    <n v="19.2"/>
    <x v="1"/>
    <n v="50000"/>
    <n v="89"/>
    <x v="0"/>
    <x v="1"/>
    <x v="2"/>
    <x v="3"/>
    <x v="1"/>
    <x v="0"/>
  </r>
  <r>
    <s v="T01578"/>
    <d v="2023-01-17T00:00:00"/>
    <d v="1899-12-30T15:30:00"/>
    <x v="3"/>
    <x v="12"/>
    <s v="Station_13"/>
    <s v="Station_49"/>
    <d v="1899-12-30T15:32:00"/>
    <d v="1899-12-30T16:12:00"/>
    <n v="8"/>
    <n v="27"/>
    <x v="1"/>
    <n v="29.3"/>
    <n v="33"/>
    <n v="2"/>
    <n v="1.1000000000000001"/>
    <x v="5"/>
    <n v="10000"/>
    <n v="45"/>
    <x v="0"/>
    <x v="0"/>
    <x v="2"/>
    <x v="3"/>
    <x v="1"/>
    <x v="1"/>
  </r>
  <r>
    <s v="T01579"/>
    <d v="2023-01-17T00:00:00"/>
    <d v="1899-12-30T15:45:00"/>
    <x v="0"/>
    <x v="18"/>
    <s v="Station_45"/>
    <s v="Station_29"/>
    <d v="1899-12-30T15:48:00"/>
    <d v="1899-12-30T16:07:00"/>
    <n v="10"/>
    <n v="23"/>
    <x v="4"/>
    <n v="3"/>
    <n v="49"/>
    <n v="25"/>
    <n v="0.8"/>
    <x v="0"/>
    <n v="0"/>
    <n v="86"/>
    <x v="1"/>
    <x v="1"/>
    <x v="2"/>
    <x v="3"/>
    <x v="1"/>
    <x v="0"/>
  </r>
  <r>
    <s v="T01580"/>
    <d v="2023-01-17T00:00:00"/>
    <d v="1899-12-30T16:00:00"/>
    <x v="1"/>
    <x v="1"/>
    <s v="Station_42"/>
    <s v="Station_31"/>
    <d v="1899-12-30T16:02:00"/>
    <d v="1899-12-30T16:51:00"/>
    <n v="13"/>
    <n v="12"/>
    <x v="3"/>
    <n v="30"/>
    <n v="40"/>
    <n v="14"/>
    <n v="19.7"/>
    <x v="0"/>
    <n v="50000"/>
    <n v="21"/>
    <x v="0"/>
    <x v="1"/>
    <x v="2"/>
    <x v="2"/>
    <x v="1"/>
    <x v="2"/>
  </r>
  <r>
    <s v="T01581"/>
    <d v="2023-01-17T00:00:00"/>
    <d v="1899-12-30T16:15:00"/>
    <x v="3"/>
    <x v="10"/>
    <s v="Station_50"/>
    <s v="Station_4"/>
    <d v="1899-12-30T16:19:00"/>
    <d v="1899-12-30T16:54:00"/>
    <n v="15"/>
    <n v="6"/>
    <x v="1"/>
    <n v="3.4"/>
    <n v="94"/>
    <n v="40"/>
    <n v="12.9"/>
    <x v="4"/>
    <n v="0"/>
    <n v="51"/>
    <x v="0"/>
    <x v="0"/>
    <x v="2"/>
    <x v="2"/>
    <x v="1"/>
    <x v="1"/>
  </r>
  <r>
    <s v="T01582"/>
    <d v="2023-01-17T00:00:00"/>
    <d v="1899-12-30T16:30:00"/>
    <x v="2"/>
    <x v="15"/>
    <s v="Station_49"/>
    <s v="Station_18"/>
    <d v="1899-12-30T16:31:00"/>
    <d v="1899-12-30T16:59:00"/>
    <n v="14"/>
    <n v="8"/>
    <x v="3"/>
    <n v="20.100000000000001"/>
    <n v="47"/>
    <n v="13"/>
    <n v="14.3"/>
    <x v="1"/>
    <n v="0"/>
    <n v="27"/>
    <x v="1"/>
    <x v="1"/>
    <x v="2"/>
    <x v="1"/>
    <x v="1"/>
    <x v="2"/>
  </r>
  <r>
    <s v="T01583"/>
    <d v="2023-01-17T00:00:00"/>
    <d v="1899-12-30T16:45:00"/>
    <x v="1"/>
    <x v="1"/>
    <s v="Station_20"/>
    <s v="Station_20"/>
    <d v="1899-12-30T16:46:00"/>
    <d v="1899-12-30T17:33:00"/>
    <n v="14"/>
    <n v="18"/>
    <x v="1"/>
    <n v="-1.7"/>
    <n v="68"/>
    <n v="22"/>
    <n v="1.9"/>
    <x v="0"/>
    <n v="500"/>
    <n v="52"/>
    <x v="0"/>
    <x v="1"/>
    <x v="2"/>
    <x v="0"/>
    <x v="1"/>
    <x v="1"/>
  </r>
  <r>
    <s v="T01584"/>
    <d v="2023-01-17T00:00:00"/>
    <d v="1899-12-30T17:00:00"/>
    <x v="3"/>
    <x v="16"/>
    <s v="Station_13"/>
    <s v="Station_47"/>
    <d v="1899-12-30T17:02:00"/>
    <d v="1899-12-30T17:53:00"/>
    <n v="8"/>
    <n v="12"/>
    <x v="3"/>
    <n v="30.2"/>
    <n v="73"/>
    <n v="59"/>
    <n v="1.4"/>
    <x v="0"/>
    <n v="0"/>
    <n v="62"/>
    <x v="0"/>
    <x v="1"/>
    <x v="2"/>
    <x v="2"/>
    <x v="1"/>
    <x v="1"/>
  </r>
  <r>
    <s v="T01585"/>
    <d v="2023-01-17T00:00:00"/>
    <d v="1899-12-30T17:15:00"/>
    <x v="3"/>
    <x v="16"/>
    <s v="Station_17"/>
    <s v="Station_43"/>
    <d v="1899-12-30T17:15:00"/>
    <d v="1899-12-30T18:11:00"/>
    <n v="17"/>
    <n v="8"/>
    <x v="4"/>
    <n v="-2.9"/>
    <n v="47"/>
    <n v="53"/>
    <n v="3.2"/>
    <x v="0"/>
    <n v="0"/>
    <n v="16"/>
    <x v="0"/>
    <x v="1"/>
    <x v="2"/>
    <x v="0"/>
    <x v="1"/>
    <x v="2"/>
  </r>
  <r>
    <s v="T01586"/>
    <d v="2023-01-17T00:00:00"/>
    <d v="1899-12-30T17:30:00"/>
    <x v="2"/>
    <x v="9"/>
    <s v="Station_36"/>
    <s v="Station_44"/>
    <d v="1899-12-30T17:32:00"/>
    <d v="1899-12-30T18:09:00"/>
    <n v="7"/>
    <n v="7"/>
    <x v="4"/>
    <n v="17.2"/>
    <n v="76"/>
    <n v="55"/>
    <n v="8.5"/>
    <x v="3"/>
    <n v="2000"/>
    <n v="63"/>
    <x v="0"/>
    <x v="1"/>
    <x v="2"/>
    <x v="2"/>
    <x v="1"/>
    <x v="1"/>
  </r>
  <r>
    <s v="T01587"/>
    <d v="2023-01-17T00:00:00"/>
    <d v="1899-12-30T17:45:00"/>
    <x v="2"/>
    <x v="19"/>
    <s v="Station_33"/>
    <s v="Station_9"/>
    <d v="1899-12-30T17:48:00"/>
    <d v="1899-12-30T18:12:00"/>
    <n v="13"/>
    <n v="16"/>
    <x v="5"/>
    <n v="26.2"/>
    <n v="60"/>
    <n v="7"/>
    <n v="2.2000000000000002"/>
    <x v="0"/>
    <n v="0"/>
    <n v="5"/>
    <x v="0"/>
    <x v="1"/>
    <x v="2"/>
    <x v="0"/>
    <x v="1"/>
    <x v="2"/>
  </r>
  <r>
    <s v="T01588"/>
    <d v="2023-01-17T00:00:00"/>
    <d v="1899-12-30T18:00:00"/>
    <x v="0"/>
    <x v="4"/>
    <s v="Station_1"/>
    <s v="Station_13"/>
    <d v="1899-12-30T18:01:00"/>
    <d v="1899-12-30T18:26:00"/>
    <n v="-1"/>
    <n v="-3"/>
    <x v="0"/>
    <n v="-0.3"/>
    <n v="68"/>
    <n v="53"/>
    <n v="8.9"/>
    <x v="0"/>
    <n v="50000"/>
    <n v="13"/>
    <x v="0"/>
    <x v="0"/>
    <x v="2"/>
    <x v="3"/>
    <x v="0"/>
    <x v="2"/>
  </r>
  <r>
    <s v="T01589"/>
    <d v="2023-01-17T00:00:00"/>
    <d v="1899-12-30T18:15:00"/>
    <x v="1"/>
    <x v="7"/>
    <s v="Station_15"/>
    <s v="Station_15"/>
    <d v="1899-12-30T18:16:00"/>
    <d v="1899-12-30T18:40:00"/>
    <n v="14"/>
    <n v="23"/>
    <x v="2"/>
    <n v="11.2"/>
    <n v="67"/>
    <n v="35"/>
    <n v="11.2"/>
    <x v="0"/>
    <n v="0"/>
    <n v="16"/>
    <x v="0"/>
    <x v="1"/>
    <x v="2"/>
    <x v="2"/>
    <x v="1"/>
    <x v="2"/>
  </r>
  <r>
    <s v="T01590"/>
    <d v="2023-01-17T00:00:00"/>
    <d v="1899-12-30T18:30:00"/>
    <x v="1"/>
    <x v="7"/>
    <s v="Station_13"/>
    <s v="Station_27"/>
    <d v="1899-12-30T18:31:00"/>
    <d v="1899-12-30T19:00:00"/>
    <n v="19"/>
    <n v="-1"/>
    <x v="4"/>
    <n v="-3.3"/>
    <n v="76"/>
    <n v="19"/>
    <n v="0"/>
    <x v="2"/>
    <n v="50000"/>
    <n v="37"/>
    <x v="0"/>
    <x v="1"/>
    <x v="2"/>
    <x v="1"/>
    <x v="0"/>
    <x v="1"/>
  </r>
  <r>
    <s v="T01591"/>
    <d v="2023-01-17T00:00:00"/>
    <d v="1899-12-30T18:45:00"/>
    <x v="0"/>
    <x v="8"/>
    <s v="Station_17"/>
    <s v="Station_15"/>
    <d v="1899-12-30T18:45:00"/>
    <d v="1899-12-30T19:22:00"/>
    <n v="17"/>
    <n v="8"/>
    <x v="4"/>
    <n v="22.3"/>
    <n v="99"/>
    <n v="51"/>
    <n v="2.2999999999999998"/>
    <x v="5"/>
    <n v="0"/>
    <n v="68"/>
    <x v="0"/>
    <x v="1"/>
    <x v="2"/>
    <x v="0"/>
    <x v="1"/>
    <x v="0"/>
  </r>
  <r>
    <s v="T01592"/>
    <d v="2023-01-17T00:00:00"/>
    <d v="1899-12-30T19:00:00"/>
    <x v="1"/>
    <x v="5"/>
    <s v="Station_24"/>
    <s v="Station_28"/>
    <d v="1899-12-30T19:00:00"/>
    <d v="1899-12-30T19:48:00"/>
    <n v="7"/>
    <n v="26"/>
    <x v="1"/>
    <n v="7.3"/>
    <n v="37"/>
    <n v="5"/>
    <n v="7.5"/>
    <x v="2"/>
    <n v="500"/>
    <n v="12"/>
    <x v="0"/>
    <x v="1"/>
    <x v="2"/>
    <x v="3"/>
    <x v="1"/>
    <x v="2"/>
  </r>
  <r>
    <s v="T01593"/>
    <d v="2023-01-17T00:00:00"/>
    <d v="1899-12-30T19:15:00"/>
    <x v="1"/>
    <x v="1"/>
    <s v="Station_8"/>
    <s v="Station_37"/>
    <d v="1899-12-30T19:19:00"/>
    <d v="1899-12-30T19:59:00"/>
    <n v="10"/>
    <n v="5"/>
    <x v="0"/>
    <n v="17.399999999999999"/>
    <n v="94"/>
    <n v="32"/>
    <n v="1.1000000000000001"/>
    <x v="5"/>
    <n v="0"/>
    <n v="52"/>
    <x v="1"/>
    <x v="1"/>
    <x v="2"/>
    <x v="1"/>
    <x v="0"/>
    <x v="1"/>
  </r>
  <r>
    <s v="T01594"/>
    <d v="2023-01-17T00:00:00"/>
    <d v="1899-12-30T19:30:00"/>
    <x v="1"/>
    <x v="7"/>
    <s v="Station_50"/>
    <s v="Station_19"/>
    <d v="1899-12-30T19:32:00"/>
    <d v="1899-12-30T20:10:00"/>
    <n v="9"/>
    <n v="-3"/>
    <x v="4"/>
    <n v="32.299999999999997"/>
    <n v="42"/>
    <n v="27"/>
    <n v="2.7"/>
    <x v="0"/>
    <n v="500"/>
    <n v="8"/>
    <x v="0"/>
    <x v="0"/>
    <x v="2"/>
    <x v="3"/>
    <x v="0"/>
    <x v="2"/>
  </r>
  <r>
    <s v="T01595"/>
    <d v="2023-01-17T00:00:00"/>
    <d v="1899-12-30T19:45:00"/>
    <x v="1"/>
    <x v="4"/>
    <s v="Station_27"/>
    <s v="Station_26"/>
    <d v="1899-12-30T19:47:00"/>
    <d v="1899-12-30T20:07:00"/>
    <n v="12"/>
    <n v="0"/>
    <x v="3"/>
    <n v="7.2"/>
    <n v="84"/>
    <n v="49"/>
    <n v="4.5999999999999996"/>
    <x v="0"/>
    <n v="0"/>
    <n v="43"/>
    <x v="0"/>
    <x v="1"/>
    <x v="2"/>
    <x v="2"/>
    <x v="0"/>
    <x v="1"/>
  </r>
  <r>
    <s v="T01596"/>
    <d v="2023-01-17T00:00:00"/>
    <d v="1899-12-30T20:00:00"/>
    <x v="1"/>
    <x v="3"/>
    <s v="Station_45"/>
    <s v="Station_26"/>
    <d v="1899-12-30T20:03:00"/>
    <d v="1899-12-30T20:37:00"/>
    <n v="4"/>
    <n v="11"/>
    <x v="0"/>
    <n v="-3.1"/>
    <n v="72"/>
    <n v="37"/>
    <n v="8.6"/>
    <x v="1"/>
    <n v="0"/>
    <n v="25"/>
    <x v="0"/>
    <x v="1"/>
    <x v="2"/>
    <x v="1"/>
    <x v="1"/>
    <x v="2"/>
  </r>
  <r>
    <s v="T01597"/>
    <d v="2023-01-17T00:00:00"/>
    <d v="1899-12-30T20:15:00"/>
    <x v="2"/>
    <x v="11"/>
    <s v="Station_23"/>
    <s v="Station_25"/>
    <d v="1899-12-30T20:16:00"/>
    <d v="1899-12-30T20:58:00"/>
    <n v="19"/>
    <n v="23"/>
    <x v="2"/>
    <n v="22"/>
    <n v="33"/>
    <n v="29"/>
    <n v="14.3"/>
    <x v="0"/>
    <n v="0"/>
    <n v="76"/>
    <x v="0"/>
    <x v="0"/>
    <x v="2"/>
    <x v="0"/>
    <x v="1"/>
    <x v="0"/>
  </r>
  <r>
    <s v="T01598"/>
    <d v="2023-01-17T00:00:00"/>
    <d v="1899-12-30T20:30:00"/>
    <x v="1"/>
    <x v="19"/>
    <s v="Station_46"/>
    <s v="Station_26"/>
    <d v="1899-12-30T20:30:00"/>
    <d v="1899-12-30T21:27:00"/>
    <n v="18"/>
    <n v="4"/>
    <x v="3"/>
    <n v="26.5"/>
    <n v="89"/>
    <n v="45"/>
    <n v="2.7"/>
    <x v="0"/>
    <n v="0"/>
    <n v="18"/>
    <x v="1"/>
    <x v="1"/>
    <x v="2"/>
    <x v="0"/>
    <x v="0"/>
    <x v="2"/>
  </r>
  <r>
    <s v="T01599"/>
    <d v="2023-01-17T00:00:00"/>
    <d v="1899-12-30T20:45:00"/>
    <x v="2"/>
    <x v="10"/>
    <s v="Station_8"/>
    <s v="Station_26"/>
    <d v="1899-12-30T20:48:00"/>
    <d v="1899-12-30T21:14:00"/>
    <n v="10"/>
    <n v="19"/>
    <x v="1"/>
    <n v="33.299999999999997"/>
    <n v="41"/>
    <n v="42"/>
    <n v="14.8"/>
    <x v="2"/>
    <n v="50000"/>
    <n v="47"/>
    <x v="0"/>
    <x v="1"/>
    <x v="2"/>
    <x v="1"/>
    <x v="1"/>
    <x v="1"/>
  </r>
  <r>
    <s v="T01600"/>
    <d v="2023-01-17T00:00:00"/>
    <d v="1899-12-30T21:00:00"/>
    <x v="1"/>
    <x v="5"/>
    <s v="Station_8"/>
    <s v="Station_46"/>
    <d v="1899-12-30T21:03:00"/>
    <d v="1899-12-30T21:46:00"/>
    <n v="9"/>
    <n v="11"/>
    <x v="5"/>
    <n v="1.3"/>
    <n v="88"/>
    <n v="16"/>
    <n v="17.100000000000001"/>
    <x v="1"/>
    <n v="0"/>
    <n v="80"/>
    <x v="0"/>
    <x v="1"/>
    <x v="2"/>
    <x v="0"/>
    <x v="1"/>
    <x v="0"/>
  </r>
  <r>
    <s v="T01601"/>
    <d v="2023-01-17T00:00:00"/>
    <d v="1899-12-30T21:15:00"/>
    <x v="0"/>
    <x v="15"/>
    <s v="Station_26"/>
    <s v="Station_28"/>
    <d v="1899-12-30T21:15:00"/>
    <d v="1899-12-30T21:46:00"/>
    <n v="9"/>
    <n v="23"/>
    <x v="3"/>
    <n v="10.7"/>
    <n v="83"/>
    <n v="8"/>
    <n v="13"/>
    <x v="3"/>
    <n v="500"/>
    <n v="79"/>
    <x v="0"/>
    <x v="1"/>
    <x v="2"/>
    <x v="3"/>
    <x v="1"/>
    <x v="0"/>
  </r>
  <r>
    <s v="T01602"/>
    <d v="2023-01-17T00:00:00"/>
    <d v="1899-12-30T21:30:00"/>
    <x v="3"/>
    <x v="4"/>
    <s v="Station_47"/>
    <s v="Station_49"/>
    <d v="1899-12-30T21:32:00"/>
    <d v="1899-12-30T21:56:00"/>
    <n v="-1"/>
    <n v="27"/>
    <x v="2"/>
    <n v="28.8"/>
    <n v="73"/>
    <n v="27"/>
    <n v="0.9"/>
    <x v="3"/>
    <n v="2000"/>
    <n v="29"/>
    <x v="0"/>
    <x v="1"/>
    <x v="2"/>
    <x v="1"/>
    <x v="1"/>
    <x v="2"/>
  </r>
  <r>
    <s v="T01603"/>
    <d v="2023-01-17T00:00:00"/>
    <d v="1899-12-30T21:45:00"/>
    <x v="2"/>
    <x v="13"/>
    <s v="Station_13"/>
    <s v="Station_18"/>
    <d v="1899-12-30T21:46:00"/>
    <d v="1899-12-30T22:21:00"/>
    <n v="2"/>
    <n v="4"/>
    <x v="3"/>
    <n v="27.3"/>
    <n v="45"/>
    <n v="53"/>
    <n v="8.8000000000000007"/>
    <x v="0"/>
    <n v="0"/>
    <n v="31"/>
    <x v="0"/>
    <x v="1"/>
    <x v="2"/>
    <x v="0"/>
    <x v="0"/>
    <x v="2"/>
  </r>
  <r>
    <s v="T01604"/>
    <d v="2023-01-17T00:00:00"/>
    <d v="1899-12-30T22:00:00"/>
    <x v="1"/>
    <x v="15"/>
    <s v="Station_39"/>
    <s v="Station_32"/>
    <d v="1899-12-30T22:02:00"/>
    <d v="1899-12-30T22:20:00"/>
    <n v="-1"/>
    <n v="26"/>
    <x v="0"/>
    <n v="20"/>
    <n v="35"/>
    <n v="6"/>
    <n v="13.2"/>
    <x v="5"/>
    <n v="0"/>
    <n v="77"/>
    <x v="0"/>
    <x v="1"/>
    <x v="2"/>
    <x v="3"/>
    <x v="1"/>
    <x v="0"/>
  </r>
  <r>
    <s v="T01605"/>
    <d v="2023-01-17T00:00:00"/>
    <d v="1899-12-30T22:15:00"/>
    <x v="0"/>
    <x v="2"/>
    <s v="Station_37"/>
    <s v="Station_3"/>
    <d v="1899-12-30T22:18:00"/>
    <d v="1899-12-30T23:00:00"/>
    <n v="17"/>
    <n v="14"/>
    <x v="0"/>
    <n v="5.8"/>
    <n v="43"/>
    <n v="45"/>
    <n v="19.600000000000001"/>
    <x v="0"/>
    <n v="0"/>
    <n v="78"/>
    <x v="0"/>
    <x v="1"/>
    <x v="2"/>
    <x v="0"/>
    <x v="1"/>
    <x v="0"/>
  </r>
  <r>
    <s v="T01606"/>
    <d v="2023-01-17T00:00:00"/>
    <d v="1899-12-30T22:30:00"/>
    <x v="3"/>
    <x v="10"/>
    <s v="Station_49"/>
    <s v="Station_2"/>
    <d v="1899-12-30T22:31:00"/>
    <d v="1899-12-30T23:04:00"/>
    <n v="10"/>
    <n v="0"/>
    <x v="2"/>
    <n v="6.4"/>
    <n v="87"/>
    <n v="27"/>
    <n v="19"/>
    <x v="1"/>
    <n v="0"/>
    <n v="75"/>
    <x v="0"/>
    <x v="0"/>
    <x v="2"/>
    <x v="3"/>
    <x v="0"/>
    <x v="0"/>
  </r>
  <r>
    <s v="T01607"/>
    <d v="2023-01-17T00:00:00"/>
    <d v="1899-12-30T22:45:00"/>
    <x v="2"/>
    <x v="14"/>
    <s v="Station_28"/>
    <s v="Station_33"/>
    <d v="1899-12-30T22:49:00"/>
    <d v="1899-12-30T23:37:00"/>
    <n v="0"/>
    <n v="18"/>
    <x v="0"/>
    <n v="0"/>
    <n v="60"/>
    <n v="16"/>
    <n v="7.9"/>
    <x v="0"/>
    <n v="0"/>
    <n v="74"/>
    <x v="0"/>
    <x v="1"/>
    <x v="2"/>
    <x v="2"/>
    <x v="1"/>
    <x v="0"/>
  </r>
  <r>
    <s v="T01608"/>
    <d v="2023-01-17T00:00:00"/>
    <d v="1899-12-30T23:00:00"/>
    <x v="3"/>
    <x v="5"/>
    <s v="Station_25"/>
    <s v="Station_42"/>
    <d v="1899-12-30T23:03:00"/>
    <d v="1899-12-30T23:56:00"/>
    <n v="8"/>
    <n v="-1"/>
    <x v="3"/>
    <n v="31.9"/>
    <n v="70"/>
    <n v="39"/>
    <n v="12.3"/>
    <x v="0"/>
    <n v="0"/>
    <n v="68"/>
    <x v="0"/>
    <x v="1"/>
    <x v="2"/>
    <x v="3"/>
    <x v="0"/>
    <x v="0"/>
  </r>
  <r>
    <s v="T01609"/>
    <d v="2023-01-17T00:00:00"/>
    <d v="1899-12-30T23:15:00"/>
    <x v="0"/>
    <x v="10"/>
    <s v="Station_16"/>
    <s v="Station_19"/>
    <d v="1899-12-30T23:17:00"/>
    <d v="1899-12-30T00:05:00"/>
    <n v="13"/>
    <n v="11"/>
    <x v="5"/>
    <n v="1.9"/>
    <n v="64"/>
    <n v="59"/>
    <n v="17.8"/>
    <x v="5"/>
    <n v="0"/>
    <n v="10"/>
    <x v="0"/>
    <x v="1"/>
    <x v="2"/>
    <x v="0"/>
    <x v="1"/>
    <x v="2"/>
  </r>
  <r>
    <s v="T01610"/>
    <d v="2023-01-17T00:00:00"/>
    <d v="1899-12-30T23:30:00"/>
    <x v="2"/>
    <x v="7"/>
    <s v="Station_2"/>
    <s v="Station_17"/>
    <d v="1899-12-30T23:32:00"/>
    <d v="1899-12-30T00:24:00"/>
    <n v="-2"/>
    <n v="29"/>
    <x v="3"/>
    <n v="17.899999999999999"/>
    <n v="39"/>
    <n v="47"/>
    <n v="16.600000000000001"/>
    <x v="0"/>
    <n v="10000"/>
    <n v="97"/>
    <x v="0"/>
    <x v="1"/>
    <x v="2"/>
    <x v="3"/>
    <x v="1"/>
    <x v="0"/>
  </r>
  <r>
    <s v="T01611"/>
    <d v="2023-01-17T00:00:00"/>
    <d v="1899-12-30T23:45:00"/>
    <x v="3"/>
    <x v="5"/>
    <s v="Station_18"/>
    <s v="Station_44"/>
    <d v="1899-12-30T23:47:00"/>
    <d v="1899-12-30T00:05:00"/>
    <n v="16"/>
    <n v="10"/>
    <x v="5"/>
    <n v="18.399999999999999"/>
    <n v="59"/>
    <n v="43"/>
    <n v="9.6"/>
    <x v="4"/>
    <n v="10000"/>
    <n v="82"/>
    <x v="0"/>
    <x v="1"/>
    <x v="2"/>
    <x v="0"/>
    <x v="1"/>
    <x v="0"/>
  </r>
  <r>
    <s v="T01612"/>
    <d v="2023-01-18T00:00:00"/>
    <d v="1899-12-30T00:00:00"/>
    <x v="1"/>
    <x v="13"/>
    <s v="Station_17"/>
    <s v="Station_33"/>
    <d v="1899-12-30T00:00:00"/>
    <d v="1899-12-30T00:27:00"/>
    <n v="8"/>
    <n v="-3"/>
    <x v="0"/>
    <n v="9.8000000000000007"/>
    <n v="73"/>
    <n v="43"/>
    <n v="5.2"/>
    <x v="0"/>
    <n v="2000"/>
    <n v="25"/>
    <x v="0"/>
    <x v="1"/>
    <x v="3"/>
    <x v="1"/>
    <x v="0"/>
    <x v="2"/>
  </r>
  <r>
    <s v="T01613"/>
    <d v="2023-01-18T00:00:00"/>
    <d v="1899-12-30T00:15:00"/>
    <x v="2"/>
    <x v="5"/>
    <s v="Station_30"/>
    <s v="Station_12"/>
    <d v="1899-12-30T00:18:00"/>
    <d v="1899-12-30T00:46:00"/>
    <n v="6"/>
    <n v="22"/>
    <x v="3"/>
    <n v="9.1"/>
    <n v="84"/>
    <n v="59"/>
    <n v="2.7"/>
    <x v="0"/>
    <n v="0"/>
    <n v="25"/>
    <x v="0"/>
    <x v="1"/>
    <x v="3"/>
    <x v="1"/>
    <x v="1"/>
    <x v="2"/>
  </r>
  <r>
    <s v="T01614"/>
    <d v="2023-01-18T00:00:00"/>
    <d v="1899-12-30T00:30:00"/>
    <x v="3"/>
    <x v="4"/>
    <s v="Station_39"/>
    <s v="Station_49"/>
    <d v="1899-12-30T00:31:00"/>
    <d v="1899-12-30T01:08:00"/>
    <n v="11"/>
    <n v="4"/>
    <x v="0"/>
    <n v="21.7"/>
    <n v="47"/>
    <n v="59"/>
    <n v="9.8000000000000007"/>
    <x v="0"/>
    <n v="0"/>
    <n v="16"/>
    <x v="0"/>
    <x v="1"/>
    <x v="3"/>
    <x v="2"/>
    <x v="0"/>
    <x v="2"/>
  </r>
  <r>
    <s v="T01615"/>
    <d v="2023-01-18T00:00:00"/>
    <d v="1899-12-30T00:45:00"/>
    <x v="0"/>
    <x v="17"/>
    <s v="Station_13"/>
    <s v="Station_3"/>
    <d v="1899-12-30T00:47:00"/>
    <d v="1899-12-30T01:29:00"/>
    <n v="6"/>
    <n v="12"/>
    <x v="5"/>
    <n v="10.5"/>
    <n v="68"/>
    <n v="4"/>
    <n v="14.5"/>
    <x v="4"/>
    <n v="0"/>
    <n v="94"/>
    <x v="0"/>
    <x v="1"/>
    <x v="3"/>
    <x v="3"/>
    <x v="1"/>
    <x v="0"/>
  </r>
  <r>
    <s v="T01616"/>
    <d v="2023-01-18T00:00:00"/>
    <d v="1899-12-30T01:00:00"/>
    <x v="0"/>
    <x v="14"/>
    <s v="Station_32"/>
    <s v="Station_43"/>
    <d v="1899-12-30T01:02:00"/>
    <d v="1899-12-30T01:51:00"/>
    <n v="4"/>
    <n v="6"/>
    <x v="0"/>
    <n v="5.2"/>
    <n v="71"/>
    <n v="4"/>
    <n v="19.399999999999999"/>
    <x v="0"/>
    <n v="0"/>
    <n v="82"/>
    <x v="0"/>
    <x v="0"/>
    <x v="3"/>
    <x v="2"/>
    <x v="1"/>
    <x v="0"/>
  </r>
  <r>
    <s v="T01617"/>
    <d v="2023-01-18T00:00:00"/>
    <d v="1899-12-30T01:15:00"/>
    <x v="2"/>
    <x v="19"/>
    <s v="Station_50"/>
    <s v="Station_49"/>
    <d v="1899-12-30T01:15:00"/>
    <d v="1899-12-30T01:46:00"/>
    <n v="13"/>
    <n v="22"/>
    <x v="4"/>
    <n v="11"/>
    <n v="83"/>
    <n v="13"/>
    <n v="17.2"/>
    <x v="0"/>
    <n v="0"/>
    <n v="43"/>
    <x v="0"/>
    <x v="1"/>
    <x v="3"/>
    <x v="1"/>
    <x v="1"/>
    <x v="1"/>
  </r>
  <r>
    <s v="T01618"/>
    <d v="2023-01-18T00:00:00"/>
    <d v="1899-12-30T01:30:00"/>
    <x v="3"/>
    <x v="12"/>
    <s v="Station_29"/>
    <s v="Station_26"/>
    <d v="1899-12-30T01:31:00"/>
    <d v="1899-12-30T02:02:00"/>
    <n v="0"/>
    <n v="24"/>
    <x v="1"/>
    <n v="27.3"/>
    <n v="59"/>
    <n v="5"/>
    <n v="4.0999999999999996"/>
    <x v="1"/>
    <n v="50000"/>
    <n v="83"/>
    <x v="0"/>
    <x v="0"/>
    <x v="3"/>
    <x v="3"/>
    <x v="1"/>
    <x v="0"/>
  </r>
  <r>
    <s v="T01619"/>
    <d v="2023-01-18T00:00:00"/>
    <d v="1899-12-30T01:45:00"/>
    <x v="2"/>
    <x v="5"/>
    <s v="Station_46"/>
    <s v="Station_35"/>
    <d v="1899-12-30T01:48:00"/>
    <d v="1899-12-30T02:32:00"/>
    <n v="16"/>
    <n v="8"/>
    <x v="3"/>
    <n v="33.700000000000003"/>
    <n v="49"/>
    <n v="6"/>
    <n v="14.4"/>
    <x v="0"/>
    <n v="0"/>
    <n v="22"/>
    <x v="0"/>
    <x v="0"/>
    <x v="3"/>
    <x v="3"/>
    <x v="1"/>
    <x v="2"/>
  </r>
  <r>
    <s v="T01620"/>
    <d v="2023-01-18T00:00:00"/>
    <d v="1899-12-30T02:00:00"/>
    <x v="2"/>
    <x v="11"/>
    <s v="Station_30"/>
    <s v="Station_8"/>
    <d v="1899-12-30T02:04:00"/>
    <d v="1899-12-30T02:20:00"/>
    <n v="1"/>
    <n v="16"/>
    <x v="4"/>
    <n v="20.399999999999999"/>
    <n v="71"/>
    <n v="54"/>
    <n v="5.8"/>
    <x v="0"/>
    <n v="0"/>
    <n v="24"/>
    <x v="0"/>
    <x v="0"/>
    <x v="3"/>
    <x v="2"/>
    <x v="1"/>
    <x v="2"/>
  </r>
  <r>
    <s v="T01621"/>
    <d v="2023-01-18T00:00:00"/>
    <d v="1899-12-30T02:15:00"/>
    <x v="3"/>
    <x v="17"/>
    <s v="Station_18"/>
    <s v="Station_36"/>
    <d v="1899-12-30T02:15:00"/>
    <d v="1899-12-30T02:40:00"/>
    <n v="4"/>
    <n v="10"/>
    <x v="0"/>
    <n v="26.3"/>
    <n v="34"/>
    <n v="52"/>
    <n v="13.7"/>
    <x v="5"/>
    <n v="500"/>
    <n v="91"/>
    <x v="0"/>
    <x v="0"/>
    <x v="3"/>
    <x v="2"/>
    <x v="1"/>
    <x v="0"/>
  </r>
  <r>
    <s v="T01622"/>
    <d v="2023-01-18T00:00:00"/>
    <d v="1899-12-30T02:30:00"/>
    <x v="3"/>
    <x v="9"/>
    <s v="Station_13"/>
    <s v="Station_7"/>
    <d v="1899-12-30T02:33:00"/>
    <d v="1899-12-30T02:57:00"/>
    <n v="9"/>
    <n v="25"/>
    <x v="0"/>
    <n v="16.3"/>
    <n v="79"/>
    <n v="16"/>
    <n v="13.3"/>
    <x v="0"/>
    <n v="10000"/>
    <n v="36"/>
    <x v="0"/>
    <x v="1"/>
    <x v="3"/>
    <x v="3"/>
    <x v="1"/>
    <x v="1"/>
  </r>
  <r>
    <s v="T01623"/>
    <d v="2023-01-18T00:00:00"/>
    <d v="1899-12-30T02:45:00"/>
    <x v="1"/>
    <x v="9"/>
    <s v="Station_43"/>
    <s v="Station_46"/>
    <d v="1899-12-30T02:49:00"/>
    <d v="1899-12-30T03:08:00"/>
    <n v="15"/>
    <n v="8"/>
    <x v="1"/>
    <n v="20"/>
    <n v="70"/>
    <n v="58"/>
    <n v="5.4"/>
    <x v="0"/>
    <n v="0"/>
    <n v="75"/>
    <x v="0"/>
    <x v="1"/>
    <x v="3"/>
    <x v="3"/>
    <x v="1"/>
    <x v="0"/>
  </r>
  <r>
    <s v="T01624"/>
    <d v="2023-01-18T00:00:00"/>
    <d v="1899-12-30T03:00:00"/>
    <x v="3"/>
    <x v="6"/>
    <s v="Station_21"/>
    <s v="Station_46"/>
    <d v="1899-12-30T03:02:00"/>
    <d v="1899-12-30T03:24:00"/>
    <n v="2"/>
    <n v="14"/>
    <x v="0"/>
    <n v="34.5"/>
    <n v="68"/>
    <n v="8"/>
    <n v="4.7"/>
    <x v="1"/>
    <n v="0"/>
    <n v="64"/>
    <x v="0"/>
    <x v="1"/>
    <x v="3"/>
    <x v="3"/>
    <x v="1"/>
    <x v="1"/>
  </r>
  <r>
    <s v="T01625"/>
    <d v="2023-01-18T00:00:00"/>
    <d v="1899-12-30T03:15:00"/>
    <x v="0"/>
    <x v="5"/>
    <s v="Station_30"/>
    <s v="Station_36"/>
    <d v="1899-12-30T03:17:00"/>
    <d v="1899-12-30T03:59:00"/>
    <n v="19"/>
    <n v="-2"/>
    <x v="1"/>
    <n v="12.5"/>
    <n v="86"/>
    <n v="30"/>
    <n v="2.1"/>
    <x v="1"/>
    <n v="10000"/>
    <n v="1"/>
    <x v="0"/>
    <x v="0"/>
    <x v="3"/>
    <x v="2"/>
    <x v="0"/>
    <x v="2"/>
  </r>
  <r>
    <s v="T01626"/>
    <d v="2023-01-18T00:00:00"/>
    <d v="1899-12-30T03:30:00"/>
    <x v="2"/>
    <x v="9"/>
    <s v="Station_21"/>
    <s v="Station_16"/>
    <d v="1899-12-30T03:31:00"/>
    <d v="1899-12-30T04:11:00"/>
    <n v="7"/>
    <n v="-2"/>
    <x v="3"/>
    <n v="-2.2999999999999998"/>
    <n v="86"/>
    <n v="21"/>
    <n v="1"/>
    <x v="1"/>
    <n v="0"/>
    <n v="73"/>
    <x v="0"/>
    <x v="1"/>
    <x v="3"/>
    <x v="0"/>
    <x v="0"/>
    <x v="0"/>
  </r>
  <r>
    <s v="T01627"/>
    <d v="2023-01-18T00:00:00"/>
    <d v="1899-12-30T03:45:00"/>
    <x v="2"/>
    <x v="5"/>
    <s v="Station_48"/>
    <s v="Station_24"/>
    <d v="1899-12-30T03:49:00"/>
    <d v="1899-12-30T04:32:00"/>
    <n v="9"/>
    <n v="13"/>
    <x v="5"/>
    <n v="33.299999999999997"/>
    <n v="66"/>
    <n v="44"/>
    <n v="17.2"/>
    <x v="3"/>
    <n v="500"/>
    <n v="97"/>
    <x v="0"/>
    <x v="1"/>
    <x v="3"/>
    <x v="1"/>
    <x v="1"/>
    <x v="0"/>
  </r>
  <r>
    <s v="T01628"/>
    <d v="2023-01-18T00:00:00"/>
    <d v="1899-12-30T04:00:00"/>
    <x v="0"/>
    <x v="3"/>
    <s v="Station_17"/>
    <s v="Station_1"/>
    <d v="1899-12-30T04:02:00"/>
    <d v="1899-12-30T04:58:00"/>
    <n v="5"/>
    <n v="6"/>
    <x v="1"/>
    <n v="26.7"/>
    <n v="36"/>
    <n v="8"/>
    <n v="1"/>
    <x v="0"/>
    <n v="10000"/>
    <n v="31"/>
    <x v="0"/>
    <x v="1"/>
    <x v="3"/>
    <x v="1"/>
    <x v="1"/>
    <x v="2"/>
  </r>
  <r>
    <s v="T01629"/>
    <d v="2023-01-18T00:00:00"/>
    <d v="1899-12-30T04:15:00"/>
    <x v="3"/>
    <x v="12"/>
    <s v="Station_40"/>
    <s v="Station_49"/>
    <d v="1899-12-30T04:17:00"/>
    <d v="1899-12-30T04:57:00"/>
    <n v="16"/>
    <n v="14"/>
    <x v="1"/>
    <n v="10.9"/>
    <n v="34"/>
    <n v="58"/>
    <n v="1.8"/>
    <x v="3"/>
    <n v="50000"/>
    <n v="88"/>
    <x v="0"/>
    <x v="1"/>
    <x v="3"/>
    <x v="2"/>
    <x v="1"/>
    <x v="0"/>
  </r>
  <r>
    <s v="T01630"/>
    <d v="2023-01-18T00:00:00"/>
    <d v="1899-12-30T04:30:00"/>
    <x v="0"/>
    <x v="9"/>
    <s v="Station_19"/>
    <s v="Station_25"/>
    <d v="1899-12-30T04:31:00"/>
    <d v="1899-12-30T04:53:00"/>
    <n v="12"/>
    <n v="18"/>
    <x v="4"/>
    <n v="34.299999999999997"/>
    <n v="80"/>
    <n v="15"/>
    <n v="4.8"/>
    <x v="3"/>
    <n v="0"/>
    <n v="73"/>
    <x v="0"/>
    <x v="1"/>
    <x v="3"/>
    <x v="3"/>
    <x v="1"/>
    <x v="0"/>
  </r>
  <r>
    <s v="T01631"/>
    <d v="2023-01-18T00:00:00"/>
    <d v="1899-12-30T04:45:00"/>
    <x v="0"/>
    <x v="12"/>
    <s v="Station_15"/>
    <s v="Station_10"/>
    <d v="1899-12-30T04:48:00"/>
    <d v="1899-12-30T05:08:00"/>
    <n v="-2"/>
    <n v="15"/>
    <x v="0"/>
    <n v="8.8000000000000007"/>
    <n v="37"/>
    <n v="35"/>
    <n v="17.8"/>
    <x v="5"/>
    <n v="0"/>
    <n v="54"/>
    <x v="0"/>
    <x v="1"/>
    <x v="3"/>
    <x v="1"/>
    <x v="1"/>
    <x v="1"/>
  </r>
  <r>
    <s v="T01632"/>
    <d v="2023-01-18T00:00:00"/>
    <d v="1899-12-30T05:00:00"/>
    <x v="1"/>
    <x v="10"/>
    <s v="Station_9"/>
    <s v="Station_16"/>
    <d v="1899-12-30T05:02:00"/>
    <d v="1899-12-30T05:40:00"/>
    <n v="0"/>
    <n v="-3"/>
    <x v="3"/>
    <n v="9.9"/>
    <n v="85"/>
    <n v="33"/>
    <n v="6.7"/>
    <x v="0"/>
    <n v="0"/>
    <n v="49"/>
    <x v="0"/>
    <x v="0"/>
    <x v="3"/>
    <x v="1"/>
    <x v="0"/>
    <x v="1"/>
  </r>
  <r>
    <s v="T01633"/>
    <d v="2023-01-18T00:00:00"/>
    <d v="1899-12-30T05:15:00"/>
    <x v="0"/>
    <x v="17"/>
    <s v="Station_10"/>
    <s v="Station_16"/>
    <d v="1899-12-30T05:15:00"/>
    <d v="1899-12-30T06:11:00"/>
    <n v="15"/>
    <n v="20"/>
    <x v="5"/>
    <n v="19.399999999999999"/>
    <n v="40"/>
    <n v="44"/>
    <n v="3.8"/>
    <x v="5"/>
    <n v="0"/>
    <n v="64"/>
    <x v="0"/>
    <x v="0"/>
    <x v="3"/>
    <x v="1"/>
    <x v="1"/>
    <x v="1"/>
  </r>
  <r>
    <s v="T01634"/>
    <d v="2023-01-18T00:00:00"/>
    <d v="1899-12-30T05:30:00"/>
    <x v="2"/>
    <x v="13"/>
    <s v="Station_44"/>
    <s v="Station_8"/>
    <d v="1899-12-30T05:30:00"/>
    <d v="1899-12-30T05:51:00"/>
    <n v="15"/>
    <n v="21"/>
    <x v="2"/>
    <n v="6"/>
    <n v="51"/>
    <n v="12"/>
    <n v="14.3"/>
    <x v="0"/>
    <n v="500"/>
    <n v="31"/>
    <x v="0"/>
    <x v="0"/>
    <x v="3"/>
    <x v="1"/>
    <x v="1"/>
    <x v="2"/>
  </r>
  <r>
    <s v="T01635"/>
    <d v="2023-01-18T00:00:00"/>
    <d v="1899-12-30T05:45:00"/>
    <x v="0"/>
    <x v="3"/>
    <s v="Station_31"/>
    <s v="Station_29"/>
    <d v="1899-12-30T05:48:00"/>
    <d v="1899-12-30T06:11:00"/>
    <n v="-1"/>
    <n v="27"/>
    <x v="1"/>
    <n v="22.9"/>
    <n v="40"/>
    <n v="18"/>
    <n v="6.4"/>
    <x v="1"/>
    <n v="50000"/>
    <n v="36"/>
    <x v="0"/>
    <x v="0"/>
    <x v="3"/>
    <x v="3"/>
    <x v="1"/>
    <x v="1"/>
  </r>
  <r>
    <s v="T01636"/>
    <d v="2023-01-18T00:00:00"/>
    <d v="1899-12-30T06:00:00"/>
    <x v="2"/>
    <x v="17"/>
    <s v="Station_23"/>
    <s v="Station_39"/>
    <d v="1899-12-30T06:04:00"/>
    <d v="1899-12-30T06:35:00"/>
    <n v="2"/>
    <n v="27"/>
    <x v="2"/>
    <n v="1.1000000000000001"/>
    <n v="89"/>
    <n v="11"/>
    <n v="6.7"/>
    <x v="0"/>
    <n v="0"/>
    <n v="75"/>
    <x v="0"/>
    <x v="1"/>
    <x v="3"/>
    <x v="2"/>
    <x v="1"/>
    <x v="0"/>
  </r>
  <r>
    <s v="T01637"/>
    <d v="2023-01-18T00:00:00"/>
    <d v="1899-12-30T06:15:00"/>
    <x v="2"/>
    <x v="10"/>
    <s v="Station_30"/>
    <s v="Station_28"/>
    <d v="1899-12-30T06:16:00"/>
    <d v="1899-12-30T06:51:00"/>
    <n v="-2"/>
    <n v="-2"/>
    <x v="0"/>
    <n v="-0.7"/>
    <n v="44"/>
    <n v="35"/>
    <n v="14.8"/>
    <x v="2"/>
    <n v="0"/>
    <n v="81"/>
    <x v="0"/>
    <x v="0"/>
    <x v="3"/>
    <x v="3"/>
    <x v="0"/>
    <x v="0"/>
  </r>
  <r>
    <s v="T01638"/>
    <d v="2023-01-18T00:00:00"/>
    <d v="1899-12-30T06:30:00"/>
    <x v="2"/>
    <x v="13"/>
    <s v="Station_33"/>
    <s v="Station_6"/>
    <d v="1899-12-30T06:30:00"/>
    <d v="1899-12-30T07:09:00"/>
    <n v="7"/>
    <n v="15"/>
    <x v="1"/>
    <n v="16.399999999999999"/>
    <n v="67"/>
    <n v="9"/>
    <n v="5"/>
    <x v="4"/>
    <n v="0"/>
    <n v="93"/>
    <x v="0"/>
    <x v="1"/>
    <x v="3"/>
    <x v="3"/>
    <x v="1"/>
    <x v="0"/>
  </r>
  <r>
    <s v="T01639"/>
    <d v="2023-01-18T00:00:00"/>
    <d v="1899-12-30T06:45:00"/>
    <x v="3"/>
    <x v="10"/>
    <s v="Station_9"/>
    <s v="Station_16"/>
    <d v="1899-12-30T06:45:00"/>
    <d v="1899-12-30T07:27:00"/>
    <n v="17"/>
    <n v="8"/>
    <x v="2"/>
    <n v="17.2"/>
    <n v="30"/>
    <n v="15"/>
    <n v="17.899999999999999"/>
    <x v="0"/>
    <n v="0"/>
    <n v="12"/>
    <x v="0"/>
    <x v="0"/>
    <x v="3"/>
    <x v="1"/>
    <x v="1"/>
    <x v="2"/>
  </r>
  <r>
    <s v="T01640"/>
    <d v="2023-01-18T00:00:00"/>
    <d v="1899-12-30T07:00:00"/>
    <x v="1"/>
    <x v="19"/>
    <s v="Station_47"/>
    <s v="Station_20"/>
    <d v="1899-12-30T07:03:00"/>
    <d v="1899-12-30T07:53:00"/>
    <n v="7"/>
    <n v="6"/>
    <x v="4"/>
    <n v="-0.7"/>
    <n v="75"/>
    <n v="27"/>
    <n v="11.2"/>
    <x v="5"/>
    <n v="0"/>
    <n v="53"/>
    <x v="0"/>
    <x v="1"/>
    <x v="3"/>
    <x v="1"/>
    <x v="1"/>
    <x v="1"/>
  </r>
  <r>
    <s v="T01641"/>
    <d v="2023-01-18T00:00:00"/>
    <d v="1899-12-30T07:15:00"/>
    <x v="2"/>
    <x v="4"/>
    <s v="Station_1"/>
    <s v="Station_16"/>
    <d v="1899-12-30T07:19:00"/>
    <d v="1899-12-30T07:45:00"/>
    <n v="2"/>
    <n v="27"/>
    <x v="2"/>
    <n v="33.6"/>
    <n v="72"/>
    <n v="55"/>
    <n v="10.8"/>
    <x v="0"/>
    <n v="0"/>
    <n v="2"/>
    <x v="0"/>
    <x v="1"/>
    <x v="3"/>
    <x v="3"/>
    <x v="1"/>
    <x v="2"/>
  </r>
  <r>
    <s v="T01642"/>
    <d v="2023-01-18T00:00:00"/>
    <d v="1899-12-30T07:30:00"/>
    <x v="2"/>
    <x v="1"/>
    <s v="Station_44"/>
    <s v="Station_7"/>
    <d v="1899-12-30T07:34:00"/>
    <d v="1899-12-30T08:23:00"/>
    <n v="15"/>
    <n v="18"/>
    <x v="4"/>
    <n v="17.899999999999999"/>
    <n v="51"/>
    <n v="18"/>
    <n v="5.3"/>
    <x v="4"/>
    <n v="10000"/>
    <n v="84"/>
    <x v="1"/>
    <x v="0"/>
    <x v="3"/>
    <x v="3"/>
    <x v="1"/>
    <x v="0"/>
  </r>
  <r>
    <s v="T01643"/>
    <d v="2023-01-18T00:00:00"/>
    <d v="1899-12-30T07:45:00"/>
    <x v="3"/>
    <x v="3"/>
    <s v="Station_35"/>
    <s v="Station_41"/>
    <d v="1899-12-30T07:48:00"/>
    <d v="1899-12-30T08:37:00"/>
    <n v="18"/>
    <n v="19"/>
    <x v="5"/>
    <n v="1"/>
    <n v="32"/>
    <n v="39"/>
    <n v="16.7"/>
    <x v="0"/>
    <n v="0"/>
    <n v="41"/>
    <x v="0"/>
    <x v="1"/>
    <x v="3"/>
    <x v="3"/>
    <x v="1"/>
    <x v="1"/>
  </r>
  <r>
    <s v="T01644"/>
    <d v="2023-01-18T00:00:00"/>
    <d v="1899-12-30T08:00:00"/>
    <x v="2"/>
    <x v="1"/>
    <s v="Station_11"/>
    <s v="Station_14"/>
    <d v="1899-12-30T08:00:00"/>
    <d v="1899-12-30T08:45:00"/>
    <n v="12"/>
    <n v="19"/>
    <x v="0"/>
    <n v="7.5"/>
    <n v="43"/>
    <n v="5"/>
    <n v="11.5"/>
    <x v="5"/>
    <n v="0"/>
    <n v="77"/>
    <x v="0"/>
    <x v="1"/>
    <x v="3"/>
    <x v="0"/>
    <x v="1"/>
    <x v="0"/>
  </r>
  <r>
    <s v="T01645"/>
    <d v="2023-01-18T00:00:00"/>
    <d v="1899-12-30T08:15:00"/>
    <x v="0"/>
    <x v="4"/>
    <s v="Station_34"/>
    <s v="Station_43"/>
    <d v="1899-12-30T08:16:00"/>
    <d v="1899-12-30T08:36:00"/>
    <n v="17"/>
    <n v="11"/>
    <x v="3"/>
    <n v="27"/>
    <n v="31"/>
    <n v="3"/>
    <n v="3.1"/>
    <x v="0"/>
    <n v="0"/>
    <n v="39"/>
    <x v="0"/>
    <x v="1"/>
    <x v="3"/>
    <x v="1"/>
    <x v="1"/>
    <x v="1"/>
  </r>
  <r>
    <s v="T01646"/>
    <d v="2023-01-18T00:00:00"/>
    <d v="1899-12-30T08:30:00"/>
    <x v="0"/>
    <x v="4"/>
    <s v="Station_16"/>
    <s v="Station_26"/>
    <d v="1899-12-30T08:30:00"/>
    <d v="1899-12-30T09:12:00"/>
    <n v="5"/>
    <n v="22"/>
    <x v="2"/>
    <n v="15.9"/>
    <n v="90"/>
    <n v="29"/>
    <n v="4.0999999999999996"/>
    <x v="0"/>
    <n v="0"/>
    <n v="73"/>
    <x v="0"/>
    <x v="1"/>
    <x v="3"/>
    <x v="2"/>
    <x v="1"/>
    <x v="0"/>
  </r>
  <r>
    <s v="T01647"/>
    <d v="2023-01-18T00:00:00"/>
    <d v="1899-12-30T08:45:00"/>
    <x v="1"/>
    <x v="10"/>
    <s v="Station_9"/>
    <s v="Station_26"/>
    <d v="1899-12-30T08:49:00"/>
    <d v="1899-12-30T09:26:00"/>
    <n v="14"/>
    <n v="-1"/>
    <x v="1"/>
    <n v="2.5"/>
    <n v="61"/>
    <n v="38"/>
    <n v="9.4"/>
    <x v="0"/>
    <n v="0"/>
    <n v="65"/>
    <x v="0"/>
    <x v="1"/>
    <x v="3"/>
    <x v="2"/>
    <x v="0"/>
    <x v="1"/>
  </r>
  <r>
    <s v="T01648"/>
    <d v="2023-01-18T00:00:00"/>
    <d v="1899-12-30T09:00:00"/>
    <x v="2"/>
    <x v="1"/>
    <s v="Station_32"/>
    <s v="Station_14"/>
    <d v="1899-12-30T09:00:00"/>
    <d v="1899-12-30T09:53:00"/>
    <n v="9"/>
    <n v="19"/>
    <x v="0"/>
    <n v="-0.9"/>
    <n v="67"/>
    <n v="30"/>
    <n v="15.6"/>
    <x v="1"/>
    <n v="10000"/>
    <n v="59"/>
    <x v="0"/>
    <x v="1"/>
    <x v="3"/>
    <x v="2"/>
    <x v="1"/>
    <x v="1"/>
  </r>
  <r>
    <s v="T01649"/>
    <d v="2023-01-18T00:00:00"/>
    <d v="1899-12-30T09:15:00"/>
    <x v="3"/>
    <x v="2"/>
    <s v="Station_15"/>
    <s v="Station_7"/>
    <d v="1899-12-30T09:16:00"/>
    <d v="1899-12-30T09:49:00"/>
    <n v="18"/>
    <n v="16"/>
    <x v="2"/>
    <n v="12.2"/>
    <n v="75"/>
    <n v="45"/>
    <n v="18.8"/>
    <x v="4"/>
    <n v="50000"/>
    <n v="10"/>
    <x v="0"/>
    <x v="1"/>
    <x v="3"/>
    <x v="0"/>
    <x v="1"/>
    <x v="2"/>
  </r>
  <r>
    <s v="T01650"/>
    <d v="2023-01-18T00:00:00"/>
    <d v="1899-12-30T09:30:00"/>
    <x v="0"/>
    <x v="19"/>
    <s v="Station_12"/>
    <s v="Station_33"/>
    <d v="1899-12-30T09:32:00"/>
    <d v="1899-12-30T09:59:00"/>
    <n v="9"/>
    <n v="4"/>
    <x v="1"/>
    <n v="8.5"/>
    <n v="71"/>
    <n v="26"/>
    <n v="13.3"/>
    <x v="0"/>
    <n v="0"/>
    <n v="0"/>
    <x v="0"/>
    <x v="1"/>
    <x v="3"/>
    <x v="0"/>
    <x v="0"/>
    <x v="2"/>
  </r>
  <r>
    <s v="T01651"/>
    <d v="2023-01-18T00:00:00"/>
    <d v="1899-12-30T09:45:00"/>
    <x v="3"/>
    <x v="10"/>
    <s v="Station_33"/>
    <s v="Station_26"/>
    <d v="1899-12-30T09:45:00"/>
    <d v="1899-12-30T10:19:00"/>
    <n v="-2"/>
    <n v="14"/>
    <x v="1"/>
    <n v="21.2"/>
    <n v="35"/>
    <n v="44"/>
    <n v="10.1"/>
    <x v="0"/>
    <n v="2000"/>
    <n v="25"/>
    <x v="0"/>
    <x v="1"/>
    <x v="3"/>
    <x v="2"/>
    <x v="1"/>
    <x v="2"/>
  </r>
  <r>
    <s v="T01652"/>
    <d v="2023-01-18T00:00:00"/>
    <d v="1899-12-30T10:00:00"/>
    <x v="3"/>
    <x v="12"/>
    <s v="Station_45"/>
    <s v="Station_45"/>
    <d v="1899-12-30T10:03:00"/>
    <d v="1899-12-30T10:48:00"/>
    <n v="1"/>
    <n v="2"/>
    <x v="3"/>
    <n v="32"/>
    <n v="70"/>
    <n v="20"/>
    <n v="5"/>
    <x v="0"/>
    <n v="0"/>
    <n v="41"/>
    <x v="0"/>
    <x v="1"/>
    <x v="3"/>
    <x v="2"/>
    <x v="0"/>
    <x v="1"/>
  </r>
  <r>
    <s v="T01653"/>
    <d v="2023-01-18T00:00:00"/>
    <d v="1899-12-30T10:15:00"/>
    <x v="0"/>
    <x v="6"/>
    <s v="Station_14"/>
    <s v="Station_20"/>
    <d v="1899-12-30T10:17:00"/>
    <d v="1899-12-30T10:57:00"/>
    <n v="5"/>
    <n v="23"/>
    <x v="3"/>
    <n v="4.9000000000000004"/>
    <n v="54"/>
    <n v="36"/>
    <n v="13.5"/>
    <x v="5"/>
    <n v="0"/>
    <n v="61"/>
    <x v="0"/>
    <x v="1"/>
    <x v="3"/>
    <x v="2"/>
    <x v="1"/>
    <x v="1"/>
  </r>
  <r>
    <s v="T01654"/>
    <d v="2023-01-18T00:00:00"/>
    <d v="1899-12-30T10:30:00"/>
    <x v="3"/>
    <x v="4"/>
    <s v="Station_8"/>
    <s v="Station_3"/>
    <d v="1899-12-30T10:33:00"/>
    <d v="1899-12-30T11:06:00"/>
    <n v="-2"/>
    <n v="11"/>
    <x v="1"/>
    <n v="29.2"/>
    <n v="40"/>
    <n v="8"/>
    <n v="19.600000000000001"/>
    <x v="1"/>
    <n v="500"/>
    <n v="60"/>
    <x v="0"/>
    <x v="1"/>
    <x v="3"/>
    <x v="3"/>
    <x v="1"/>
    <x v="1"/>
  </r>
  <r>
    <s v="T01655"/>
    <d v="2023-01-18T00:00:00"/>
    <d v="1899-12-30T10:45:00"/>
    <x v="0"/>
    <x v="13"/>
    <s v="Station_8"/>
    <s v="Station_4"/>
    <d v="1899-12-30T10:48:00"/>
    <d v="1899-12-30T11:13:00"/>
    <n v="12"/>
    <n v="1"/>
    <x v="3"/>
    <n v="31.8"/>
    <n v="70"/>
    <n v="34"/>
    <n v="9.5"/>
    <x v="0"/>
    <n v="0"/>
    <n v="76"/>
    <x v="0"/>
    <x v="1"/>
    <x v="3"/>
    <x v="1"/>
    <x v="0"/>
    <x v="0"/>
  </r>
  <r>
    <s v="T01656"/>
    <d v="2023-01-18T00:00:00"/>
    <d v="1899-12-30T11:00:00"/>
    <x v="3"/>
    <x v="10"/>
    <s v="Station_27"/>
    <s v="Station_26"/>
    <d v="1899-12-30T11:03:00"/>
    <d v="1899-12-30T11:55:00"/>
    <n v="15"/>
    <n v="5"/>
    <x v="1"/>
    <n v="31.1"/>
    <n v="86"/>
    <n v="41"/>
    <n v="3.2"/>
    <x v="0"/>
    <n v="0"/>
    <n v="91"/>
    <x v="0"/>
    <x v="1"/>
    <x v="3"/>
    <x v="0"/>
    <x v="0"/>
    <x v="0"/>
  </r>
  <r>
    <s v="T01657"/>
    <d v="2023-01-18T00:00:00"/>
    <d v="1899-12-30T11:15:00"/>
    <x v="0"/>
    <x v="0"/>
    <s v="Station_12"/>
    <s v="Station_11"/>
    <d v="1899-12-30T11:15:00"/>
    <d v="1899-12-30T11:43:00"/>
    <n v="-2"/>
    <n v="3"/>
    <x v="2"/>
    <n v="33.1"/>
    <n v="75"/>
    <n v="46"/>
    <n v="2.1"/>
    <x v="0"/>
    <n v="0"/>
    <n v="99"/>
    <x v="0"/>
    <x v="0"/>
    <x v="3"/>
    <x v="0"/>
    <x v="0"/>
    <x v="0"/>
  </r>
  <r>
    <s v="T01658"/>
    <d v="2023-01-18T00:00:00"/>
    <d v="1899-12-30T11:30:00"/>
    <x v="2"/>
    <x v="5"/>
    <s v="Station_1"/>
    <s v="Station_2"/>
    <d v="1899-12-30T11:34:00"/>
    <d v="1899-12-30T12:05:00"/>
    <n v="8"/>
    <n v="16"/>
    <x v="5"/>
    <n v="28.7"/>
    <n v="77"/>
    <n v="51"/>
    <n v="5.4"/>
    <x v="5"/>
    <n v="0"/>
    <n v="84"/>
    <x v="0"/>
    <x v="0"/>
    <x v="3"/>
    <x v="3"/>
    <x v="1"/>
    <x v="0"/>
  </r>
  <r>
    <s v="T01659"/>
    <d v="2023-01-18T00:00:00"/>
    <d v="1899-12-30T11:45:00"/>
    <x v="1"/>
    <x v="0"/>
    <s v="Station_43"/>
    <s v="Station_14"/>
    <d v="1899-12-30T11:47:00"/>
    <d v="1899-12-30T12:40:00"/>
    <n v="-1"/>
    <n v="6"/>
    <x v="3"/>
    <n v="18.7"/>
    <n v="92"/>
    <n v="20"/>
    <n v="11.4"/>
    <x v="0"/>
    <n v="0"/>
    <n v="61"/>
    <x v="0"/>
    <x v="0"/>
    <x v="3"/>
    <x v="0"/>
    <x v="1"/>
    <x v="1"/>
  </r>
  <r>
    <s v="T01660"/>
    <d v="2023-01-18T00:00:00"/>
    <d v="1899-12-30T12:00:00"/>
    <x v="0"/>
    <x v="14"/>
    <s v="Station_40"/>
    <s v="Station_44"/>
    <d v="1899-12-30T12:01:00"/>
    <d v="1899-12-30T12:52:00"/>
    <n v="-2"/>
    <n v="22"/>
    <x v="4"/>
    <n v="11.4"/>
    <n v="68"/>
    <n v="16"/>
    <n v="18.899999999999999"/>
    <x v="1"/>
    <n v="0"/>
    <n v="73"/>
    <x v="0"/>
    <x v="1"/>
    <x v="3"/>
    <x v="2"/>
    <x v="1"/>
    <x v="0"/>
  </r>
  <r>
    <s v="T01661"/>
    <d v="2023-01-18T00:00:00"/>
    <d v="1899-12-30T12:15:00"/>
    <x v="0"/>
    <x v="8"/>
    <s v="Station_42"/>
    <s v="Station_30"/>
    <d v="1899-12-30T12:19:00"/>
    <d v="1899-12-30T13:05:00"/>
    <n v="9"/>
    <n v="0"/>
    <x v="4"/>
    <n v="14.7"/>
    <n v="39"/>
    <n v="54"/>
    <n v="6"/>
    <x v="0"/>
    <n v="0"/>
    <n v="11"/>
    <x v="0"/>
    <x v="1"/>
    <x v="3"/>
    <x v="0"/>
    <x v="0"/>
    <x v="2"/>
  </r>
  <r>
    <s v="T01662"/>
    <d v="2023-01-18T00:00:00"/>
    <d v="1899-12-30T12:30:00"/>
    <x v="1"/>
    <x v="8"/>
    <s v="Station_11"/>
    <s v="Station_49"/>
    <d v="1899-12-30T12:30:00"/>
    <d v="1899-12-30T12:55:00"/>
    <n v="13"/>
    <n v="20"/>
    <x v="4"/>
    <n v="29.9"/>
    <n v="99"/>
    <n v="23"/>
    <n v="6.1"/>
    <x v="0"/>
    <n v="2000"/>
    <n v="26"/>
    <x v="0"/>
    <x v="1"/>
    <x v="3"/>
    <x v="3"/>
    <x v="1"/>
    <x v="2"/>
  </r>
  <r>
    <s v="T01663"/>
    <d v="2023-01-18T00:00:00"/>
    <d v="1899-12-30T12:45:00"/>
    <x v="0"/>
    <x v="16"/>
    <s v="Station_39"/>
    <s v="Station_12"/>
    <d v="1899-12-30T12:48:00"/>
    <d v="1899-12-30T13:14:00"/>
    <n v="19"/>
    <n v="10"/>
    <x v="5"/>
    <n v="7.1"/>
    <n v="94"/>
    <n v="30"/>
    <n v="9.6"/>
    <x v="0"/>
    <n v="0"/>
    <n v="66"/>
    <x v="0"/>
    <x v="1"/>
    <x v="3"/>
    <x v="1"/>
    <x v="1"/>
    <x v="1"/>
  </r>
  <r>
    <s v="T01664"/>
    <d v="2023-01-18T00:00:00"/>
    <d v="1899-12-30T13:00:00"/>
    <x v="0"/>
    <x v="18"/>
    <s v="Station_43"/>
    <s v="Station_26"/>
    <d v="1899-12-30T13:01:00"/>
    <d v="1899-12-30T13:35:00"/>
    <n v="19"/>
    <n v="-3"/>
    <x v="1"/>
    <n v="1.4"/>
    <n v="88"/>
    <n v="5"/>
    <n v="18.399999999999999"/>
    <x v="5"/>
    <n v="0"/>
    <n v="27"/>
    <x v="0"/>
    <x v="0"/>
    <x v="3"/>
    <x v="2"/>
    <x v="0"/>
    <x v="2"/>
  </r>
  <r>
    <s v="T01665"/>
    <d v="2023-01-18T00:00:00"/>
    <d v="1899-12-30T13:15:00"/>
    <x v="3"/>
    <x v="19"/>
    <s v="Station_31"/>
    <s v="Station_44"/>
    <d v="1899-12-30T13:17:00"/>
    <d v="1899-12-30T13:38:00"/>
    <n v="7"/>
    <n v="13"/>
    <x v="1"/>
    <n v="0.6"/>
    <n v="65"/>
    <n v="56"/>
    <n v="8.4"/>
    <x v="5"/>
    <n v="0"/>
    <n v="65"/>
    <x v="0"/>
    <x v="1"/>
    <x v="3"/>
    <x v="0"/>
    <x v="1"/>
    <x v="1"/>
  </r>
  <r>
    <s v="T01666"/>
    <d v="2023-01-18T00:00:00"/>
    <d v="1899-12-30T13:30:00"/>
    <x v="1"/>
    <x v="18"/>
    <s v="Station_17"/>
    <s v="Station_33"/>
    <d v="1899-12-30T13:34:00"/>
    <d v="1899-12-30T14:11:00"/>
    <n v="15"/>
    <n v="20"/>
    <x v="0"/>
    <n v="28.1"/>
    <n v="56"/>
    <n v="34"/>
    <n v="4.5"/>
    <x v="0"/>
    <n v="10000"/>
    <n v="27"/>
    <x v="0"/>
    <x v="1"/>
    <x v="3"/>
    <x v="2"/>
    <x v="1"/>
    <x v="2"/>
  </r>
  <r>
    <s v="T01667"/>
    <d v="2023-01-18T00:00:00"/>
    <d v="1899-12-30T13:45:00"/>
    <x v="2"/>
    <x v="8"/>
    <s v="Station_33"/>
    <s v="Station_13"/>
    <d v="1899-12-30T13:49:00"/>
    <d v="1899-12-30T14:17:00"/>
    <n v="12"/>
    <n v="23"/>
    <x v="4"/>
    <n v="25.5"/>
    <n v="84"/>
    <n v="49"/>
    <n v="3.3"/>
    <x v="0"/>
    <n v="0"/>
    <n v="94"/>
    <x v="0"/>
    <x v="1"/>
    <x v="3"/>
    <x v="1"/>
    <x v="1"/>
    <x v="0"/>
  </r>
  <r>
    <s v="T01668"/>
    <d v="2023-01-18T00:00:00"/>
    <d v="1899-12-30T14:00:00"/>
    <x v="0"/>
    <x v="6"/>
    <s v="Station_32"/>
    <s v="Station_14"/>
    <d v="1899-12-30T14:01:00"/>
    <d v="1899-12-30T14:35:00"/>
    <n v="14"/>
    <n v="3"/>
    <x v="4"/>
    <n v="14.9"/>
    <n v="99"/>
    <n v="36"/>
    <n v="9.1"/>
    <x v="0"/>
    <n v="10000"/>
    <n v="20"/>
    <x v="0"/>
    <x v="1"/>
    <x v="3"/>
    <x v="0"/>
    <x v="0"/>
    <x v="2"/>
  </r>
  <r>
    <s v="T01669"/>
    <d v="2023-01-18T00:00:00"/>
    <d v="1899-12-30T14:15:00"/>
    <x v="1"/>
    <x v="3"/>
    <s v="Station_29"/>
    <s v="Station_24"/>
    <d v="1899-12-30T14:15:00"/>
    <d v="1899-12-30T15:03:00"/>
    <n v="7"/>
    <n v="5"/>
    <x v="1"/>
    <n v="6"/>
    <n v="82"/>
    <n v="12"/>
    <n v="16"/>
    <x v="1"/>
    <n v="0"/>
    <n v="6"/>
    <x v="0"/>
    <x v="1"/>
    <x v="3"/>
    <x v="2"/>
    <x v="0"/>
    <x v="2"/>
  </r>
  <r>
    <s v="T01670"/>
    <d v="2023-01-18T00:00:00"/>
    <d v="1899-12-30T14:30:00"/>
    <x v="3"/>
    <x v="0"/>
    <s v="Station_21"/>
    <s v="Station_34"/>
    <d v="1899-12-30T14:32:00"/>
    <d v="1899-12-30T14:55:00"/>
    <n v="0"/>
    <n v="8"/>
    <x v="4"/>
    <n v="22.1"/>
    <n v="89"/>
    <n v="24"/>
    <n v="5.8"/>
    <x v="4"/>
    <n v="50000"/>
    <n v="94"/>
    <x v="0"/>
    <x v="1"/>
    <x v="3"/>
    <x v="3"/>
    <x v="1"/>
    <x v="0"/>
  </r>
  <r>
    <s v="T01671"/>
    <d v="2023-01-18T00:00:00"/>
    <d v="1899-12-30T14:45:00"/>
    <x v="2"/>
    <x v="4"/>
    <s v="Station_21"/>
    <s v="Station_44"/>
    <d v="1899-12-30T14:46:00"/>
    <d v="1899-12-30T15:30:00"/>
    <n v="18"/>
    <n v="17"/>
    <x v="1"/>
    <n v="-3.5"/>
    <n v="90"/>
    <n v="31"/>
    <n v="10.3"/>
    <x v="0"/>
    <n v="0"/>
    <n v="13"/>
    <x v="0"/>
    <x v="1"/>
    <x v="3"/>
    <x v="3"/>
    <x v="1"/>
    <x v="2"/>
  </r>
  <r>
    <s v="T01672"/>
    <d v="2023-01-18T00:00:00"/>
    <d v="1899-12-30T15:00:00"/>
    <x v="1"/>
    <x v="14"/>
    <s v="Station_40"/>
    <s v="Station_26"/>
    <d v="1899-12-30T15:03:00"/>
    <d v="1899-12-30T15:30:00"/>
    <n v="13"/>
    <n v="-1"/>
    <x v="1"/>
    <n v="17.7"/>
    <n v="65"/>
    <n v="58"/>
    <n v="12.1"/>
    <x v="0"/>
    <n v="0"/>
    <n v="38"/>
    <x v="0"/>
    <x v="1"/>
    <x v="3"/>
    <x v="1"/>
    <x v="0"/>
    <x v="1"/>
  </r>
  <r>
    <s v="T01673"/>
    <d v="2023-01-18T00:00:00"/>
    <d v="1899-12-30T15:15:00"/>
    <x v="2"/>
    <x v="5"/>
    <s v="Station_23"/>
    <s v="Station_21"/>
    <d v="1899-12-30T15:17:00"/>
    <d v="1899-12-30T15:58:00"/>
    <n v="3"/>
    <n v="11"/>
    <x v="3"/>
    <n v="10.9"/>
    <n v="56"/>
    <n v="0"/>
    <n v="9"/>
    <x v="2"/>
    <n v="0"/>
    <n v="72"/>
    <x v="0"/>
    <x v="1"/>
    <x v="3"/>
    <x v="1"/>
    <x v="1"/>
    <x v="0"/>
  </r>
  <r>
    <s v="T01674"/>
    <d v="2023-01-18T00:00:00"/>
    <d v="1899-12-30T15:30:00"/>
    <x v="2"/>
    <x v="19"/>
    <s v="Station_6"/>
    <s v="Station_28"/>
    <d v="1899-12-30T15:34:00"/>
    <d v="1899-12-30T16:18:00"/>
    <n v="0"/>
    <n v="17"/>
    <x v="1"/>
    <n v="34.1"/>
    <n v="70"/>
    <n v="48"/>
    <n v="3.8"/>
    <x v="4"/>
    <n v="0"/>
    <n v="86"/>
    <x v="0"/>
    <x v="0"/>
    <x v="3"/>
    <x v="1"/>
    <x v="1"/>
    <x v="0"/>
  </r>
  <r>
    <s v="T01675"/>
    <d v="2023-01-18T00:00:00"/>
    <d v="1899-12-30T15:45:00"/>
    <x v="2"/>
    <x v="1"/>
    <s v="Station_22"/>
    <s v="Station_48"/>
    <d v="1899-12-30T15:46:00"/>
    <d v="1899-12-30T16:07:00"/>
    <n v="6"/>
    <n v="6"/>
    <x v="2"/>
    <n v="15.3"/>
    <n v="57"/>
    <n v="57"/>
    <n v="18.399999999999999"/>
    <x v="0"/>
    <n v="500"/>
    <n v="61"/>
    <x v="0"/>
    <x v="0"/>
    <x v="3"/>
    <x v="0"/>
    <x v="1"/>
    <x v="1"/>
  </r>
  <r>
    <s v="T01676"/>
    <d v="2023-01-18T00:00:00"/>
    <d v="1899-12-30T16:00:00"/>
    <x v="0"/>
    <x v="3"/>
    <s v="Station_50"/>
    <s v="Station_36"/>
    <d v="1899-12-30T16:04:00"/>
    <d v="1899-12-30T16:29:00"/>
    <n v="8"/>
    <n v="29"/>
    <x v="2"/>
    <n v="17.100000000000001"/>
    <n v="45"/>
    <n v="34"/>
    <n v="11.3"/>
    <x v="4"/>
    <n v="0"/>
    <n v="11"/>
    <x v="0"/>
    <x v="0"/>
    <x v="3"/>
    <x v="1"/>
    <x v="1"/>
    <x v="2"/>
  </r>
  <r>
    <s v="T01677"/>
    <d v="2023-01-18T00:00:00"/>
    <d v="1899-12-30T16:15:00"/>
    <x v="0"/>
    <x v="0"/>
    <s v="Station_38"/>
    <s v="Station_40"/>
    <d v="1899-12-30T16:19:00"/>
    <d v="1899-12-30T16:35:00"/>
    <n v="18"/>
    <n v="2"/>
    <x v="2"/>
    <n v="23.5"/>
    <n v="64"/>
    <n v="57"/>
    <n v="14.6"/>
    <x v="2"/>
    <n v="0"/>
    <n v="92"/>
    <x v="0"/>
    <x v="1"/>
    <x v="3"/>
    <x v="0"/>
    <x v="0"/>
    <x v="0"/>
  </r>
  <r>
    <s v="T01678"/>
    <d v="2023-01-18T00:00:00"/>
    <d v="1899-12-30T16:30:00"/>
    <x v="3"/>
    <x v="9"/>
    <s v="Station_37"/>
    <s v="Station_2"/>
    <d v="1899-12-30T16:34:00"/>
    <d v="1899-12-30T17:15:00"/>
    <n v="10"/>
    <n v="-2"/>
    <x v="2"/>
    <n v="14.4"/>
    <n v="65"/>
    <n v="18"/>
    <n v="12.7"/>
    <x v="0"/>
    <n v="500"/>
    <n v="37"/>
    <x v="0"/>
    <x v="1"/>
    <x v="3"/>
    <x v="2"/>
    <x v="0"/>
    <x v="1"/>
  </r>
  <r>
    <s v="T01679"/>
    <d v="2023-01-18T00:00:00"/>
    <d v="1899-12-30T16:45:00"/>
    <x v="3"/>
    <x v="12"/>
    <s v="Station_45"/>
    <s v="Station_42"/>
    <d v="1899-12-30T16:45:00"/>
    <d v="1899-12-30T17:16:00"/>
    <n v="15"/>
    <n v="25"/>
    <x v="5"/>
    <n v="4"/>
    <n v="85"/>
    <n v="52"/>
    <n v="20"/>
    <x v="0"/>
    <n v="50000"/>
    <n v="57"/>
    <x v="0"/>
    <x v="0"/>
    <x v="3"/>
    <x v="3"/>
    <x v="1"/>
    <x v="1"/>
  </r>
  <r>
    <s v="T01680"/>
    <d v="2023-01-18T00:00:00"/>
    <d v="1899-12-30T17:00:00"/>
    <x v="1"/>
    <x v="16"/>
    <s v="Station_8"/>
    <s v="Station_9"/>
    <d v="1899-12-30T17:04:00"/>
    <d v="1899-12-30T17:33:00"/>
    <n v="19"/>
    <n v="29"/>
    <x v="0"/>
    <n v="16.5"/>
    <n v="48"/>
    <n v="51"/>
    <n v="9.1"/>
    <x v="0"/>
    <n v="50000"/>
    <n v="55"/>
    <x v="0"/>
    <x v="1"/>
    <x v="3"/>
    <x v="2"/>
    <x v="1"/>
    <x v="1"/>
  </r>
  <r>
    <s v="T01681"/>
    <d v="2023-01-18T00:00:00"/>
    <d v="1899-12-30T17:15:00"/>
    <x v="3"/>
    <x v="9"/>
    <s v="Station_41"/>
    <s v="Station_23"/>
    <d v="1899-12-30T17:18:00"/>
    <d v="1899-12-30T17:59:00"/>
    <n v="19"/>
    <n v="0"/>
    <x v="0"/>
    <n v="32.799999999999997"/>
    <n v="86"/>
    <n v="53"/>
    <n v="8.5"/>
    <x v="4"/>
    <n v="0"/>
    <n v="38"/>
    <x v="0"/>
    <x v="1"/>
    <x v="3"/>
    <x v="3"/>
    <x v="0"/>
    <x v="1"/>
  </r>
  <r>
    <s v="T01682"/>
    <d v="2023-01-18T00:00:00"/>
    <d v="1899-12-30T17:30:00"/>
    <x v="2"/>
    <x v="11"/>
    <s v="Station_49"/>
    <s v="Station_15"/>
    <d v="1899-12-30T17:33:00"/>
    <d v="1899-12-30T17:57:00"/>
    <n v="1"/>
    <n v="0"/>
    <x v="1"/>
    <n v="11.4"/>
    <n v="62"/>
    <n v="11"/>
    <n v="7.2"/>
    <x v="4"/>
    <n v="0"/>
    <n v="85"/>
    <x v="0"/>
    <x v="1"/>
    <x v="3"/>
    <x v="1"/>
    <x v="0"/>
    <x v="0"/>
  </r>
  <r>
    <s v="T01683"/>
    <d v="2023-01-18T00:00:00"/>
    <d v="1899-12-30T17:45:00"/>
    <x v="2"/>
    <x v="16"/>
    <s v="Station_35"/>
    <s v="Station_13"/>
    <d v="1899-12-30T17:47:00"/>
    <d v="1899-12-30T18:08:00"/>
    <n v="19"/>
    <n v="25"/>
    <x v="4"/>
    <n v="22.2"/>
    <n v="52"/>
    <n v="39"/>
    <n v="7.2"/>
    <x v="3"/>
    <n v="0"/>
    <n v="3"/>
    <x v="0"/>
    <x v="1"/>
    <x v="3"/>
    <x v="2"/>
    <x v="1"/>
    <x v="2"/>
  </r>
  <r>
    <s v="T01684"/>
    <d v="2023-01-18T00:00:00"/>
    <d v="1899-12-30T18:00:00"/>
    <x v="0"/>
    <x v="3"/>
    <s v="Station_11"/>
    <s v="Station_23"/>
    <d v="1899-12-30T18:04:00"/>
    <d v="1899-12-30T18:47:00"/>
    <n v="5"/>
    <n v="16"/>
    <x v="2"/>
    <n v="34.1"/>
    <n v="92"/>
    <n v="39"/>
    <n v="5.5"/>
    <x v="0"/>
    <n v="10000"/>
    <n v="47"/>
    <x v="0"/>
    <x v="1"/>
    <x v="3"/>
    <x v="2"/>
    <x v="1"/>
    <x v="1"/>
  </r>
  <r>
    <s v="T01685"/>
    <d v="2023-01-18T00:00:00"/>
    <d v="1899-12-30T18:15:00"/>
    <x v="2"/>
    <x v="17"/>
    <s v="Station_24"/>
    <s v="Station_17"/>
    <d v="1899-12-30T18:19:00"/>
    <d v="1899-12-30T18:41:00"/>
    <n v="10"/>
    <n v="19"/>
    <x v="0"/>
    <n v="28.2"/>
    <n v="99"/>
    <n v="46"/>
    <n v="19.600000000000001"/>
    <x v="4"/>
    <n v="10000"/>
    <n v="6"/>
    <x v="0"/>
    <x v="0"/>
    <x v="3"/>
    <x v="1"/>
    <x v="1"/>
    <x v="2"/>
  </r>
  <r>
    <s v="T01686"/>
    <d v="2023-01-18T00:00:00"/>
    <d v="1899-12-30T18:30:00"/>
    <x v="1"/>
    <x v="10"/>
    <s v="Station_49"/>
    <s v="Station_48"/>
    <d v="1899-12-30T18:31:00"/>
    <d v="1899-12-30T18:59:00"/>
    <n v="7"/>
    <n v="14"/>
    <x v="0"/>
    <n v="21.4"/>
    <n v="51"/>
    <n v="42"/>
    <n v="17.399999999999999"/>
    <x v="0"/>
    <n v="50000"/>
    <n v="59"/>
    <x v="0"/>
    <x v="1"/>
    <x v="3"/>
    <x v="2"/>
    <x v="1"/>
    <x v="1"/>
  </r>
  <r>
    <s v="T01687"/>
    <d v="2023-01-18T00:00:00"/>
    <d v="1899-12-30T18:45:00"/>
    <x v="2"/>
    <x v="11"/>
    <s v="Station_21"/>
    <s v="Station_2"/>
    <d v="1899-12-30T18:45:00"/>
    <d v="1899-12-30T19:40:00"/>
    <n v="-1"/>
    <n v="21"/>
    <x v="2"/>
    <n v="24.4"/>
    <n v="96"/>
    <n v="19"/>
    <n v="6.3"/>
    <x v="0"/>
    <n v="0"/>
    <n v="39"/>
    <x v="0"/>
    <x v="1"/>
    <x v="3"/>
    <x v="0"/>
    <x v="1"/>
    <x v="1"/>
  </r>
  <r>
    <s v="T01688"/>
    <d v="2023-01-18T00:00:00"/>
    <d v="1899-12-30T19:00:00"/>
    <x v="2"/>
    <x v="13"/>
    <s v="Station_2"/>
    <s v="Station_20"/>
    <d v="1899-12-30T19:02:00"/>
    <d v="1899-12-30T19:21:00"/>
    <n v="5"/>
    <n v="-3"/>
    <x v="5"/>
    <n v="32.5"/>
    <n v="88"/>
    <n v="32"/>
    <n v="6.1"/>
    <x v="4"/>
    <n v="10000"/>
    <n v="7"/>
    <x v="0"/>
    <x v="1"/>
    <x v="3"/>
    <x v="3"/>
    <x v="0"/>
    <x v="2"/>
  </r>
  <r>
    <s v="T01689"/>
    <d v="2023-01-18T00:00:00"/>
    <d v="1899-12-30T19:15:00"/>
    <x v="1"/>
    <x v="8"/>
    <s v="Station_40"/>
    <s v="Station_20"/>
    <d v="1899-12-30T19:19:00"/>
    <d v="1899-12-30T20:00:00"/>
    <n v="3"/>
    <n v="11"/>
    <x v="5"/>
    <n v="33.4"/>
    <n v="54"/>
    <n v="28"/>
    <n v="2.1"/>
    <x v="5"/>
    <n v="10000"/>
    <n v="57"/>
    <x v="0"/>
    <x v="1"/>
    <x v="3"/>
    <x v="1"/>
    <x v="1"/>
    <x v="1"/>
  </r>
  <r>
    <s v="T01690"/>
    <d v="2023-01-18T00:00:00"/>
    <d v="1899-12-30T19:30:00"/>
    <x v="3"/>
    <x v="3"/>
    <s v="Station_19"/>
    <s v="Station_46"/>
    <d v="1899-12-30T19:31:00"/>
    <d v="1899-12-30T20:03:00"/>
    <n v="13"/>
    <n v="16"/>
    <x v="0"/>
    <n v="33.799999999999997"/>
    <n v="46"/>
    <n v="15"/>
    <n v="17.5"/>
    <x v="0"/>
    <n v="0"/>
    <n v="56"/>
    <x v="0"/>
    <x v="1"/>
    <x v="3"/>
    <x v="0"/>
    <x v="1"/>
    <x v="1"/>
  </r>
  <r>
    <s v="T01691"/>
    <d v="2023-01-18T00:00:00"/>
    <d v="1899-12-30T19:45:00"/>
    <x v="3"/>
    <x v="9"/>
    <s v="Station_39"/>
    <s v="Station_3"/>
    <d v="1899-12-30T19:45:00"/>
    <d v="1899-12-30T20:20:00"/>
    <n v="15"/>
    <n v="23"/>
    <x v="5"/>
    <n v="20"/>
    <n v="68"/>
    <n v="13"/>
    <n v="7.4"/>
    <x v="3"/>
    <n v="2000"/>
    <n v="34"/>
    <x v="0"/>
    <x v="1"/>
    <x v="3"/>
    <x v="0"/>
    <x v="1"/>
    <x v="1"/>
  </r>
  <r>
    <s v="T01692"/>
    <d v="2023-01-18T00:00:00"/>
    <d v="1899-12-30T20:00:00"/>
    <x v="1"/>
    <x v="12"/>
    <s v="Station_28"/>
    <s v="Station_12"/>
    <d v="1899-12-30T20:02:00"/>
    <d v="1899-12-30T20:36:00"/>
    <n v="14"/>
    <n v="18"/>
    <x v="3"/>
    <n v="10.4"/>
    <n v="68"/>
    <n v="6"/>
    <n v="11.5"/>
    <x v="0"/>
    <n v="0"/>
    <n v="72"/>
    <x v="0"/>
    <x v="1"/>
    <x v="3"/>
    <x v="1"/>
    <x v="1"/>
    <x v="0"/>
  </r>
  <r>
    <s v="T01693"/>
    <d v="2023-01-18T00:00:00"/>
    <d v="1899-12-30T20:15:00"/>
    <x v="0"/>
    <x v="15"/>
    <s v="Station_17"/>
    <s v="Station_40"/>
    <d v="1899-12-30T20:17:00"/>
    <d v="1899-12-30T20:56:00"/>
    <n v="3"/>
    <n v="1"/>
    <x v="2"/>
    <n v="0.3"/>
    <n v="53"/>
    <n v="5"/>
    <n v="18"/>
    <x v="0"/>
    <n v="500"/>
    <n v="12"/>
    <x v="0"/>
    <x v="0"/>
    <x v="3"/>
    <x v="2"/>
    <x v="0"/>
    <x v="2"/>
  </r>
  <r>
    <s v="T01694"/>
    <d v="2023-01-18T00:00:00"/>
    <d v="1899-12-30T20:30:00"/>
    <x v="2"/>
    <x v="14"/>
    <s v="Station_6"/>
    <s v="Station_2"/>
    <d v="1899-12-30T20:34:00"/>
    <d v="1899-12-30T20:53:00"/>
    <n v="10"/>
    <n v="-1"/>
    <x v="0"/>
    <n v="10.4"/>
    <n v="67"/>
    <n v="20"/>
    <n v="8.1999999999999993"/>
    <x v="0"/>
    <n v="50000"/>
    <n v="38"/>
    <x v="0"/>
    <x v="1"/>
    <x v="3"/>
    <x v="3"/>
    <x v="0"/>
    <x v="1"/>
  </r>
  <r>
    <s v="T01695"/>
    <d v="2023-01-18T00:00:00"/>
    <d v="1899-12-30T20:45:00"/>
    <x v="1"/>
    <x v="7"/>
    <s v="Station_19"/>
    <s v="Station_36"/>
    <d v="1899-12-30T20:47:00"/>
    <d v="1899-12-30T21:23:00"/>
    <n v="11"/>
    <n v="13"/>
    <x v="2"/>
    <n v="32.700000000000003"/>
    <n v="86"/>
    <n v="35"/>
    <n v="16.100000000000001"/>
    <x v="4"/>
    <n v="0"/>
    <n v="83"/>
    <x v="0"/>
    <x v="1"/>
    <x v="3"/>
    <x v="0"/>
    <x v="1"/>
    <x v="0"/>
  </r>
  <r>
    <s v="T01696"/>
    <d v="2023-01-18T00:00:00"/>
    <d v="1899-12-30T21:00:00"/>
    <x v="2"/>
    <x v="16"/>
    <s v="Station_38"/>
    <s v="Station_14"/>
    <d v="1899-12-30T21:01:00"/>
    <d v="1899-12-30T21:21:00"/>
    <n v="18"/>
    <n v="20"/>
    <x v="5"/>
    <n v="30.6"/>
    <n v="73"/>
    <n v="21"/>
    <n v="8.6"/>
    <x v="0"/>
    <n v="2000"/>
    <n v="20"/>
    <x v="0"/>
    <x v="1"/>
    <x v="3"/>
    <x v="2"/>
    <x v="1"/>
    <x v="2"/>
  </r>
  <r>
    <s v="T01697"/>
    <d v="2023-01-18T00:00:00"/>
    <d v="1899-12-30T21:15:00"/>
    <x v="0"/>
    <x v="7"/>
    <s v="Station_28"/>
    <s v="Station_16"/>
    <d v="1899-12-30T21:17:00"/>
    <d v="1899-12-30T22:13:00"/>
    <n v="7"/>
    <n v="20"/>
    <x v="2"/>
    <n v="15.9"/>
    <n v="65"/>
    <n v="39"/>
    <n v="14"/>
    <x v="0"/>
    <n v="0"/>
    <n v="46"/>
    <x v="0"/>
    <x v="1"/>
    <x v="3"/>
    <x v="1"/>
    <x v="1"/>
    <x v="1"/>
  </r>
  <r>
    <s v="T01698"/>
    <d v="2023-01-18T00:00:00"/>
    <d v="1899-12-30T21:30:00"/>
    <x v="2"/>
    <x v="15"/>
    <s v="Station_2"/>
    <s v="Station_19"/>
    <d v="1899-12-30T21:33:00"/>
    <d v="1899-12-30T21:58:00"/>
    <n v="8"/>
    <n v="-1"/>
    <x v="5"/>
    <n v="16.5"/>
    <n v="99"/>
    <n v="53"/>
    <n v="8.6"/>
    <x v="0"/>
    <n v="10000"/>
    <n v="82"/>
    <x v="0"/>
    <x v="1"/>
    <x v="3"/>
    <x v="1"/>
    <x v="0"/>
    <x v="0"/>
  </r>
  <r>
    <s v="T01699"/>
    <d v="2023-01-18T00:00:00"/>
    <d v="1899-12-30T21:45:00"/>
    <x v="1"/>
    <x v="2"/>
    <s v="Station_38"/>
    <s v="Station_34"/>
    <d v="1899-12-30T21:46:00"/>
    <d v="1899-12-30T22:23:00"/>
    <n v="10"/>
    <n v="3"/>
    <x v="5"/>
    <n v="7.4"/>
    <n v="74"/>
    <n v="18"/>
    <n v="7.9"/>
    <x v="4"/>
    <n v="500"/>
    <n v="1"/>
    <x v="0"/>
    <x v="1"/>
    <x v="3"/>
    <x v="3"/>
    <x v="0"/>
    <x v="2"/>
  </r>
  <r>
    <s v="T01700"/>
    <d v="2023-01-18T00:00:00"/>
    <d v="1899-12-30T22:00:00"/>
    <x v="2"/>
    <x v="4"/>
    <s v="Station_37"/>
    <s v="Station_44"/>
    <d v="1899-12-30T22:00:00"/>
    <d v="1899-12-30T22:35:00"/>
    <n v="9"/>
    <n v="21"/>
    <x v="2"/>
    <n v="13.2"/>
    <n v="55"/>
    <n v="24"/>
    <n v="19.8"/>
    <x v="0"/>
    <n v="50000"/>
    <n v="43"/>
    <x v="0"/>
    <x v="0"/>
    <x v="3"/>
    <x v="1"/>
    <x v="1"/>
    <x v="1"/>
  </r>
  <r>
    <s v="T01701"/>
    <d v="2023-01-18T00:00:00"/>
    <d v="1899-12-30T22:15:00"/>
    <x v="3"/>
    <x v="16"/>
    <s v="Station_4"/>
    <s v="Station_46"/>
    <d v="1899-12-30T22:15:00"/>
    <d v="1899-12-30T22:59:00"/>
    <n v="6"/>
    <n v="-1"/>
    <x v="5"/>
    <n v="23.6"/>
    <n v="40"/>
    <n v="2"/>
    <n v="12.2"/>
    <x v="0"/>
    <n v="2000"/>
    <n v="29"/>
    <x v="0"/>
    <x v="1"/>
    <x v="3"/>
    <x v="3"/>
    <x v="0"/>
    <x v="2"/>
  </r>
  <r>
    <s v="T01702"/>
    <d v="2023-01-18T00:00:00"/>
    <d v="1899-12-30T22:30:00"/>
    <x v="0"/>
    <x v="5"/>
    <s v="Station_22"/>
    <s v="Station_6"/>
    <d v="1899-12-30T22:34:00"/>
    <d v="1899-12-30T23:07:00"/>
    <n v="1"/>
    <n v="11"/>
    <x v="3"/>
    <n v="11.1"/>
    <n v="81"/>
    <n v="35"/>
    <n v="7.3"/>
    <x v="5"/>
    <n v="0"/>
    <n v="86"/>
    <x v="0"/>
    <x v="1"/>
    <x v="3"/>
    <x v="1"/>
    <x v="1"/>
    <x v="0"/>
  </r>
  <r>
    <s v="T01703"/>
    <d v="2023-01-18T00:00:00"/>
    <d v="1899-12-30T22:45:00"/>
    <x v="0"/>
    <x v="9"/>
    <s v="Station_26"/>
    <s v="Station_13"/>
    <d v="1899-12-30T22:49:00"/>
    <d v="1899-12-30T23:27:00"/>
    <n v="4"/>
    <n v="25"/>
    <x v="1"/>
    <n v="2.5"/>
    <n v="54"/>
    <n v="44"/>
    <n v="5.2"/>
    <x v="4"/>
    <n v="0"/>
    <n v="54"/>
    <x v="0"/>
    <x v="1"/>
    <x v="3"/>
    <x v="1"/>
    <x v="1"/>
    <x v="1"/>
  </r>
  <r>
    <s v="T01704"/>
    <d v="2023-01-18T00:00:00"/>
    <d v="1899-12-30T23:00:00"/>
    <x v="0"/>
    <x v="1"/>
    <s v="Station_49"/>
    <s v="Station_36"/>
    <d v="1899-12-30T23:03:00"/>
    <d v="1899-12-30T23:40:00"/>
    <n v="19"/>
    <n v="25"/>
    <x v="2"/>
    <n v="16.600000000000001"/>
    <n v="60"/>
    <n v="52"/>
    <n v="0.8"/>
    <x v="0"/>
    <n v="2000"/>
    <n v="39"/>
    <x v="0"/>
    <x v="0"/>
    <x v="3"/>
    <x v="0"/>
    <x v="1"/>
    <x v="1"/>
  </r>
  <r>
    <s v="T01705"/>
    <d v="2023-01-18T00:00:00"/>
    <d v="1899-12-30T23:15:00"/>
    <x v="1"/>
    <x v="15"/>
    <s v="Station_43"/>
    <s v="Station_22"/>
    <d v="1899-12-30T23:15:00"/>
    <d v="1899-12-30T23:45:00"/>
    <n v="-1"/>
    <n v="6"/>
    <x v="1"/>
    <n v="4"/>
    <n v="74"/>
    <n v="58"/>
    <n v="14.1"/>
    <x v="0"/>
    <n v="0"/>
    <n v="76"/>
    <x v="0"/>
    <x v="1"/>
    <x v="3"/>
    <x v="2"/>
    <x v="1"/>
    <x v="0"/>
  </r>
  <r>
    <s v="T01706"/>
    <d v="2023-01-18T00:00:00"/>
    <d v="1899-12-30T23:30:00"/>
    <x v="0"/>
    <x v="17"/>
    <s v="Station_36"/>
    <s v="Station_18"/>
    <d v="1899-12-30T23:30:00"/>
    <d v="1899-12-30T00:28:00"/>
    <n v="4"/>
    <n v="28"/>
    <x v="2"/>
    <n v="34"/>
    <n v="96"/>
    <n v="33"/>
    <n v="7.4"/>
    <x v="1"/>
    <n v="500"/>
    <n v="96"/>
    <x v="0"/>
    <x v="1"/>
    <x v="3"/>
    <x v="0"/>
    <x v="1"/>
    <x v="0"/>
  </r>
  <r>
    <s v="T01707"/>
    <d v="2023-01-18T00:00:00"/>
    <d v="1899-12-30T23:45:00"/>
    <x v="3"/>
    <x v="19"/>
    <s v="Station_13"/>
    <s v="Station_12"/>
    <d v="1899-12-30T23:45:00"/>
    <d v="1899-12-30T00:08:00"/>
    <n v="6"/>
    <n v="19"/>
    <x v="5"/>
    <n v="10.6"/>
    <n v="69"/>
    <n v="10"/>
    <n v="16.399999999999999"/>
    <x v="0"/>
    <n v="0"/>
    <n v="95"/>
    <x v="0"/>
    <x v="0"/>
    <x v="3"/>
    <x v="3"/>
    <x v="1"/>
    <x v="0"/>
  </r>
  <r>
    <s v="T01708"/>
    <d v="2023-01-19T00:00:00"/>
    <d v="1899-12-30T00:00:00"/>
    <x v="1"/>
    <x v="10"/>
    <s v="Station_32"/>
    <s v="Station_30"/>
    <d v="1899-12-30T00:00:00"/>
    <d v="1899-12-30T00:44:00"/>
    <n v="2"/>
    <n v="5"/>
    <x v="5"/>
    <n v="31.4"/>
    <n v="75"/>
    <n v="47"/>
    <n v="7.3"/>
    <x v="1"/>
    <n v="10000"/>
    <n v="91"/>
    <x v="0"/>
    <x v="1"/>
    <x v="4"/>
    <x v="0"/>
    <x v="0"/>
    <x v="0"/>
  </r>
  <r>
    <s v="T01709"/>
    <d v="2023-01-19T00:00:00"/>
    <d v="1899-12-30T00:15:00"/>
    <x v="3"/>
    <x v="0"/>
    <s v="Station_17"/>
    <s v="Station_40"/>
    <d v="1899-12-30T00:17:00"/>
    <d v="1899-12-30T01:06:00"/>
    <n v="12"/>
    <n v="10"/>
    <x v="0"/>
    <n v="4"/>
    <n v="83"/>
    <n v="41"/>
    <n v="7.5"/>
    <x v="0"/>
    <n v="0"/>
    <n v="23"/>
    <x v="0"/>
    <x v="1"/>
    <x v="4"/>
    <x v="1"/>
    <x v="1"/>
    <x v="2"/>
  </r>
  <r>
    <s v="T01710"/>
    <d v="2023-01-19T00:00:00"/>
    <d v="1899-12-30T00:30:00"/>
    <x v="2"/>
    <x v="6"/>
    <s v="Station_41"/>
    <s v="Station_7"/>
    <d v="1899-12-30T00:31:00"/>
    <d v="1899-12-30T01:19:00"/>
    <n v="15"/>
    <n v="0"/>
    <x v="3"/>
    <n v="2.6"/>
    <n v="70"/>
    <n v="46"/>
    <n v="15.6"/>
    <x v="0"/>
    <n v="50000"/>
    <n v="41"/>
    <x v="0"/>
    <x v="1"/>
    <x v="4"/>
    <x v="1"/>
    <x v="0"/>
    <x v="1"/>
  </r>
  <r>
    <s v="T01711"/>
    <d v="2023-01-19T00:00:00"/>
    <d v="1899-12-30T00:45:00"/>
    <x v="2"/>
    <x v="5"/>
    <s v="Station_36"/>
    <s v="Station_32"/>
    <d v="1899-12-30T00:46:00"/>
    <d v="1899-12-30T01:30:00"/>
    <n v="1"/>
    <n v="16"/>
    <x v="0"/>
    <n v="19.7"/>
    <n v="67"/>
    <n v="26"/>
    <n v="9.8000000000000007"/>
    <x v="0"/>
    <n v="2000"/>
    <n v="27"/>
    <x v="1"/>
    <x v="0"/>
    <x v="4"/>
    <x v="2"/>
    <x v="1"/>
    <x v="2"/>
  </r>
  <r>
    <s v="T01712"/>
    <d v="2023-01-19T00:00:00"/>
    <d v="1899-12-30T01:00:00"/>
    <x v="2"/>
    <x v="7"/>
    <s v="Station_46"/>
    <s v="Station_48"/>
    <d v="1899-12-30T01:03:00"/>
    <d v="1899-12-30T01:55:00"/>
    <n v="16"/>
    <n v="24"/>
    <x v="1"/>
    <n v="26.2"/>
    <n v="65"/>
    <n v="41"/>
    <n v="17.7"/>
    <x v="3"/>
    <n v="0"/>
    <n v="93"/>
    <x v="0"/>
    <x v="0"/>
    <x v="4"/>
    <x v="3"/>
    <x v="1"/>
    <x v="0"/>
  </r>
  <r>
    <s v="T01713"/>
    <d v="2023-01-19T00:00:00"/>
    <d v="1899-12-30T01:15:00"/>
    <x v="2"/>
    <x v="17"/>
    <s v="Station_19"/>
    <s v="Station_19"/>
    <d v="1899-12-30T01:17:00"/>
    <d v="1899-12-30T02:08:00"/>
    <n v="17"/>
    <n v="10"/>
    <x v="5"/>
    <n v="17.7"/>
    <n v="73"/>
    <n v="1"/>
    <n v="11.8"/>
    <x v="5"/>
    <n v="0"/>
    <n v="92"/>
    <x v="0"/>
    <x v="0"/>
    <x v="4"/>
    <x v="1"/>
    <x v="1"/>
    <x v="0"/>
  </r>
  <r>
    <s v="T01714"/>
    <d v="2023-01-19T00:00:00"/>
    <d v="1899-12-30T01:30:00"/>
    <x v="3"/>
    <x v="8"/>
    <s v="Station_35"/>
    <s v="Station_6"/>
    <d v="1899-12-30T01:30:00"/>
    <d v="1899-12-30T01:58:00"/>
    <n v="4"/>
    <n v="9"/>
    <x v="0"/>
    <n v="4.2"/>
    <n v="86"/>
    <n v="5"/>
    <n v="4.8"/>
    <x v="5"/>
    <n v="50000"/>
    <n v="97"/>
    <x v="0"/>
    <x v="0"/>
    <x v="4"/>
    <x v="2"/>
    <x v="1"/>
    <x v="0"/>
  </r>
  <r>
    <s v="T01715"/>
    <d v="2023-01-19T00:00:00"/>
    <d v="1899-12-30T01:45:00"/>
    <x v="1"/>
    <x v="18"/>
    <s v="Station_46"/>
    <s v="Station_20"/>
    <d v="1899-12-30T01:45:00"/>
    <d v="1899-12-30T02:16:00"/>
    <n v="5"/>
    <n v="27"/>
    <x v="5"/>
    <n v="-3.5"/>
    <n v="95"/>
    <n v="45"/>
    <n v="11.4"/>
    <x v="0"/>
    <n v="2000"/>
    <n v="50"/>
    <x v="0"/>
    <x v="1"/>
    <x v="4"/>
    <x v="2"/>
    <x v="1"/>
    <x v="1"/>
  </r>
  <r>
    <s v="T01716"/>
    <d v="2023-01-19T00:00:00"/>
    <d v="1899-12-30T02:00:00"/>
    <x v="1"/>
    <x v="15"/>
    <s v="Station_40"/>
    <s v="Station_27"/>
    <d v="1899-12-30T02:04:00"/>
    <d v="1899-12-30T02:21:00"/>
    <n v="14"/>
    <n v="29"/>
    <x v="2"/>
    <n v="19.7"/>
    <n v="59"/>
    <n v="1"/>
    <n v="0.1"/>
    <x v="2"/>
    <n v="0"/>
    <n v="21"/>
    <x v="0"/>
    <x v="1"/>
    <x v="4"/>
    <x v="1"/>
    <x v="1"/>
    <x v="2"/>
  </r>
  <r>
    <s v="T01717"/>
    <d v="2023-01-19T00:00:00"/>
    <d v="1899-12-30T02:15:00"/>
    <x v="0"/>
    <x v="10"/>
    <s v="Station_28"/>
    <s v="Station_43"/>
    <d v="1899-12-30T02:19:00"/>
    <d v="1899-12-30T03:12:00"/>
    <n v="10"/>
    <n v="24"/>
    <x v="0"/>
    <n v="0.2"/>
    <n v="39"/>
    <n v="41"/>
    <n v="6.2"/>
    <x v="0"/>
    <n v="50000"/>
    <n v="88"/>
    <x v="1"/>
    <x v="1"/>
    <x v="4"/>
    <x v="1"/>
    <x v="1"/>
    <x v="0"/>
  </r>
  <r>
    <s v="T01718"/>
    <d v="2023-01-19T00:00:00"/>
    <d v="1899-12-30T02:30:00"/>
    <x v="3"/>
    <x v="9"/>
    <s v="Station_1"/>
    <s v="Station_37"/>
    <d v="1899-12-30T02:33:00"/>
    <d v="1899-12-30T02:54:00"/>
    <n v="18"/>
    <n v="21"/>
    <x v="1"/>
    <n v="8.6999999999999993"/>
    <n v="90"/>
    <n v="16"/>
    <n v="4.2"/>
    <x v="1"/>
    <n v="0"/>
    <n v="77"/>
    <x v="0"/>
    <x v="0"/>
    <x v="4"/>
    <x v="3"/>
    <x v="1"/>
    <x v="0"/>
  </r>
  <r>
    <s v="T01719"/>
    <d v="2023-01-19T00:00:00"/>
    <d v="1899-12-30T02:45:00"/>
    <x v="2"/>
    <x v="7"/>
    <s v="Station_42"/>
    <s v="Station_48"/>
    <d v="1899-12-30T02:45:00"/>
    <d v="1899-12-30T03:09:00"/>
    <n v="8"/>
    <n v="28"/>
    <x v="0"/>
    <n v="22"/>
    <n v="92"/>
    <n v="39"/>
    <n v="13.1"/>
    <x v="0"/>
    <n v="0"/>
    <n v="73"/>
    <x v="0"/>
    <x v="1"/>
    <x v="4"/>
    <x v="2"/>
    <x v="1"/>
    <x v="0"/>
  </r>
  <r>
    <s v="T01720"/>
    <d v="2023-01-19T00:00:00"/>
    <d v="1899-12-30T03:00:00"/>
    <x v="3"/>
    <x v="1"/>
    <s v="Station_18"/>
    <s v="Station_7"/>
    <d v="1899-12-30T03:03:00"/>
    <d v="1899-12-30T03:41:00"/>
    <n v="-2"/>
    <n v="5"/>
    <x v="5"/>
    <n v="-1.1000000000000001"/>
    <n v="65"/>
    <n v="57"/>
    <n v="2.7"/>
    <x v="1"/>
    <n v="2000"/>
    <n v="73"/>
    <x v="0"/>
    <x v="0"/>
    <x v="4"/>
    <x v="2"/>
    <x v="0"/>
    <x v="0"/>
  </r>
  <r>
    <s v="T01721"/>
    <d v="2023-01-19T00:00:00"/>
    <d v="1899-12-30T03:15:00"/>
    <x v="0"/>
    <x v="16"/>
    <s v="Station_48"/>
    <s v="Station_5"/>
    <d v="1899-12-30T03:17:00"/>
    <d v="1899-12-30T03:39:00"/>
    <n v="-1"/>
    <n v="24"/>
    <x v="4"/>
    <n v="0.1"/>
    <n v="83"/>
    <n v="47"/>
    <n v="5.8"/>
    <x v="5"/>
    <n v="0"/>
    <n v="7"/>
    <x v="0"/>
    <x v="1"/>
    <x v="4"/>
    <x v="2"/>
    <x v="1"/>
    <x v="2"/>
  </r>
  <r>
    <s v="T01722"/>
    <d v="2023-01-19T00:00:00"/>
    <d v="1899-12-30T03:30:00"/>
    <x v="0"/>
    <x v="15"/>
    <s v="Station_40"/>
    <s v="Station_11"/>
    <d v="1899-12-30T03:31:00"/>
    <d v="1899-12-30T03:53:00"/>
    <n v="14"/>
    <n v="27"/>
    <x v="4"/>
    <n v="-2.5"/>
    <n v="94"/>
    <n v="13"/>
    <n v="6.6"/>
    <x v="0"/>
    <n v="0"/>
    <n v="13"/>
    <x v="0"/>
    <x v="0"/>
    <x v="4"/>
    <x v="3"/>
    <x v="1"/>
    <x v="2"/>
  </r>
  <r>
    <s v="T01723"/>
    <d v="2023-01-19T00:00:00"/>
    <d v="1899-12-30T03:45:00"/>
    <x v="3"/>
    <x v="15"/>
    <s v="Station_33"/>
    <s v="Station_15"/>
    <d v="1899-12-30T03:45:00"/>
    <d v="1899-12-30T04:13:00"/>
    <n v="2"/>
    <n v="13"/>
    <x v="3"/>
    <n v="34.799999999999997"/>
    <n v="33"/>
    <n v="9"/>
    <n v="0.1"/>
    <x v="0"/>
    <n v="2000"/>
    <n v="44"/>
    <x v="0"/>
    <x v="1"/>
    <x v="4"/>
    <x v="2"/>
    <x v="1"/>
    <x v="1"/>
  </r>
  <r>
    <s v="T01724"/>
    <d v="2023-01-19T00:00:00"/>
    <d v="1899-12-30T04:00:00"/>
    <x v="3"/>
    <x v="1"/>
    <s v="Station_12"/>
    <s v="Station_3"/>
    <d v="1899-12-30T04:02:00"/>
    <d v="1899-12-30T04:48:00"/>
    <n v="3"/>
    <n v="19"/>
    <x v="5"/>
    <n v="10.5"/>
    <n v="84"/>
    <n v="44"/>
    <n v="0.9"/>
    <x v="0"/>
    <n v="500"/>
    <n v="37"/>
    <x v="0"/>
    <x v="0"/>
    <x v="4"/>
    <x v="0"/>
    <x v="1"/>
    <x v="1"/>
  </r>
  <r>
    <s v="T01725"/>
    <d v="2023-01-19T00:00:00"/>
    <d v="1899-12-30T04:15:00"/>
    <x v="3"/>
    <x v="0"/>
    <s v="Station_8"/>
    <s v="Station_5"/>
    <d v="1899-12-30T04:15:00"/>
    <d v="1899-12-30T04:56:00"/>
    <n v="4"/>
    <n v="9"/>
    <x v="2"/>
    <n v="31.2"/>
    <n v="83"/>
    <n v="32"/>
    <n v="6.2"/>
    <x v="0"/>
    <n v="0"/>
    <n v="31"/>
    <x v="0"/>
    <x v="1"/>
    <x v="4"/>
    <x v="0"/>
    <x v="1"/>
    <x v="2"/>
  </r>
  <r>
    <s v="T01726"/>
    <d v="2023-01-19T00:00:00"/>
    <d v="1899-12-30T04:30:00"/>
    <x v="1"/>
    <x v="9"/>
    <s v="Station_24"/>
    <s v="Station_23"/>
    <d v="1899-12-30T04:34:00"/>
    <d v="1899-12-30T05:16:00"/>
    <n v="18"/>
    <n v="6"/>
    <x v="0"/>
    <n v="6.7"/>
    <n v="93"/>
    <n v="41"/>
    <n v="4.4000000000000004"/>
    <x v="0"/>
    <n v="500"/>
    <n v="61"/>
    <x v="0"/>
    <x v="1"/>
    <x v="4"/>
    <x v="2"/>
    <x v="1"/>
    <x v="1"/>
  </r>
  <r>
    <s v="T01727"/>
    <d v="2023-01-19T00:00:00"/>
    <d v="1899-12-30T04:45:00"/>
    <x v="2"/>
    <x v="4"/>
    <s v="Station_16"/>
    <s v="Station_37"/>
    <d v="1899-12-30T04:48:00"/>
    <d v="1899-12-30T05:14:00"/>
    <n v="12"/>
    <n v="12"/>
    <x v="4"/>
    <n v="25.1"/>
    <n v="51"/>
    <n v="53"/>
    <n v="2.2999999999999998"/>
    <x v="2"/>
    <n v="0"/>
    <n v="95"/>
    <x v="0"/>
    <x v="1"/>
    <x v="4"/>
    <x v="0"/>
    <x v="1"/>
    <x v="0"/>
  </r>
  <r>
    <s v="T01728"/>
    <d v="2023-01-19T00:00:00"/>
    <d v="1899-12-30T05:00:00"/>
    <x v="3"/>
    <x v="17"/>
    <s v="Station_50"/>
    <s v="Station_9"/>
    <d v="1899-12-30T05:04:00"/>
    <d v="1899-12-30T05:35:00"/>
    <n v="16"/>
    <n v="2"/>
    <x v="2"/>
    <n v="3.8"/>
    <n v="54"/>
    <n v="11"/>
    <n v="3.1"/>
    <x v="0"/>
    <n v="0"/>
    <n v="66"/>
    <x v="1"/>
    <x v="1"/>
    <x v="4"/>
    <x v="0"/>
    <x v="0"/>
    <x v="1"/>
  </r>
  <r>
    <s v="T01729"/>
    <d v="2023-01-19T00:00:00"/>
    <d v="1899-12-30T05:15:00"/>
    <x v="3"/>
    <x v="2"/>
    <s v="Station_4"/>
    <s v="Station_15"/>
    <d v="1899-12-30T05:16:00"/>
    <d v="1899-12-30T05:44:00"/>
    <n v="13"/>
    <n v="7"/>
    <x v="5"/>
    <n v="14.9"/>
    <n v="88"/>
    <n v="31"/>
    <n v="16.7"/>
    <x v="4"/>
    <n v="10000"/>
    <n v="83"/>
    <x v="0"/>
    <x v="1"/>
    <x v="4"/>
    <x v="3"/>
    <x v="1"/>
    <x v="0"/>
  </r>
  <r>
    <s v="T01730"/>
    <d v="2023-01-19T00:00:00"/>
    <d v="1899-12-30T05:30:00"/>
    <x v="3"/>
    <x v="18"/>
    <s v="Station_38"/>
    <s v="Station_3"/>
    <d v="1899-12-30T05:34:00"/>
    <d v="1899-12-30T05:55:00"/>
    <n v="10"/>
    <n v="-1"/>
    <x v="2"/>
    <n v="28"/>
    <n v="86"/>
    <n v="48"/>
    <n v="13.7"/>
    <x v="0"/>
    <n v="0"/>
    <n v="60"/>
    <x v="0"/>
    <x v="0"/>
    <x v="4"/>
    <x v="2"/>
    <x v="0"/>
    <x v="1"/>
  </r>
  <r>
    <s v="T01731"/>
    <d v="2023-01-19T00:00:00"/>
    <d v="1899-12-30T05:45:00"/>
    <x v="0"/>
    <x v="19"/>
    <s v="Station_44"/>
    <s v="Station_29"/>
    <d v="1899-12-30T05:45:00"/>
    <d v="1899-12-30T06:09:00"/>
    <n v="2"/>
    <n v="24"/>
    <x v="5"/>
    <n v="27.7"/>
    <n v="83"/>
    <n v="23"/>
    <n v="9.6999999999999993"/>
    <x v="0"/>
    <n v="2000"/>
    <n v="12"/>
    <x v="0"/>
    <x v="1"/>
    <x v="4"/>
    <x v="3"/>
    <x v="1"/>
    <x v="2"/>
  </r>
  <r>
    <s v="T01732"/>
    <d v="2023-01-19T00:00:00"/>
    <d v="1899-12-30T06:00:00"/>
    <x v="0"/>
    <x v="12"/>
    <s v="Station_27"/>
    <s v="Station_6"/>
    <d v="1899-12-30T06:04:00"/>
    <d v="1899-12-30T06:25:00"/>
    <n v="0"/>
    <n v="11"/>
    <x v="3"/>
    <n v="26.8"/>
    <n v="73"/>
    <n v="13"/>
    <n v="18.2"/>
    <x v="0"/>
    <n v="2000"/>
    <n v="86"/>
    <x v="0"/>
    <x v="1"/>
    <x v="4"/>
    <x v="2"/>
    <x v="1"/>
    <x v="0"/>
  </r>
  <r>
    <s v="T01733"/>
    <d v="2023-01-19T00:00:00"/>
    <d v="1899-12-30T06:15:00"/>
    <x v="1"/>
    <x v="16"/>
    <s v="Station_9"/>
    <s v="Station_17"/>
    <d v="1899-12-30T06:15:00"/>
    <d v="1899-12-30T06:59:00"/>
    <n v="0"/>
    <n v="9"/>
    <x v="0"/>
    <n v="27.9"/>
    <n v="81"/>
    <n v="4"/>
    <n v="0.6"/>
    <x v="0"/>
    <n v="2000"/>
    <n v="82"/>
    <x v="0"/>
    <x v="1"/>
    <x v="4"/>
    <x v="1"/>
    <x v="1"/>
    <x v="0"/>
  </r>
  <r>
    <s v="T01734"/>
    <d v="2023-01-19T00:00:00"/>
    <d v="1899-12-30T06:30:00"/>
    <x v="2"/>
    <x v="6"/>
    <s v="Station_47"/>
    <s v="Station_26"/>
    <d v="1899-12-30T06:31:00"/>
    <d v="1899-12-30T06:53:00"/>
    <n v="16"/>
    <n v="13"/>
    <x v="2"/>
    <n v="3.5"/>
    <n v="45"/>
    <n v="50"/>
    <n v="6.9"/>
    <x v="4"/>
    <n v="0"/>
    <n v="79"/>
    <x v="0"/>
    <x v="1"/>
    <x v="4"/>
    <x v="0"/>
    <x v="1"/>
    <x v="0"/>
  </r>
  <r>
    <s v="T01735"/>
    <d v="2023-01-19T00:00:00"/>
    <d v="1899-12-30T06:45:00"/>
    <x v="1"/>
    <x v="12"/>
    <s v="Station_16"/>
    <s v="Station_21"/>
    <d v="1899-12-30T06:49:00"/>
    <d v="1899-12-30T07:44:00"/>
    <n v="11"/>
    <n v="3"/>
    <x v="0"/>
    <n v="14.3"/>
    <n v="45"/>
    <n v="4"/>
    <n v="16.5"/>
    <x v="0"/>
    <n v="0"/>
    <n v="99"/>
    <x v="0"/>
    <x v="0"/>
    <x v="4"/>
    <x v="3"/>
    <x v="0"/>
    <x v="0"/>
  </r>
  <r>
    <s v="T01736"/>
    <d v="2023-01-19T00:00:00"/>
    <d v="1899-12-30T07:00:00"/>
    <x v="2"/>
    <x v="18"/>
    <s v="Station_12"/>
    <s v="Station_8"/>
    <d v="1899-12-30T07:03:00"/>
    <d v="1899-12-30T07:51:00"/>
    <n v="13"/>
    <n v="24"/>
    <x v="2"/>
    <n v="14.4"/>
    <n v="84"/>
    <n v="46"/>
    <n v="12.6"/>
    <x v="1"/>
    <n v="0"/>
    <n v="98"/>
    <x v="0"/>
    <x v="0"/>
    <x v="4"/>
    <x v="3"/>
    <x v="1"/>
    <x v="0"/>
  </r>
  <r>
    <s v="T01737"/>
    <d v="2023-01-19T00:00:00"/>
    <d v="1899-12-30T07:15:00"/>
    <x v="0"/>
    <x v="6"/>
    <s v="Station_31"/>
    <s v="Station_21"/>
    <d v="1899-12-30T07:18:00"/>
    <d v="1899-12-30T08:09:00"/>
    <n v="19"/>
    <n v="9"/>
    <x v="5"/>
    <n v="30.6"/>
    <n v="90"/>
    <n v="31"/>
    <n v="19.600000000000001"/>
    <x v="0"/>
    <n v="2000"/>
    <n v="46"/>
    <x v="0"/>
    <x v="0"/>
    <x v="4"/>
    <x v="1"/>
    <x v="1"/>
    <x v="1"/>
  </r>
  <r>
    <s v="T01738"/>
    <d v="2023-01-19T00:00:00"/>
    <d v="1899-12-30T07:30:00"/>
    <x v="0"/>
    <x v="19"/>
    <s v="Station_24"/>
    <s v="Station_11"/>
    <d v="1899-12-30T07:33:00"/>
    <d v="1899-12-30T07:59:00"/>
    <n v="14"/>
    <n v="13"/>
    <x v="5"/>
    <n v="6.9"/>
    <n v="69"/>
    <n v="44"/>
    <n v="18.899999999999999"/>
    <x v="3"/>
    <n v="0"/>
    <n v="53"/>
    <x v="0"/>
    <x v="1"/>
    <x v="4"/>
    <x v="1"/>
    <x v="1"/>
    <x v="1"/>
  </r>
  <r>
    <s v="T01739"/>
    <d v="2023-01-19T00:00:00"/>
    <d v="1899-12-30T07:45:00"/>
    <x v="0"/>
    <x v="19"/>
    <s v="Station_14"/>
    <s v="Station_38"/>
    <d v="1899-12-30T07:49:00"/>
    <d v="1899-12-30T08:38:00"/>
    <n v="1"/>
    <n v="11"/>
    <x v="2"/>
    <n v="32.299999999999997"/>
    <n v="50"/>
    <n v="48"/>
    <n v="3.4"/>
    <x v="2"/>
    <n v="0"/>
    <n v="70"/>
    <x v="0"/>
    <x v="1"/>
    <x v="4"/>
    <x v="0"/>
    <x v="1"/>
    <x v="0"/>
  </r>
  <r>
    <s v="T01740"/>
    <d v="2023-01-19T00:00:00"/>
    <d v="1899-12-30T08:00:00"/>
    <x v="1"/>
    <x v="0"/>
    <s v="Station_45"/>
    <s v="Station_8"/>
    <d v="1899-12-30T08:04:00"/>
    <d v="1899-12-30T08:55:00"/>
    <n v="10"/>
    <n v="24"/>
    <x v="3"/>
    <n v="13"/>
    <n v="95"/>
    <n v="32"/>
    <n v="19.399999999999999"/>
    <x v="0"/>
    <n v="500"/>
    <n v="51"/>
    <x v="0"/>
    <x v="1"/>
    <x v="4"/>
    <x v="0"/>
    <x v="1"/>
    <x v="1"/>
  </r>
  <r>
    <s v="T01741"/>
    <d v="2023-01-19T00:00:00"/>
    <d v="1899-12-30T08:15:00"/>
    <x v="3"/>
    <x v="14"/>
    <s v="Station_25"/>
    <s v="Station_42"/>
    <d v="1899-12-30T08:19:00"/>
    <d v="1899-12-30T08:40:00"/>
    <n v="5"/>
    <n v="11"/>
    <x v="5"/>
    <n v="21.8"/>
    <n v="37"/>
    <n v="59"/>
    <n v="18.899999999999999"/>
    <x v="0"/>
    <n v="10000"/>
    <n v="71"/>
    <x v="0"/>
    <x v="1"/>
    <x v="4"/>
    <x v="2"/>
    <x v="1"/>
    <x v="0"/>
  </r>
  <r>
    <s v="T01742"/>
    <d v="2023-01-19T00:00:00"/>
    <d v="1899-12-30T08:30:00"/>
    <x v="3"/>
    <x v="3"/>
    <s v="Station_34"/>
    <s v="Station_24"/>
    <d v="1899-12-30T08:30:00"/>
    <d v="1899-12-30T09:05:00"/>
    <n v="16"/>
    <n v="7"/>
    <x v="1"/>
    <n v="5.8"/>
    <n v="39"/>
    <n v="45"/>
    <n v="7.5"/>
    <x v="0"/>
    <n v="0"/>
    <n v="24"/>
    <x v="0"/>
    <x v="0"/>
    <x v="4"/>
    <x v="2"/>
    <x v="1"/>
    <x v="2"/>
  </r>
  <r>
    <s v="T01743"/>
    <d v="2023-01-19T00:00:00"/>
    <d v="1899-12-30T08:45:00"/>
    <x v="0"/>
    <x v="11"/>
    <s v="Station_3"/>
    <s v="Station_35"/>
    <d v="1899-12-30T08:46:00"/>
    <d v="1899-12-30T09:23:00"/>
    <n v="2"/>
    <n v="27"/>
    <x v="1"/>
    <n v="11.4"/>
    <n v="86"/>
    <n v="3"/>
    <n v="19.7"/>
    <x v="1"/>
    <n v="50000"/>
    <n v="22"/>
    <x v="0"/>
    <x v="1"/>
    <x v="4"/>
    <x v="1"/>
    <x v="1"/>
    <x v="2"/>
  </r>
  <r>
    <s v="T01744"/>
    <d v="2023-01-19T00:00:00"/>
    <d v="1899-12-30T09:00:00"/>
    <x v="3"/>
    <x v="8"/>
    <s v="Station_24"/>
    <s v="Station_14"/>
    <d v="1899-12-30T09:03:00"/>
    <d v="1899-12-30T09:53:00"/>
    <n v="-1"/>
    <n v="0"/>
    <x v="0"/>
    <n v="23.4"/>
    <n v="33"/>
    <n v="56"/>
    <n v="0.7"/>
    <x v="0"/>
    <n v="0"/>
    <n v="73"/>
    <x v="0"/>
    <x v="1"/>
    <x v="4"/>
    <x v="0"/>
    <x v="0"/>
    <x v="0"/>
  </r>
  <r>
    <s v="T01745"/>
    <d v="2023-01-19T00:00:00"/>
    <d v="1899-12-30T09:15:00"/>
    <x v="3"/>
    <x v="15"/>
    <s v="Station_42"/>
    <s v="Station_14"/>
    <d v="1899-12-30T09:15:00"/>
    <d v="1899-12-30T09:59:00"/>
    <n v="12"/>
    <n v="23"/>
    <x v="1"/>
    <n v="15.5"/>
    <n v="72"/>
    <n v="29"/>
    <n v="13.2"/>
    <x v="1"/>
    <n v="0"/>
    <n v="29"/>
    <x v="0"/>
    <x v="0"/>
    <x v="4"/>
    <x v="0"/>
    <x v="1"/>
    <x v="2"/>
  </r>
  <r>
    <s v="T01746"/>
    <d v="2023-01-19T00:00:00"/>
    <d v="1899-12-30T09:30:00"/>
    <x v="1"/>
    <x v="17"/>
    <s v="Station_9"/>
    <s v="Station_10"/>
    <d v="1899-12-30T09:33:00"/>
    <d v="1899-12-30T10:20:00"/>
    <n v="-1"/>
    <n v="6"/>
    <x v="1"/>
    <n v="32.200000000000003"/>
    <n v="92"/>
    <n v="40"/>
    <n v="5.3"/>
    <x v="0"/>
    <n v="0"/>
    <n v="96"/>
    <x v="0"/>
    <x v="1"/>
    <x v="4"/>
    <x v="1"/>
    <x v="1"/>
    <x v="0"/>
  </r>
  <r>
    <s v="T01747"/>
    <d v="2023-01-19T00:00:00"/>
    <d v="1899-12-30T09:45:00"/>
    <x v="2"/>
    <x v="0"/>
    <s v="Station_26"/>
    <s v="Station_12"/>
    <d v="1899-12-30T09:45:00"/>
    <d v="1899-12-30T10:21:00"/>
    <n v="8"/>
    <n v="26"/>
    <x v="3"/>
    <n v="24.5"/>
    <n v="72"/>
    <n v="16"/>
    <n v="2.6"/>
    <x v="0"/>
    <n v="0"/>
    <n v="10"/>
    <x v="0"/>
    <x v="1"/>
    <x v="4"/>
    <x v="1"/>
    <x v="1"/>
    <x v="2"/>
  </r>
  <r>
    <s v="T01748"/>
    <d v="2023-01-19T00:00:00"/>
    <d v="1899-12-30T10:00:00"/>
    <x v="0"/>
    <x v="17"/>
    <s v="Station_20"/>
    <s v="Station_38"/>
    <d v="1899-12-30T10:04:00"/>
    <d v="1899-12-30T10:49:00"/>
    <n v="10"/>
    <n v="16"/>
    <x v="3"/>
    <n v="17.600000000000001"/>
    <n v="96"/>
    <n v="2"/>
    <n v="11.6"/>
    <x v="0"/>
    <n v="50000"/>
    <n v="34"/>
    <x v="0"/>
    <x v="0"/>
    <x v="4"/>
    <x v="3"/>
    <x v="1"/>
    <x v="1"/>
  </r>
  <r>
    <s v="T01749"/>
    <d v="2023-01-19T00:00:00"/>
    <d v="1899-12-30T10:15:00"/>
    <x v="0"/>
    <x v="5"/>
    <s v="Station_40"/>
    <s v="Station_44"/>
    <d v="1899-12-30T10:18:00"/>
    <d v="1899-12-30T11:13:00"/>
    <n v="7"/>
    <n v="25"/>
    <x v="4"/>
    <n v="30.5"/>
    <n v="80"/>
    <n v="12"/>
    <n v="6.1"/>
    <x v="0"/>
    <n v="0"/>
    <n v="26"/>
    <x v="0"/>
    <x v="1"/>
    <x v="4"/>
    <x v="1"/>
    <x v="1"/>
    <x v="2"/>
  </r>
  <r>
    <s v="T01750"/>
    <d v="2023-01-19T00:00:00"/>
    <d v="1899-12-30T10:30:00"/>
    <x v="1"/>
    <x v="5"/>
    <s v="Station_10"/>
    <s v="Station_46"/>
    <d v="1899-12-30T10:34:00"/>
    <d v="1899-12-30T11:20:00"/>
    <n v="0"/>
    <n v="25"/>
    <x v="4"/>
    <n v="21.6"/>
    <n v="85"/>
    <n v="43"/>
    <n v="13.3"/>
    <x v="4"/>
    <n v="0"/>
    <n v="66"/>
    <x v="0"/>
    <x v="0"/>
    <x v="4"/>
    <x v="3"/>
    <x v="1"/>
    <x v="1"/>
  </r>
  <r>
    <s v="T01751"/>
    <d v="2023-01-19T00:00:00"/>
    <d v="1899-12-30T10:45:00"/>
    <x v="1"/>
    <x v="7"/>
    <s v="Station_19"/>
    <s v="Station_34"/>
    <d v="1899-12-30T10:48:00"/>
    <d v="1899-12-30T11:23:00"/>
    <n v="2"/>
    <n v="19"/>
    <x v="3"/>
    <n v="20.9"/>
    <n v="72"/>
    <n v="47"/>
    <n v="10.8"/>
    <x v="0"/>
    <n v="2000"/>
    <n v="46"/>
    <x v="0"/>
    <x v="1"/>
    <x v="4"/>
    <x v="2"/>
    <x v="1"/>
    <x v="1"/>
  </r>
  <r>
    <s v="T01752"/>
    <d v="2023-01-19T00:00:00"/>
    <d v="1899-12-30T11:00:00"/>
    <x v="3"/>
    <x v="6"/>
    <s v="Station_3"/>
    <s v="Station_41"/>
    <d v="1899-12-30T11:02:00"/>
    <d v="1899-12-30T11:54:00"/>
    <n v="0"/>
    <n v="17"/>
    <x v="4"/>
    <n v="4.9000000000000004"/>
    <n v="53"/>
    <n v="35"/>
    <n v="7.9"/>
    <x v="5"/>
    <n v="500"/>
    <n v="49"/>
    <x v="0"/>
    <x v="1"/>
    <x v="4"/>
    <x v="1"/>
    <x v="1"/>
    <x v="1"/>
  </r>
  <r>
    <s v="T01753"/>
    <d v="2023-01-19T00:00:00"/>
    <d v="1899-12-30T11:15:00"/>
    <x v="0"/>
    <x v="4"/>
    <s v="Station_24"/>
    <s v="Station_10"/>
    <d v="1899-12-30T11:15:00"/>
    <d v="1899-12-30T12:03:00"/>
    <n v="3"/>
    <n v="6"/>
    <x v="3"/>
    <n v="10.8"/>
    <n v="63"/>
    <n v="17"/>
    <n v="3.6"/>
    <x v="1"/>
    <n v="50000"/>
    <n v="7"/>
    <x v="1"/>
    <x v="1"/>
    <x v="4"/>
    <x v="1"/>
    <x v="1"/>
    <x v="2"/>
  </r>
  <r>
    <s v="T01754"/>
    <d v="2023-01-19T00:00:00"/>
    <d v="1899-12-30T11:30:00"/>
    <x v="2"/>
    <x v="16"/>
    <s v="Station_5"/>
    <s v="Station_17"/>
    <d v="1899-12-30T11:32:00"/>
    <d v="1899-12-30T11:50:00"/>
    <n v="10"/>
    <n v="8"/>
    <x v="4"/>
    <n v="22.3"/>
    <n v="88"/>
    <n v="22"/>
    <n v="12"/>
    <x v="0"/>
    <n v="0"/>
    <n v="54"/>
    <x v="0"/>
    <x v="1"/>
    <x v="4"/>
    <x v="1"/>
    <x v="1"/>
    <x v="1"/>
  </r>
  <r>
    <s v="T01755"/>
    <d v="2023-01-19T00:00:00"/>
    <d v="1899-12-30T11:45:00"/>
    <x v="1"/>
    <x v="2"/>
    <s v="Station_3"/>
    <s v="Station_17"/>
    <d v="1899-12-30T11:45:00"/>
    <d v="1899-12-30T12:08:00"/>
    <n v="7"/>
    <n v="26"/>
    <x v="5"/>
    <n v="30.7"/>
    <n v="31"/>
    <n v="34"/>
    <n v="16.600000000000001"/>
    <x v="0"/>
    <n v="0"/>
    <n v="76"/>
    <x v="0"/>
    <x v="1"/>
    <x v="4"/>
    <x v="3"/>
    <x v="1"/>
    <x v="0"/>
  </r>
  <r>
    <s v="T01756"/>
    <d v="2023-01-19T00:00:00"/>
    <d v="1899-12-30T12:00:00"/>
    <x v="2"/>
    <x v="14"/>
    <s v="Station_27"/>
    <s v="Station_3"/>
    <d v="1899-12-30T12:01:00"/>
    <d v="1899-12-30T12:47:00"/>
    <n v="16"/>
    <n v="29"/>
    <x v="3"/>
    <n v="7.6"/>
    <n v="31"/>
    <n v="48"/>
    <n v="12"/>
    <x v="0"/>
    <n v="0"/>
    <n v="41"/>
    <x v="0"/>
    <x v="1"/>
    <x v="4"/>
    <x v="1"/>
    <x v="1"/>
    <x v="1"/>
  </r>
  <r>
    <s v="T01757"/>
    <d v="2023-01-19T00:00:00"/>
    <d v="1899-12-30T12:15:00"/>
    <x v="2"/>
    <x v="1"/>
    <s v="Station_16"/>
    <s v="Station_31"/>
    <d v="1899-12-30T12:18:00"/>
    <d v="1899-12-30T12:52:00"/>
    <n v="5"/>
    <n v="14"/>
    <x v="0"/>
    <n v="3.6"/>
    <n v="39"/>
    <n v="32"/>
    <n v="12.2"/>
    <x v="1"/>
    <n v="2000"/>
    <n v="66"/>
    <x v="1"/>
    <x v="1"/>
    <x v="4"/>
    <x v="1"/>
    <x v="1"/>
    <x v="1"/>
  </r>
  <r>
    <s v="T01758"/>
    <d v="2023-01-19T00:00:00"/>
    <d v="1899-12-30T12:30:00"/>
    <x v="0"/>
    <x v="7"/>
    <s v="Station_49"/>
    <s v="Station_1"/>
    <d v="1899-12-30T12:31:00"/>
    <d v="1899-12-30T13:15:00"/>
    <n v="15"/>
    <n v="10"/>
    <x v="0"/>
    <n v="18.7"/>
    <n v="52"/>
    <n v="50"/>
    <n v="10.199999999999999"/>
    <x v="0"/>
    <n v="500"/>
    <n v="19"/>
    <x v="0"/>
    <x v="1"/>
    <x v="4"/>
    <x v="0"/>
    <x v="1"/>
    <x v="2"/>
  </r>
  <r>
    <s v="T01759"/>
    <d v="2023-01-19T00:00:00"/>
    <d v="1899-12-30T12:45:00"/>
    <x v="0"/>
    <x v="19"/>
    <s v="Station_15"/>
    <s v="Station_12"/>
    <d v="1899-12-30T12:46:00"/>
    <d v="1899-12-30T13:44:00"/>
    <n v="0"/>
    <n v="18"/>
    <x v="3"/>
    <n v="-2.2999999999999998"/>
    <n v="44"/>
    <n v="53"/>
    <n v="7.8"/>
    <x v="0"/>
    <n v="50000"/>
    <n v="44"/>
    <x v="1"/>
    <x v="1"/>
    <x v="4"/>
    <x v="0"/>
    <x v="1"/>
    <x v="1"/>
  </r>
  <r>
    <s v="T01760"/>
    <d v="2023-01-19T00:00:00"/>
    <d v="1899-12-30T13:00:00"/>
    <x v="1"/>
    <x v="18"/>
    <s v="Station_35"/>
    <s v="Station_39"/>
    <d v="1899-12-30T13:00:00"/>
    <d v="1899-12-30T13:38:00"/>
    <n v="14"/>
    <n v="17"/>
    <x v="1"/>
    <n v="23.6"/>
    <n v="46"/>
    <n v="35"/>
    <n v="9.1"/>
    <x v="0"/>
    <n v="2000"/>
    <n v="34"/>
    <x v="0"/>
    <x v="1"/>
    <x v="4"/>
    <x v="0"/>
    <x v="1"/>
    <x v="1"/>
  </r>
  <r>
    <s v="T01761"/>
    <d v="2023-01-19T00:00:00"/>
    <d v="1899-12-30T13:15:00"/>
    <x v="0"/>
    <x v="5"/>
    <s v="Station_12"/>
    <s v="Station_4"/>
    <d v="1899-12-30T13:17:00"/>
    <d v="1899-12-30T13:40:00"/>
    <n v="5"/>
    <n v="-3"/>
    <x v="0"/>
    <n v="23.1"/>
    <n v="43"/>
    <n v="16"/>
    <n v="19.8"/>
    <x v="0"/>
    <n v="50000"/>
    <n v="76"/>
    <x v="0"/>
    <x v="0"/>
    <x v="4"/>
    <x v="1"/>
    <x v="0"/>
    <x v="0"/>
  </r>
  <r>
    <s v="T01762"/>
    <d v="2023-01-19T00:00:00"/>
    <d v="1899-12-30T13:30:00"/>
    <x v="0"/>
    <x v="10"/>
    <s v="Station_41"/>
    <s v="Station_42"/>
    <d v="1899-12-30T13:34:00"/>
    <d v="1899-12-30T13:50:00"/>
    <n v="7"/>
    <n v="11"/>
    <x v="1"/>
    <n v="9.1999999999999993"/>
    <n v="45"/>
    <n v="38"/>
    <n v="15"/>
    <x v="3"/>
    <n v="50000"/>
    <n v="19"/>
    <x v="0"/>
    <x v="0"/>
    <x v="4"/>
    <x v="0"/>
    <x v="1"/>
    <x v="2"/>
  </r>
  <r>
    <s v="T01763"/>
    <d v="2023-01-19T00:00:00"/>
    <d v="1899-12-30T13:45:00"/>
    <x v="0"/>
    <x v="8"/>
    <s v="Station_44"/>
    <s v="Station_13"/>
    <d v="1899-12-30T13:45:00"/>
    <d v="1899-12-30T14:12:00"/>
    <n v="-1"/>
    <n v="18"/>
    <x v="0"/>
    <n v="30.7"/>
    <n v="61"/>
    <n v="33"/>
    <n v="8.6"/>
    <x v="5"/>
    <n v="0"/>
    <n v="23"/>
    <x v="0"/>
    <x v="1"/>
    <x v="4"/>
    <x v="2"/>
    <x v="1"/>
    <x v="2"/>
  </r>
  <r>
    <s v="T01764"/>
    <d v="2023-01-19T00:00:00"/>
    <d v="1899-12-30T14:00:00"/>
    <x v="2"/>
    <x v="6"/>
    <s v="Station_26"/>
    <s v="Station_34"/>
    <d v="1899-12-30T14:04:00"/>
    <d v="1899-12-30T14:52:00"/>
    <n v="9"/>
    <n v="28"/>
    <x v="2"/>
    <n v="15.1"/>
    <n v="52"/>
    <n v="11"/>
    <n v="9.1"/>
    <x v="0"/>
    <n v="0"/>
    <n v="56"/>
    <x v="0"/>
    <x v="1"/>
    <x v="4"/>
    <x v="0"/>
    <x v="1"/>
    <x v="1"/>
  </r>
  <r>
    <s v="T01765"/>
    <d v="2023-01-19T00:00:00"/>
    <d v="1899-12-30T14:15:00"/>
    <x v="1"/>
    <x v="15"/>
    <s v="Station_47"/>
    <s v="Station_42"/>
    <d v="1899-12-30T14:16:00"/>
    <d v="1899-12-30T14:55:00"/>
    <n v="3"/>
    <n v="29"/>
    <x v="2"/>
    <n v="20.8"/>
    <n v="63"/>
    <n v="4"/>
    <n v="10"/>
    <x v="1"/>
    <n v="0"/>
    <n v="54"/>
    <x v="1"/>
    <x v="1"/>
    <x v="4"/>
    <x v="1"/>
    <x v="1"/>
    <x v="1"/>
  </r>
  <r>
    <s v="T01766"/>
    <d v="2023-01-19T00:00:00"/>
    <d v="1899-12-30T14:30:00"/>
    <x v="3"/>
    <x v="17"/>
    <s v="Station_34"/>
    <s v="Station_21"/>
    <d v="1899-12-30T14:34:00"/>
    <d v="1899-12-30T15:13:00"/>
    <n v="-1"/>
    <n v="19"/>
    <x v="3"/>
    <n v="3.4"/>
    <n v="45"/>
    <n v="47"/>
    <n v="13.2"/>
    <x v="5"/>
    <n v="0"/>
    <n v="8"/>
    <x v="0"/>
    <x v="1"/>
    <x v="4"/>
    <x v="0"/>
    <x v="1"/>
    <x v="2"/>
  </r>
  <r>
    <s v="T01767"/>
    <d v="2023-01-19T00:00:00"/>
    <d v="1899-12-30T14:45:00"/>
    <x v="2"/>
    <x v="10"/>
    <s v="Station_23"/>
    <s v="Station_22"/>
    <d v="1899-12-30T14:47:00"/>
    <d v="1899-12-30T15:29:00"/>
    <n v="18"/>
    <n v="-2"/>
    <x v="0"/>
    <n v="11.7"/>
    <n v="63"/>
    <n v="39"/>
    <n v="9.3000000000000007"/>
    <x v="0"/>
    <n v="0"/>
    <n v="93"/>
    <x v="0"/>
    <x v="1"/>
    <x v="4"/>
    <x v="0"/>
    <x v="0"/>
    <x v="0"/>
  </r>
  <r>
    <s v="T01768"/>
    <d v="2023-01-19T00:00:00"/>
    <d v="1899-12-30T15:00:00"/>
    <x v="0"/>
    <x v="18"/>
    <s v="Station_31"/>
    <s v="Station_4"/>
    <d v="1899-12-30T15:00:00"/>
    <d v="1899-12-30T15:38:00"/>
    <n v="0"/>
    <n v="-2"/>
    <x v="5"/>
    <n v="29.5"/>
    <n v="62"/>
    <n v="54"/>
    <n v="13.7"/>
    <x v="1"/>
    <n v="0"/>
    <n v="88"/>
    <x v="1"/>
    <x v="1"/>
    <x v="4"/>
    <x v="0"/>
    <x v="0"/>
    <x v="0"/>
  </r>
  <r>
    <s v="T01769"/>
    <d v="2023-01-19T00:00:00"/>
    <d v="1899-12-30T15:15:00"/>
    <x v="2"/>
    <x v="13"/>
    <s v="Station_50"/>
    <s v="Station_18"/>
    <d v="1899-12-30T15:17:00"/>
    <d v="1899-12-30T16:03:00"/>
    <n v="14"/>
    <n v="25"/>
    <x v="1"/>
    <n v="3.5"/>
    <n v="97"/>
    <n v="26"/>
    <n v="6.6"/>
    <x v="0"/>
    <n v="0"/>
    <n v="15"/>
    <x v="0"/>
    <x v="1"/>
    <x v="4"/>
    <x v="2"/>
    <x v="1"/>
    <x v="2"/>
  </r>
  <r>
    <s v="T01770"/>
    <d v="2023-01-19T00:00:00"/>
    <d v="1899-12-30T15:30:00"/>
    <x v="0"/>
    <x v="17"/>
    <s v="Station_20"/>
    <s v="Station_5"/>
    <d v="1899-12-30T15:32:00"/>
    <d v="1899-12-30T15:59:00"/>
    <n v="4"/>
    <n v="-1"/>
    <x v="0"/>
    <n v="10.6"/>
    <n v="72"/>
    <n v="59"/>
    <n v="8.1999999999999993"/>
    <x v="4"/>
    <n v="0"/>
    <n v="54"/>
    <x v="0"/>
    <x v="1"/>
    <x v="4"/>
    <x v="2"/>
    <x v="0"/>
    <x v="1"/>
  </r>
  <r>
    <s v="T01771"/>
    <d v="2023-01-19T00:00:00"/>
    <d v="1899-12-30T15:45:00"/>
    <x v="0"/>
    <x v="11"/>
    <s v="Station_12"/>
    <s v="Station_19"/>
    <d v="1899-12-30T15:45:00"/>
    <d v="1899-12-30T16:16:00"/>
    <n v="18"/>
    <n v="3"/>
    <x v="3"/>
    <n v="7.7"/>
    <n v="93"/>
    <n v="39"/>
    <n v="17.3"/>
    <x v="4"/>
    <n v="0"/>
    <n v="71"/>
    <x v="0"/>
    <x v="0"/>
    <x v="4"/>
    <x v="3"/>
    <x v="0"/>
    <x v="0"/>
  </r>
  <r>
    <s v="T01772"/>
    <d v="2023-01-19T00:00:00"/>
    <d v="1899-12-30T16:00:00"/>
    <x v="2"/>
    <x v="3"/>
    <s v="Station_23"/>
    <s v="Station_2"/>
    <d v="1899-12-30T16:02:00"/>
    <d v="1899-12-30T16:52:00"/>
    <n v="2"/>
    <n v="25"/>
    <x v="1"/>
    <n v="1"/>
    <n v="47"/>
    <n v="12"/>
    <n v="6.6"/>
    <x v="3"/>
    <n v="0"/>
    <n v="57"/>
    <x v="0"/>
    <x v="1"/>
    <x v="4"/>
    <x v="1"/>
    <x v="1"/>
    <x v="1"/>
  </r>
  <r>
    <s v="T01773"/>
    <d v="2023-01-19T00:00:00"/>
    <d v="1899-12-30T16:15:00"/>
    <x v="1"/>
    <x v="8"/>
    <s v="Station_4"/>
    <s v="Station_12"/>
    <d v="1899-12-30T16:18:00"/>
    <d v="1899-12-30T16:41:00"/>
    <n v="-2"/>
    <n v="19"/>
    <x v="4"/>
    <n v="6.6"/>
    <n v="97"/>
    <n v="25"/>
    <n v="19.3"/>
    <x v="0"/>
    <n v="0"/>
    <n v="63"/>
    <x v="0"/>
    <x v="1"/>
    <x v="4"/>
    <x v="2"/>
    <x v="1"/>
    <x v="1"/>
  </r>
  <r>
    <s v="T01774"/>
    <d v="2023-01-19T00:00:00"/>
    <d v="1899-12-30T16:30:00"/>
    <x v="0"/>
    <x v="7"/>
    <s v="Station_23"/>
    <s v="Station_17"/>
    <d v="1899-12-30T16:33:00"/>
    <d v="1899-12-30T17:06:00"/>
    <n v="5"/>
    <n v="12"/>
    <x v="3"/>
    <n v="4.3"/>
    <n v="90"/>
    <n v="13"/>
    <n v="3.5"/>
    <x v="1"/>
    <n v="0"/>
    <n v="91"/>
    <x v="0"/>
    <x v="0"/>
    <x v="4"/>
    <x v="2"/>
    <x v="1"/>
    <x v="0"/>
  </r>
  <r>
    <s v="T01775"/>
    <d v="2023-01-19T00:00:00"/>
    <d v="1899-12-30T16:45:00"/>
    <x v="1"/>
    <x v="0"/>
    <s v="Station_48"/>
    <s v="Station_10"/>
    <d v="1899-12-30T16:48:00"/>
    <d v="1899-12-30T17:14:00"/>
    <n v="9"/>
    <n v="27"/>
    <x v="0"/>
    <n v="31.9"/>
    <n v="49"/>
    <n v="31"/>
    <n v="4.8"/>
    <x v="0"/>
    <n v="0"/>
    <n v="75"/>
    <x v="0"/>
    <x v="0"/>
    <x v="4"/>
    <x v="2"/>
    <x v="1"/>
    <x v="0"/>
  </r>
  <r>
    <s v="T01776"/>
    <d v="2023-01-19T00:00:00"/>
    <d v="1899-12-30T17:00:00"/>
    <x v="3"/>
    <x v="11"/>
    <s v="Station_48"/>
    <s v="Station_34"/>
    <d v="1899-12-30T17:04:00"/>
    <d v="1899-12-30T17:50:00"/>
    <n v="11"/>
    <n v="-3"/>
    <x v="5"/>
    <n v="24.6"/>
    <n v="40"/>
    <n v="10"/>
    <n v="9.3000000000000007"/>
    <x v="0"/>
    <n v="10000"/>
    <n v="87"/>
    <x v="1"/>
    <x v="1"/>
    <x v="4"/>
    <x v="1"/>
    <x v="0"/>
    <x v="0"/>
  </r>
  <r>
    <s v="T01777"/>
    <d v="2023-01-19T00:00:00"/>
    <d v="1899-12-30T17:15:00"/>
    <x v="0"/>
    <x v="6"/>
    <s v="Station_1"/>
    <s v="Station_6"/>
    <d v="1899-12-30T17:17:00"/>
    <d v="1899-12-30T17:40:00"/>
    <n v="13"/>
    <n v="14"/>
    <x v="4"/>
    <n v="7.6"/>
    <n v="75"/>
    <n v="37"/>
    <n v="15.9"/>
    <x v="3"/>
    <n v="0"/>
    <n v="48"/>
    <x v="0"/>
    <x v="0"/>
    <x v="4"/>
    <x v="3"/>
    <x v="1"/>
    <x v="1"/>
  </r>
  <r>
    <s v="T01778"/>
    <d v="2023-01-19T00:00:00"/>
    <d v="1899-12-30T17:30:00"/>
    <x v="1"/>
    <x v="6"/>
    <s v="Station_25"/>
    <s v="Station_8"/>
    <d v="1899-12-30T17:30:00"/>
    <d v="1899-12-30T18:06:00"/>
    <n v="7"/>
    <n v="11"/>
    <x v="3"/>
    <n v="25.5"/>
    <n v="93"/>
    <n v="15"/>
    <n v="14.6"/>
    <x v="1"/>
    <n v="10000"/>
    <n v="28"/>
    <x v="0"/>
    <x v="1"/>
    <x v="4"/>
    <x v="1"/>
    <x v="1"/>
    <x v="2"/>
  </r>
  <r>
    <s v="T01779"/>
    <d v="2023-01-19T00:00:00"/>
    <d v="1899-12-30T17:45:00"/>
    <x v="1"/>
    <x v="11"/>
    <s v="Station_2"/>
    <s v="Station_11"/>
    <d v="1899-12-30T17:45:00"/>
    <d v="1899-12-30T18:41:00"/>
    <n v="12"/>
    <n v="13"/>
    <x v="0"/>
    <n v="-4.0999999999999996"/>
    <n v="57"/>
    <n v="54"/>
    <n v="3.5"/>
    <x v="0"/>
    <n v="0"/>
    <n v="78"/>
    <x v="1"/>
    <x v="1"/>
    <x v="4"/>
    <x v="0"/>
    <x v="1"/>
    <x v="0"/>
  </r>
  <r>
    <s v="T01780"/>
    <d v="2023-01-19T00:00:00"/>
    <d v="1899-12-30T18:00:00"/>
    <x v="3"/>
    <x v="6"/>
    <s v="Station_30"/>
    <s v="Station_12"/>
    <d v="1899-12-30T18:04:00"/>
    <d v="1899-12-30T18:37:00"/>
    <n v="18"/>
    <n v="6"/>
    <x v="2"/>
    <n v="16.100000000000001"/>
    <n v="77"/>
    <n v="56"/>
    <n v="4.7"/>
    <x v="4"/>
    <n v="0"/>
    <n v="81"/>
    <x v="0"/>
    <x v="1"/>
    <x v="4"/>
    <x v="3"/>
    <x v="1"/>
    <x v="0"/>
  </r>
  <r>
    <s v="T01781"/>
    <d v="2023-01-19T00:00:00"/>
    <d v="1899-12-30T18:15:00"/>
    <x v="1"/>
    <x v="15"/>
    <s v="Station_3"/>
    <s v="Station_9"/>
    <d v="1899-12-30T18:15:00"/>
    <d v="1899-12-30T19:00:00"/>
    <n v="12"/>
    <n v="16"/>
    <x v="0"/>
    <n v="5"/>
    <n v="64"/>
    <n v="21"/>
    <n v="11.5"/>
    <x v="0"/>
    <n v="0"/>
    <n v="6"/>
    <x v="0"/>
    <x v="0"/>
    <x v="4"/>
    <x v="0"/>
    <x v="1"/>
    <x v="2"/>
  </r>
  <r>
    <s v="T01782"/>
    <d v="2023-01-19T00:00:00"/>
    <d v="1899-12-30T18:30:00"/>
    <x v="1"/>
    <x v="7"/>
    <s v="Station_21"/>
    <s v="Station_2"/>
    <d v="1899-12-30T18:33:00"/>
    <d v="1899-12-30T19:05:00"/>
    <n v="7"/>
    <n v="2"/>
    <x v="2"/>
    <n v="-0.4"/>
    <n v="37"/>
    <n v="56"/>
    <n v="5.9"/>
    <x v="0"/>
    <n v="0"/>
    <n v="76"/>
    <x v="0"/>
    <x v="1"/>
    <x v="4"/>
    <x v="2"/>
    <x v="0"/>
    <x v="0"/>
  </r>
  <r>
    <s v="T01783"/>
    <d v="2023-01-19T00:00:00"/>
    <d v="1899-12-30T18:45:00"/>
    <x v="3"/>
    <x v="18"/>
    <s v="Station_25"/>
    <s v="Station_8"/>
    <d v="1899-12-30T18:47:00"/>
    <d v="1899-12-30T19:12:00"/>
    <n v="18"/>
    <n v="4"/>
    <x v="2"/>
    <n v="30.4"/>
    <n v="51"/>
    <n v="46"/>
    <n v="8.4"/>
    <x v="1"/>
    <n v="0"/>
    <n v="82"/>
    <x v="0"/>
    <x v="1"/>
    <x v="4"/>
    <x v="1"/>
    <x v="0"/>
    <x v="0"/>
  </r>
  <r>
    <s v="T01784"/>
    <d v="2023-01-19T00:00:00"/>
    <d v="1899-12-30T19:00:00"/>
    <x v="0"/>
    <x v="8"/>
    <s v="Station_20"/>
    <s v="Station_11"/>
    <d v="1899-12-30T19:00:00"/>
    <d v="1899-12-30T19:43:00"/>
    <n v="4"/>
    <n v="28"/>
    <x v="3"/>
    <n v="3"/>
    <n v="53"/>
    <n v="15"/>
    <n v="9.6999999999999993"/>
    <x v="0"/>
    <n v="2000"/>
    <n v="68"/>
    <x v="0"/>
    <x v="1"/>
    <x v="4"/>
    <x v="0"/>
    <x v="1"/>
    <x v="0"/>
  </r>
  <r>
    <s v="T01785"/>
    <d v="2023-01-19T00:00:00"/>
    <d v="1899-12-30T19:15:00"/>
    <x v="1"/>
    <x v="9"/>
    <s v="Station_49"/>
    <s v="Station_36"/>
    <d v="1899-12-30T19:15:00"/>
    <d v="1899-12-30T19:47:00"/>
    <n v="0"/>
    <n v="0"/>
    <x v="0"/>
    <n v="27.9"/>
    <n v="95"/>
    <n v="12"/>
    <n v="11.9"/>
    <x v="0"/>
    <n v="50000"/>
    <n v="89"/>
    <x v="0"/>
    <x v="1"/>
    <x v="4"/>
    <x v="3"/>
    <x v="0"/>
    <x v="0"/>
  </r>
  <r>
    <s v="T01786"/>
    <d v="2023-01-19T00:00:00"/>
    <d v="1899-12-30T19:30:00"/>
    <x v="1"/>
    <x v="5"/>
    <s v="Station_22"/>
    <s v="Station_10"/>
    <d v="1899-12-30T19:31:00"/>
    <d v="1899-12-30T20:18:00"/>
    <n v="-1"/>
    <n v="16"/>
    <x v="0"/>
    <n v="11.5"/>
    <n v="93"/>
    <n v="11"/>
    <n v="5"/>
    <x v="4"/>
    <n v="50000"/>
    <n v="1"/>
    <x v="0"/>
    <x v="1"/>
    <x v="4"/>
    <x v="0"/>
    <x v="1"/>
    <x v="2"/>
  </r>
  <r>
    <s v="T01787"/>
    <d v="2023-01-19T00:00:00"/>
    <d v="1899-12-30T19:45:00"/>
    <x v="1"/>
    <x v="10"/>
    <s v="Station_21"/>
    <s v="Station_21"/>
    <d v="1899-12-30T19:46:00"/>
    <d v="1899-12-30T20:36:00"/>
    <n v="3"/>
    <n v="20"/>
    <x v="2"/>
    <n v="-4.4000000000000004"/>
    <n v="94"/>
    <n v="17"/>
    <n v="3.3"/>
    <x v="0"/>
    <n v="500"/>
    <n v="32"/>
    <x v="0"/>
    <x v="1"/>
    <x v="4"/>
    <x v="0"/>
    <x v="1"/>
    <x v="2"/>
  </r>
  <r>
    <s v="T01788"/>
    <d v="2023-01-19T00:00:00"/>
    <d v="1899-12-30T20:00:00"/>
    <x v="2"/>
    <x v="0"/>
    <s v="Station_33"/>
    <s v="Station_20"/>
    <d v="1899-12-30T20:01:00"/>
    <d v="1899-12-30T20:43:00"/>
    <n v="18"/>
    <n v="20"/>
    <x v="1"/>
    <n v="24.3"/>
    <n v="43"/>
    <n v="28"/>
    <n v="8"/>
    <x v="0"/>
    <n v="0"/>
    <n v="47"/>
    <x v="0"/>
    <x v="1"/>
    <x v="4"/>
    <x v="2"/>
    <x v="1"/>
    <x v="1"/>
  </r>
  <r>
    <s v="T01789"/>
    <d v="2023-01-19T00:00:00"/>
    <d v="1899-12-30T20:15:00"/>
    <x v="3"/>
    <x v="14"/>
    <s v="Station_38"/>
    <s v="Station_48"/>
    <d v="1899-12-30T20:17:00"/>
    <d v="1899-12-30T20:50:00"/>
    <n v="6"/>
    <n v="22"/>
    <x v="4"/>
    <n v="18.899999999999999"/>
    <n v="54"/>
    <n v="17"/>
    <n v="1.6"/>
    <x v="0"/>
    <n v="0"/>
    <n v="36"/>
    <x v="0"/>
    <x v="1"/>
    <x v="4"/>
    <x v="0"/>
    <x v="1"/>
    <x v="1"/>
  </r>
  <r>
    <s v="T01790"/>
    <d v="2023-01-19T00:00:00"/>
    <d v="1899-12-30T20:30:00"/>
    <x v="2"/>
    <x v="5"/>
    <s v="Station_15"/>
    <s v="Station_8"/>
    <d v="1899-12-30T20:33:00"/>
    <d v="1899-12-30T21:00:00"/>
    <n v="7"/>
    <n v="21"/>
    <x v="5"/>
    <n v="8.8000000000000007"/>
    <n v="32"/>
    <n v="45"/>
    <n v="10.5"/>
    <x v="5"/>
    <n v="500"/>
    <n v="88"/>
    <x v="1"/>
    <x v="1"/>
    <x v="4"/>
    <x v="0"/>
    <x v="1"/>
    <x v="0"/>
  </r>
  <r>
    <s v="T01791"/>
    <d v="2023-01-19T00:00:00"/>
    <d v="1899-12-30T20:45:00"/>
    <x v="3"/>
    <x v="10"/>
    <s v="Station_46"/>
    <s v="Station_36"/>
    <d v="1899-12-30T20:48:00"/>
    <d v="1899-12-30T21:36:00"/>
    <n v="1"/>
    <n v="3"/>
    <x v="0"/>
    <n v="6.3"/>
    <n v="34"/>
    <n v="1"/>
    <n v="16.8"/>
    <x v="5"/>
    <n v="10000"/>
    <n v="88"/>
    <x v="0"/>
    <x v="0"/>
    <x v="4"/>
    <x v="2"/>
    <x v="0"/>
    <x v="0"/>
  </r>
  <r>
    <s v="T01792"/>
    <d v="2023-01-19T00:00:00"/>
    <d v="1899-12-30T21:00:00"/>
    <x v="0"/>
    <x v="2"/>
    <s v="Station_15"/>
    <s v="Station_29"/>
    <d v="1899-12-30T21:03:00"/>
    <d v="1899-12-30T21:25:00"/>
    <n v="0"/>
    <n v="6"/>
    <x v="4"/>
    <n v="-2.1"/>
    <n v="94"/>
    <n v="53"/>
    <n v="2.4"/>
    <x v="0"/>
    <n v="0"/>
    <n v="29"/>
    <x v="0"/>
    <x v="1"/>
    <x v="4"/>
    <x v="3"/>
    <x v="1"/>
    <x v="2"/>
  </r>
  <r>
    <s v="T01793"/>
    <d v="2023-01-19T00:00:00"/>
    <d v="1899-12-30T21:15:00"/>
    <x v="0"/>
    <x v="18"/>
    <s v="Station_46"/>
    <s v="Station_42"/>
    <d v="1899-12-30T21:17:00"/>
    <d v="1899-12-30T22:09:00"/>
    <n v="6"/>
    <n v="8"/>
    <x v="4"/>
    <n v="32.700000000000003"/>
    <n v="83"/>
    <n v="1"/>
    <n v="2.2999999999999998"/>
    <x v="0"/>
    <n v="50000"/>
    <n v="40"/>
    <x v="0"/>
    <x v="1"/>
    <x v="4"/>
    <x v="2"/>
    <x v="1"/>
    <x v="1"/>
  </r>
  <r>
    <s v="T01794"/>
    <d v="2023-01-19T00:00:00"/>
    <d v="1899-12-30T21:30:00"/>
    <x v="1"/>
    <x v="6"/>
    <s v="Station_25"/>
    <s v="Station_12"/>
    <d v="1899-12-30T21:32:00"/>
    <d v="1899-12-30T22:22:00"/>
    <n v="19"/>
    <n v="-3"/>
    <x v="1"/>
    <n v="14.8"/>
    <n v="48"/>
    <n v="2"/>
    <n v="1.6"/>
    <x v="4"/>
    <n v="0"/>
    <n v="3"/>
    <x v="0"/>
    <x v="0"/>
    <x v="4"/>
    <x v="0"/>
    <x v="0"/>
    <x v="2"/>
  </r>
  <r>
    <s v="T01795"/>
    <d v="2023-01-19T00:00:00"/>
    <d v="1899-12-30T21:45:00"/>
    <x v="3"/>
    <x v="6"/>
    <s v="Station_21"/>
    <s v="Station_14"/>
    <d v="1899-12-30T21:46:00"/>
    <d v="1899-12-30T22:22:00"/>
    <n v="14"/>
    <n v="21"/>
    <x v="4"/>
    <n v="-1.6"/>
    <n v="83"/>
    <n v="28"/>
    <n v="17"/>
    <x v="1"/>
    <n v="0"/>
    <n v="82"/>
    <x v="0"/>
    <x v="1"/>
    <x v="4"/>
    <x v="1"/>
    <x v="1"/>
    <x v="0"/>
  </r>
  <r>
    <s v="T01796"/>
    <d v="2023-01-19T00:00:00"/>
    <d v="1899-12-30T22:00:00"/>
    <x v="0"/>
    <x v="9"/>
    <s v="Station_24"/>
    <s v="Station_48"/>
    <d v="1899-12-30T22:00:00"/>
    <d v="1899-12-30T22:56:00"/>
    <n v="11"/>
    <n v="12"/>
    <x v="0"/>
    <n v="29.7"/>
    <n v="39"/>
    <n v="55"/>
    <n v="1.6"/>
    <x v="0"/>
    <n v="50000"/>
    <n v="90"/>
    <x v="0"/>
    <x v="1"/>
    <x v="4"/>
    <x v="2"/>
    <x v="1"/>
    <x v="0"/>
  </r>
  <r>
    <s v="T01797"/>
    <d v="2023-01-19T00:00:00"/>
    <d v="1899-12-30T22:15:00"/>
    <x v="3"/>
    <x v="5"/>
    <s v="Station_5"/>
    <s v="Station_50"/>
    <d v="1899-12-30T22:19:00"/>
    <d v="1899-12-30T22:47:00"/>
    <n v="7"/>
    <n v="1"/>
    <x v="3"/>
    <n v="6.2"/>
    <n v="45"/>
    <n v="7"/>
    <n v="19.7"/>
    <x v="0"/>
    <n v="50000"/>
    <n v="38"/>
    <x v="0"/>
    <x v="1"/>
    <x v="4"/>
    <x v="2"/>
    <x v="0"/>
    <x v="1"/>
  </r>
  <r>
    <s v="T01798"/>
    <d v="2023-01-19T00:00:00"/>
    <d v="1899-12-30T22:30:00"/>
    <x v="0"/>
    <x v="10"/>
    <s v="Station_6"/>
    <s v="Station_21"/>
    <d v="1899-12-30T22:34:00"/>
    <d v="1899-12-30T22:59:00"/>
    <n v="10"/>
    <n v="15"/>
    <x v="3"/>
    <n v="3.1"/>
    <n v="75"/>
    <n v="10"/>
    <n v="7.2"/>
    <x v="3"/>
    <n v="500"/>
    <n v="23"/>
    <x v="0"/>
    <x v="1"/>
    <x v="4"/>
    <x v="0"/>
    <x v="1"/>
    <x v="2"/>
  </r>
  <r>
    <s v="T01799"/>
    <d v="2023-01-19T00:00:00"/>
    <d v="1899-12-30T22:45:00"/>
    <x v="2"/>
    <x v="16"/>
    <s v="Station_49"/>
    <s v="Station_22"/>
    <d v="1899-12-30T22:45:00"/>
    <d v="1899-12-30T23:41:00"/>
    <n v="9"/>
    <n v="0"/>
    <x v="4"/>
    <n v="6.2"/>
    <n v="58"/>
    <n v="11"/>
    <n v="6.6"/>
    <x v="0"/>
    <n v="0"/>
    <n v="49"/>
    <x v="0"/>
    <x v="1"/>
    <x v="4"/>
    <x v="1"/>
    <x v="0"/>
    <x v="1"/>
  </r>
  <r>
    <s v="T01800"/>
    <d v="2023-01-19T00:00:00"/>
    <d v="1899-12-30T23:00:00"/>
    <x v="0"/>
    <x v="10"/>
    <s v="Station_43"/>
    <s v="Station_21"/>
    <d v="1899-12-30T23:01:00"/>
    <d v="1899-12-30T23:45:00"/>
    <n v="-2"/>
    <n v="2"/>
    <x v="0"/>
    <n v="17.600000000000001"/>
    <n v="44"/>
    <n v="31"/>
    <n v="1.8"/>
    <x v="0"/>
    <n v="0"/>
    <n v="36"/>
    <x v="1"/>
    <x v="1"/>
    <x v="4"/>
    <x v="3"/>
    <x v="0"/>
    <x v="1"/>
  </r>
  <r>
    <s v="T01801"/>
    <d v="2023-01-19T00:00:00"/>
    <d v="1899-12-30T23:15:00"/>
    <x v="2"/>
    <x v="3"/>
    <s v="Station_48"/>
    <s v="Station_44"/>
    <d v="1899-12-30T23:15:00"/>
    <d v="1899-12-30T23:51:00"/>
    <n v="19"/>
    <n v="22"/>
    <x v="0"/>
    <n v="-2"/>
    <n v="77"/>
    <n v="3"/>
    <n v="11.7"/>
    <x v="4"/>
    <n v="0"/>
    <n v="52"/>
    <x v="0"/>
    <x v="1"/>
    <x v="4"/>
    <x v="1"/>
    <x v="1"/>
    <x v="1"/>
  </r>
  <r>
    <s v="T01802"/>
    <d v="2023-01-19T00:00:00"/>
    <d v="1899-12-30T23:30:00"/>
    <x v="0"/>
    <x v="15"/>
    <s v="Station_44"/>
    <s v="Station_50"/>
    <d v="1899-12-30T23:30:00"/>
    <d v="1899-12-30T23:50:00"/>
    <n v="16"/>
    <n v="5"/>
    <x v="2"/>
    <n v="14.3"/>
    <n v="40"/>
    <n v="8"/>
    <n v="11.7"/>
    <x v="0"/>
    <n v="2000"/>
    <n v="24"/>
    <x v="0"/>
    <x v="1"/>
    <x v="4"/>
    <x v="2"/>
    <x v="0"/>
    <x v="2"/>
  </r>
  <r>
    <s v="T01803"/>
    <d v="2023-01-19T00:00:00"/>
    <d v="1899-12-30T23:45:00"/>
    <x v="1"/>
    <x v="11"/>
    <s v="Station_47"/>
    <s v="Station_30"/>
    <d v="1899-12-30T23:49:00"/>
    <d v="1899-12-30T00:29:00"/>
    <n v="16"/>
    <n v="10"/>
    <x v="1"/>
    <n v="30.8"/>
    <n v="63"/>
    <n v="23"/>
    <n v="9.9"/>
    <x v="0"/>
    <n v="0"/>
    <n v="92"/>
    <x v="0"/>
    <x v="1"/>
    <x v="4"/>
    <x v="1"/>
    <x v="1"/>
    <x v="0"/>
  </r>
  <r>
    <s v="T01804"/>
    <d v="2023-01-20T00:00:00"/>
    <d v="1899-12-30T00:00:00"/>
    <x v="2"/>
    <x v="16"/>
    <s v="Station_23"/>
    <s v="Station_39"/>
    <d v="1899-12-30T00:01:00"/>
    <d v="1899-12-30T00:53:00"/>
    <n v="3"/>
    <n v="5"/>
    <x v="5"/>
    <n v="2.5"/>
    <n v="65"/>
    <n v="48"/>
    <n v="6.2"/>
    <x v="5"/>
    <n v="0"/>
    <n v="30"/>
    <x v="0"/>
    <x v="0"/>
    <x v="5"/>
    <x v="3"/>
    <x v="0"/>
    <x v="2"/>
  </r>
  <r>
    <s v="T01805"/>
    <d v="2023-01-20T00:00:00"/>
    <d v="1899-12-30T00:15:00"/>
    <x v="0"/>
    <x v="10"/>
    <s v="Station_4"/>
    <s v="Station_20"/>
    <d v="1899-12-30T00:17:00"/>
    <d v="1899-12-30T01:13:00"/>
    <n v="10"/>
    <n v="11"/>
    <x v="2"/>
    <n v="8.1999999999999993"/>
    <n v="59"/>
    <n v="55"/>
    <n v="7.4"/>
    <x v="0"/>
    <n v="0"/>
    <n v="98"/>
    <x v="0"/>
    <x v="0"/>
    <x v="5"/>
    <x v="1"/>
    <x v="1"/>
    <x v="0"/>
  </r>
  <r>
    <s v="T01806"/>
    <d v="2023-01-20T00:00:00"/>
    <d v="1899-12-30T00:30:00"/>
    <x v="1"/>
    <x v="3"/>
    <s v="Station_27"/>
    <s v="Station_24"/>
    <d v="1899-12-30T00:34:00"/>
    <d v="1899-12-30T00:59:00"/>
    <n v="16"/>
    <n v="16"/>
    <x v="5"/>
    <n v="10.8"/>
    <n v="48"/>
    <n v="15"/>
    <n v="6.4"/>
    <x v="0"/>
    <n v="0"/>
    <n v="91"/>
    <x v="0"/>
    <x v="1"/>
    <x v="5"/>
    <x v="1"/>
    <x v="1"/>
    <x v="0"/>
  </r>
  <r>
    <s v="T01807"/>
    <d v="2023-01-20T00:00:00"/>
    <d v="1899-12-30T00:45:00"/>
    <x v="2"/>
    <x v="5"/>
    <s v="Station_18"/>
    <s v="Station_23"/>
    <d v="1899-12-30T00:47:00"/>
    <d v="1899-12-30T01:24:00"/>
    <n v="10"/>
    <n v="4"/>
    <x v="0"/>
    <n v="18.399999999999999"/>
    <n v="97"/>
    <n v="16"/>
    <n v="8.5"/>
    <x v="0"/>
    <n v="0"/>
    <n v="37"/>
    <x v="0"/>
    <x v="1"/>
    <x v="5"/>
    <x v="1"/>
    <x v="0"/>
    <x v="1"/>
  </r>
  <r>
    <s v="T01808"/>
    <d v="2023-01-20T00:00:00"/>
    <d v="1899-12-30T01:00:00"/>
    <x v="1"/>
    <x v="13"/>
    <s v="Station_21"/>
    <s v="Station_7"/>
    <d v="1899-12-30T01:01:00"/>
    <d v="1899-12-30T01:26:00"/>
    <n v="19"/>
    <n v="28"/>
    <x v="3"/>
    <n v="31.8"/>
    <n v="99"/>
    <n v="46"/>
    <n v="6.8"/>
    <x v="5"/>
    <n v="50000"/>
    <n v="57"/>
    <x v="0"/>
    <x v="1"/>
    <x v="5"/>
    <x v="2"/>
    <x v="1"/>
    <x v="1"/>
  </r>
  <r>
    <s v="T01809"/>
    <d v="2023-01-20T00:00:00"/>
    <d v="1899-12-30T01:15:00"/>
    <x v="3"/>
    <x v="1"/>
    <s v="Station_28"/>
    <s v="Station_9"/>
    <d v="1899-12-30T01:15:00"/>
    <d v="1899-12-30T01:50:00"/>
    <n v="18"/>
    <n v="17"/>
    <x v="2"/>
    <n v="10.8"/>
    <n v="62"/>
    <n v="51"/>
    <n v="13.5"/>
    <x v="1"/>
    <n v="0"/>
    <n v="52"/>
    <x v="0"/>
    <x v="1"/>
    <x v="5"/>
    <x v="0"/>
    <x v="1"/>
    <x v="1"/>
  </r>
  <r>
    <s v="T01810"/>
    <d v="2023-01-20T00:00:00"/>
    <d v="1899-12-30T01:30:00"/>
    <x v="3"/>
    <x v="1"/>
    <s v="Station_35"/>
    <s v="Station_1"/>
    <d v="1899-12-30T01:33:00"/>
    <d v="1899-12-30T02:26:00"/>
    <n v="1"/>
    <n v="15"/>
    <x v="4"/>
    <n v="-2.2000000000000002"/>
    <n v="51"/>
    <n v="57"/>
    <n v="5.9"/>
    <x v="0"/>
    <n v="10000"/>
    <n v="49"/>
    <x v="0"/>
    <x v="0"/>
    <x v="5"/>
    <x v="0"/>
    <x v="1"/>
    <x v="1"/>
  </r>
  <r>
    <s v="T01811"/>
    <d v="2023-01-20T00:00:00"/>
    <d v="1899-12-30T01:45:00"/>
    <x v="2"/>
    <x v="17"/>
    <s v="Station_22"/>
    <s v="Station_26"/>
    <d v="1899-12-30T01:48:00"/>
    <d v="1899-12-30T02:33:00"/>
    <n v="-1"/>
    <n v="25"/>
    <x v="4"/>
    <n v="8.9"/>
    <n v="65"/>
    <n v="21"/>
    <n v="7"/>
    <x v="4"/>
    <n v="0"/>
    <n v="3"/>
    <x v="0"/>
    <x v="1"/>
    <x v="5"/>
    <x v="1"/>
    <x v="1"/>
    <x v="2"/>
  </r>
  <r>
    <s v="T01812"/>
    <d v="2023-01-20T00:00:00"/>
    <d v="1899-12-30T02:00:00"/>
    <x v="0"/>
    <x v="12"/>
    <s v="Station_40"/>
    <s v="Station_38"/>
    <d v="1899-12-30T02:01:00"/>
    <d v="1899-12-30T02:31:00"/>
    <n v="12"/>
    <n v="27"/>
    <x v="5"/>
    <n v="2.6"/>
    <n v="52"/>
    <n v="6"/>
    <n v="8.6999999999999993"/>
    <x v="0"/>
    <n v="2000"/>
    <n v="91"/>
    <x v="0"/>
    <x v="1"/>
    <x v="5"/>
    <x v="2"/>
    <x v="1"/>
    <x v="0"/>
  </r>
  <r>
    <s v="T01813"/>
    <d v="2023-01-20T00:00:00"/>
    <d v="1899-12-30T02:15:00"/>
    <x v="2"/>
    <x v="18"/>
    <s v="Station_23"/>
    <s v="Station_38"/>
    <d v="1899-12-30T02:18:00"/>
    <d v="1899-12-30T02:51:00"/>
    <n v="9"/>
    <n v="2"/>
    <x v="0"/>
    <n v="21.1"/>
    <n v="92"/>
    <n v="9"/>
    <n v="0.1"/>
    <x v="0"/>
    <n v="50000"/>
    <n v="51"/>
    <x v="0"/>
    <x v="1"/>
    <x v="5"/>
    <x v="2"/>
    <x v="0"/>
    <x v="1"/>
  </r>
  <r>
    <s v="T01814"/>
    <d v="2023-01-20T00:00:00"/>
    <d v="1899-12-30T02:30:00"/>
    <x v="1"/>
    <x v="3"/>
    <s v="Station_3"/>
    <s v="Station_44"/>
    <d v="1899-12-30T02:32:00"/>
    <d v="1899-12-30T03:09:00"/>
    <n v="4"/>
    <n v="0"/>
    <x v="3"/>
    <n v="-3.8"/>
    <n v="55"/>
    <n v="28"/>
    <n v="9.8000000000000007"/>
    <x v="4"/>
    <n v="0"/>
    <n v="30"/>
    <x v="0"/>
    <x v="1"/>
    <x v="5"/>
    <x v="2"/>
    <x v="0"/>
    <x v="2"/>
  </r>
  <r>
    <s v="T01815"/>
    <d v="2023-01-20T00:00:00"/>
    <d v="1899-12-30T02:45:00"/>
    <x v="0"/>
    <x v="19"/>
    <s v="Station_40"/>
    <s v="Station_22"/>
    <d v="1899-12-30T02:48:00"/>
    <d v="1899-12-30T03:30:00"/>
    <n v="17"/>
    <n v="25"/>
    <x v="5"/>
    <n v="6.7"/>
    <n v="89"/>
    <n v="35"/>
    <n v="5.0999999999999996"/>
    <x v="0"/>
    <n v="0"/>
    <n v="86"/>
    <x v="0"/>
    <x v="1"/>
    <x v="5"/>
    <x v="0"/>
    <x v="1"/>
    <x v="0"/>
  </r>
  <r>
    <s v="T01816"/>
    <d v="2023-01-20T00:00:00"/>
    <d v="1899-12-30T03:00:00"/>
    <x v="3"/>
    <x v="15"/>
    <s v="Station_50"/>
    <s v="Station_44"/>
    <d v="1899-12-30T03:01:00"/>
    <d v="1899-12-30T03:38:00"/>
    <n v="15"/>
    <n v="-1"/>
    <x v="3"/>
    <n v="16.8"/>
    <n v="34"/>
    <n v="23"/>
    <n v="1.1000000000000001"/>
    <x v="3"/>
    <n v="0"/>
    <n v="77"/>
    <x v="0"/>
    <x v="1"/>
    <x v="5"/>
    <x v="2"/>
    <x v="0"/>
    <x v="0"/>
  </r>
  <r>
    <s v="T01817"/>
    <d v="2023-01-20T00:00:00"/>
    <d v="1899-12-30T03:15:00"/>
    <x v="0"/>
    <x v="10"/>
    <s v="Station_10"/>
    <s v="Station_10"/>
    <d v="1899-12-30T03:16:00"/>
    <d v="1899-12-30T03:46:00"/>
    <n v="10"/>
    <n v="-3"/>
    <x v="1"/>
    <n v="6.1"/>
    <n v="83"/>
    <n v="55"/>
    <n v="18.2"/>
    <x v="4"/>
    <n v="0"/>
    <n v="91"/>
    <x v="0"/>
    <x v="1"/>
    <x v="5"/>
    <x v="1"/>
    <x v="0"/>
    <x v="0"/>
  </r>
  <r>
    <s v="T01818"/>
    <d v="2023-01-20T00:00:00"/>
    <d v="1899-12-30T03:30:00"/>
    <x v="3"/>
    <x v="0"/>
    <s v="Station_25"/>
    <s v="Station_6"/>
    <d v="1899-12-30T03:32:00"/>
    <d v="1899-12-30T04:10:00"/>
    <n v="14"/>
    <n v="11"/>
    <x v="3"/>
    <n v="17"/>
    <n v="67"/>
    <n v="45"/>
    <n v="6.4"/>
    <x v="0"/>
    <n v="2000"/>
    <n v="13"/>
    <x v="0"/>
    <x v="0"/>
    <x v="5"/>
    <x v="0"/>
    <x v="1"/>
    <x v="2"/>
  </r>
  <r>
    <s v="T01819"/>
    <d v="2023-01-20T00:00:00"/>
    <d v="1899-12-30T03:45:00"/>
    <x v="0"/>
    <x v="16"/>
    <s v="Station_49"/>
    <s v="Station_17"/>
    <d v="1899-12-30T03:48:00"/>
    <d v="1899-12-30T04:38:00"/>
    <n v="1"/>
    <n v="17"/>
    <x v="4"/>
    <n v="-0.4"/>
    <n v="91"/>
    <n v="13"/>
    <n v="8.5"/>
    <x v="4"/>
    <n v="0"/>
    <n v="0"/>
    <x v="0"/>
    <x v="1"/>
    <x v="5"/>
    <x v="2"/>
    <x v="1"/>
    <x v="2"/>
  </r>
  <r>
    <s v="T01820"/>
    <d v="2023-01-20T00:00:00"/>
    <d v="1899-12-30T04:00:00"/>
    <x v="0"/>
    <x v="17"/>
    <s v="Station_8"/>
    <s v="Station_50"/>
    <d v="1899-12-30T04:03:00"/>
    <d v="1899-12-30T04:26:00"/>
    <n v="11"/>
    <n v="27"/>
    <x v="2"/>
    <n v="32.700000000000003"/>
    <n v="54"/>
    <n v="13"/>
    <n v="16.5"/>
    <x v="0"/>
    <n v="0"/>
    <n v="42"/>
    <x v="0"/>
    <x v="0"/>
    <x v="5"/>
    <x v="1"/>
    <x v="1"/>
    <x v="1"/>
  </r>
  <r>
    <s v="T01821"/>
    <d v="2023-01-20T00:00:00"/>
    <d v="1899-12-30T04:15:00"/>
    <x v="0"/>
    <x v="18"/>
    <s v="Station_11"/>
    <s v="Station_38"/>
    <d v="1899-12-30T04:15:00"/>
    <d v="1899-12-30T05:09:00"/>
    <n v="17"/>
    <n v="3"/>
    <x v="2"/>
    <n v="6.6"/>
    <n v="41"/>
    <n v="24"/>
    <n v="3.3"/>
    <x v="4"/>
    <n v="500"/>
    <n v="95"/>
    <x v="0"/>
    <x v="0"/>
    <x v="5"/>
    <x v="0"/>
    <x v="0"/>
    <x v="0"/>
  </r>
  <r>
    <s v="T01822"/>
    <d v="2023-01-20T00:00:00"/>
    <d v="1899-12-30T04:30:00"/>
    <x v="1"/>
    <x v="3"/>
    <s v="Station_5"/>
    <s v="Station_24"/>
    <d v="1899-12-30T04:34:00"/>
    <d v="1899-12-30T05:04:00"/>
    <n v="10"/>
    <n v="13"/>
    <x v="2"/>
    <n v="31.9"/>
    <n v="51"/>
    <n v="45"/>
    <n v="17"/>
    <x v="0"/>
    <n v="0"/>
    <n v="58"/>
    <x v="0"/>
    <x v="1"/>
    <x v="5"/>
    <x v="2"/>
    <x v="1"/>
    <x v="1"/>
  </r>
  <r>
    <s v="T01823"/>
    <d v="2023-01-20T00:00:00"/>
    <d v="1899-12-30T04:45:00"/>
    <x v="1"/>
    <x v="5"/>
    <s v="Station_45"/>
    <s v="Station_10"/>
    <d v="1899-12-30T04:46:00"/>
    <d v="1899-12-30T05:05:00"/>
    <n v="0"/>
    <n v="15"/>
    <x v="3"/>
    <n v="8"/>
    <n v="38"/>
    <n v="21"/>
    <n v="4.8"/>
    <x v="0"/>
    <n v="0"/>
    <n v="60"/>
    <x v="0"/>
    <x v="1"/>
    <x v="5"/>
    <x v="3"/>
    <x v="1"/>
    <x v="1"/>
  </r>
  <r>
    <s v="T01824"/>
    <d v="2023-01-20T00:00:00"/>
    <d v="1899-12-30T05:00:00"/>
    <x v="2"/>
    <x v="15"/>
    <s v="Station_37"/>
    <s v="Station_8"/>
    <d v="1899-12-30T05:00:00"/>
    <d v="1899-12-30T05:45:00"/>
    <n v="15"/>
    <n v="-1"/>
    <x v="4"/>
    <n v="26.3"/>
    <n v="58"/>
    <n v="51"/>
    <n v="11.8"/>
    <x v="1"/>
    <n v="0"/>
    <n v="40"/>
    <x v="0"/>
    <x v="1"/>
    <x v="5"/>
    <x v="1"/>
    <x v="0"/>
    <x v="1"/>
  </r>
  <r>
    <s v="T01825"/>
    <d v="2023-01-20T00:00:00"/>
    <d v="1899-12-30T05:15:00"/>
    <x v="2"/>
    <x v="8"/>
    <s v="Station_45"/>
    <s v="Station_21"/>
    <d v="1899-12-30T05:16:00"/>
    <d v="1899-12-30T06:09:00"/>
    <n v="11"/>
    <n v="26"/>
    <x v="3"/>
    <n v="4.8"/>
    <n v="73"/>
    <n v="49"/>
    <n v="13.7"/>
    <x v="2"/>
    <n v="2000"/>
    <n v="17"/>
    <x v="0"/>
    <x v="1"/>
    <x v="5"/>
    <x v="3"/>
    <x v="1"/>
    <x v="2"/>
  </r>
  <r>
    <s v="T01826"/>
    <d v="2023-01-20T00:00:00"/>
    <d v="1899-12-30T05:30:00"/>
    <x v="3"/>
    <x v="4"/>
    <s v="Station_38"/>
    <s v="Station_6"/>
    <d v="1899-12-30T05:30:00"/>
    <d v="1899-12-30T06:14:00"/>
    <n v="12"/>
    <n v="25"/>
    <x v="0"/>
    <n v="21.8"/>
    <n v="56"/>
    <n v="46"/>
    <n v="18.100000000000001"/>
    <x v="0"/>
    <n v="0"/>
    <n v="59"/>
    <x v="0"/>
    <x v="1"/>
    <x v="5"/>
    <x v="0"/>
    <x v="1"/>
    <x v="1"/>
  </r>
  <r>
    <s v="T01827"/>
    <d v="2023-01-20T00:00:00"/>
    <d v="1899-12-30T05:45:00"/>
    <x v="1"/>
    <x v="3"/>
    <s v="Station_29"/>
    <s v="Station_21"/>
    <d v="1899-12-30T05:49:00"/>
    <d v="1899-12-30T06:19:00"/>
    <n v="0"/>
    <n v="10"/>
    <x v="4"/>
    <n v="7.9"/>
    <n v="84"/>
    <n v="22"/>
    <n v="12.2"/>
    <x v="0"/>
    <n v="0"/>
    <n v="68"/>
    <x v="0"/>
    <x v="1"/>
    <x v="5"/>
    <x v="2"/>
    <x v="1"/>
    <x v="0"/>
  </r>
  <r>
    <s v="T01828"/>
    <d v="2023-01-20T00:00:00"/>
    <d v="1899-12-30T06:00:00"/>
    <x v="3"/>
    <x v="6"/>
    <s v="Station_5"/>
    <s v="Station_39"/>
    <d v="1899-12-30T06:00:00"/>
    <d v="1899-12-30T06:41:00"/>
    <n v="-2"/>
    <n v="24"/>
    <x v="4"/>
    <n v="15.4"/>
    <n v="34"/>
    <n v="31"/>
    <n v="9.1"/>
    <x v="0"/>
    <n v="10000"/>
    <n v="78"/>
    <x v="0"/>
    <x v="1"/>
    <x v="5"/>
    <x v="1"/>
    <x v="1"/>
    <x v="0"/>
  </r>
  <r>
    <s v="T01829"/>
    <d v="2023-01-20T00:00:00"/>
    <d v="1899-12-30T06:15:00"/>
    <x v="2"/>
    <x v="12"/>
    <s v="Station_9"/>
    <s v="Station_24"/>
    <d v="1899-12-30T06:16:00"/>
    <d v="1899-12-30T06:40:00"/>
    <n v="14"/>
    <n v="26"/>
    <x v="3"/>
    <n v="22"/>
    <n v="81"/>
    <n v="25"/>
    <n v="11.4"/>
    <x v="0"/>
    <n v="0"/>
    <n v="58"/>
    <x v="0"/>
    <x v="0"/>
    <x v="5"/>
    <x v="1"/>
    <x v="1"/>
    <x v="1"/>
  </r>
  <r>
    <s v="T01830"/>
    <d v="2023-01-20T00:00:00"/>
    <d v="1899-12-30T06:30:00"/>
    <x v="3"/>
    <x v="4"/>
    <s v="Station_48"/>
    <s v="Station_33"/>
    <d v="1899-12-30T06:33:00"/>
    <d v="1899-12-30T07:04:00"/>
    <n v="0"/>
    <n v="22"/>
    <x v="3"/>
    <n v="18.600000000000001"/>
    <n v="42"/>
    <n v="50"/>
    <n v="4"/>
    <x v="0"/>
    <n v="2000"/>
    <n v="41"/>
    <x v="0"/>
    <x v="0"/>
    <x v="5"/>
    <x v="1"/>
    <x v="1"/>
    <x v="1"/>
  </r>
  <r>
    <s v="T01831"/>
    <d v="2023-01-20T00:00:00"/>
    <d v="1899-12-30T06:45:00"/>
    <x v="2"/>
    <x v="6"/>
    <s v="Station_2"/>
    <s v="Station_18"/>
    <d v="1899-12-30T06:46:00"/>
    <d v="1899-12-30T07:28:00"/>
    <n v="11"/>
    <n v="3"/>
    <x v="2"/>
    <n v="18.100000000000001"/>
    <n v="71"/>
    <n v="26"/>
    <n v="13.8"/>
    <x v="1"/>
    <n v="10000"/>
    <n v="79"/>
    <x v="1"/>
    <x v="1"/>
    <x v="5"/>
    <x v="3"/>
    <x v="0"/>
    <x v="0"/>
  </r>
  <r>
    <s v="T01832"/>
    <d v="2023-01-20T00:00:00"/>
    <d v="1899-12-30T07:00:00"/>
    <x v="1"/>
    <x v="5"/>
    <s v="Station_1"/>
    <s v="Station_28"/>
    <d v="1899-12-30T07:02:00"/>
    <d v="1899-12-30T07:40:00"/>
    <n v="0"/>
    <n v="27"/>
    <x v="4"/>
    <n v="-2.4"/>
    <n v="44"/>
    <n v="44"/>
    <n v="3.7"/>
    <x v="0"/>
    <n v="10000"/>
    <n v="99"/>
    <x v="0"/>
    <x v="1"/>
    <x v="5"/>
    <x v="2"/>
    <x v="1"/>
    <x v="0"/>
  </r>
  <r>
    <s v="T01833"/>
    <d v="2023-01-20T00:00:00"/>
    <d v="1899-12-30T07:15:00"/>
    <x v="0"/>
    <x v="6"/>
    <s v="Station_40"/>
    <s v="Station_32"/>
    <d v="1899-12-30T07:17:00"/>
    <d v="1899-12-30T07:41:00"/>
    <n v="10"/>
    <n v="1"/>
    <x v="2"/>
    <n v="5"/>
    <n v="47"/>
    <n v="11"/>
    <n v="11.1"/>
    <x v="5"/>
    <n v="500"/>
    <n v="35"/>
    <x v="0"/>
    <x v="0"/>
    <x v="5"/>
    <x v="2"/>
    <x v="0"/>
    <x v="1"/>
  </r>
  <r>
    <s v="T01834"/>
    <d v="2023-01-20T00:00:00"/>
    <d v="1899-12-30T07:30:00"/>
    <x v="1"/>
    <x v="18"/>
    <s v="Station_30"/>
    <s v="Station_12"/>
    <d v="1899-12-30T07:32:00"/>
    <d v="1899-12-30T08:18:00"/>
    <n v="12"/>
    <n v="10"/>
    <x v="0"/>
    <n v="17.899999999999999"/>
    <n v="79"/>
    <n v="18"/>
    <n v="13"/>
    <x v="0"/>
    <n v="2000"/>
    <n v="39"/>
    <x v="0"/>
    <x v="1"/>
    <x v="5"/>
    <x v="2"/>
    <x v="1"/>
    <x v="1"/>
  </r>
  <r>
    <s v="T01835"/>
    <d v="2023-01-20T00:00:00"/>
    <d v="1899-12-30T07:45:00"/>
    <x v="3"/>
    <x v="3"/>
    <s v="Station_11"/>
    <s v="Station_48"/>
    <d v="1899-12-30T07:47:00"/>
    <d v="1899-12-30T08:36:00"/>
    <n v="15"/>
    <n v="23"/>
    <x v="1"/>
    <n v="-4.3"/>
    <n v="31"/>
    <n v="18"/>
    <n v="18"/>
    <x v="5"/>
    <n v="2000"/>
    <n v="29"/>
    <x v="0"/>
    <x v="1"/>
    <x v="5"/>
    <x v="3"/>
    <x v="1"/>
    <x v="2"/>
  </r>
  <r>
    <s v="T01836"/>
    <d v="2023-01-20T00:00:00"/>
    <d v="1899-12-30T08:00:00"/>
    <x v="3"/>
    <x v="16"/>
    <s v="Station_28"/>
    <s v="Station_42"/>
    <d v="1899-12-30T08:04:00"/>
    <d v="1899-12-30T08:51:00"/>
    <n v="11"/>
    <n v="20"/>
    <x v="2"/>
    <n v="5"/>
    <n v="42"/>
    <n v="51"/>
    <n v="9"/>
    <x v="0"/>
    <n v="2000"/>
    <n v="86"/>
    <x v="0"/>
    <x v="1"/>
    <x v="5"/>
    <x v="0"/>
    <x v="1"/>
    <x v="0"/>
  </r>
  <r>
    <s v="T01837"/>
    <d v="2023-01-20T00:00:00"/>
    <d v="1899-12-30T08:15:00"/>
    <x v="1"/>
    <x v="17"/>
    <s v="Station_44"/>
    <s v="Station_27"/>
    <d v="1899-12-30T08:18:00"/>
    <d v="1899-12-30T08:39:00"/>
    <n v="18"/>
    <n v="25"/>
    <x v="3"/>
    <n v="4.2"/>
    <n v="97"/>
    <n v="33"/>
    <n v="15.5"/>
    <x v="2"/>
    <n v="0"/>
    <n v="10"/>
    <x v="0"/>
    <x v="0"/>
    <x v="5"/>
    <x v="3"/>
    <x v="1"/>
    <x v="2"/>
  </r>
  <r>
    <s v="T01838"/>
    <d v="2023-01-20T00:00:00"/>
    <d v="1899-12-30T08:30:00"/>
    <x v="1"/>
    <x v="10"/>
    <s v="Station_12"/>
    <s v="Station_10"/>
    <d v="1899-12-30T08:33:00"/>
    <d v="1899-12-30T08:53:00"/>
    <n v="0"/>
    <n v="18"/>
    <x v="5"/>
    <n v="5"/>
    <n v="76"/>
    <n v="31"/>
    <n v="3.4"/>
    <x v="0"/>
    <n v="0"/>
    <n v="24"/>
    <x v="0"/>
    <x v="1"/>
    <x v="5"/>
    <x v="0"/>
    <x v="1"/>
    <x v="2"/>
  </r>
  <r>
    <s v="T01839"/>
    <d v="2023-01-20T00:00:00"/>
    <d v="1899-12-30T08:45:00"/>
    <x v="2"/>
    <x v="0"/>
    <s v="Station_39"/>
    <s v="Station_46"/>
    <d v="1899-12-30T08:46:00"/>
    <d v="1899-12-30T09:26:00"/>
    <n v="16"/>
    <n v="4"/>
    <x v="1"/>
    <n v="16.399999999999999"/>
    <n v="79"/>
    <n v="28"/>
    <n v="3.1"/>
    <x v="1"/>
    <n v="0"/>
    <n v="44"/>
    <x v="0"/>
    <x v="1"/>
    <x v="5"/>
    <x v="3"/>
    <x v="0"/>
    <x v="1"/>
  </r>
  <r>
    <s v="T01840"/>
    <d v="2023-01-20T00:00:00"/>
    <d v="1899-12-30T09:00:00"/>
    <x v="3"/>
    <x v="1"/>
    <s v="Station_26"/>
    <s v="Station_42"/>
    <d v="1899-12-30T09:00:00"/>
    <d v="1899-12-30T09:37:00"/>
    <n v="5"/>
    <n v="11"/>
    <x v="0"/>
    <n v="18.3"/>
    <n v="41"/>
    <n v="20"/>
    <n v="10.5"/>
    <x v="0"/>
    <n v="0"/>
    <n v="50"/>
    <x v="1"/>
    <x v="1"/>
    <x v="5"/>
    <x v="2"/>
    <x v="1"/>
    <x v="1"/>
  </r>
  <r>
    <s v="T01841"/>
    <d v="2023-01-20T00:00:00"/>
    <d v="1899-12-30T09:15:00"/>
    <x v="3"/>
    <x v="17"/>
    <s v="Station_13"/>
    <s v="Station_32"/>
    <d v="1899-12-30T09:16:00"/>
    <d v="1899-12-30T10:09:00"/>
    <n v="1"/>
    <n v="1"/>
    <x v="3"/>
    <n v="31.4"/>
    <n v="42"/>
    <n v="34"/>
    <n v="11.9"/>
    <x v="0"/>
    <n v="0"/>
    <n v="42"/>
    <x v="0"/>
    <x v="0"/>
    <x v="5"/>
    <x v="2"/>
    <x v="0"/>
    <x v="1"/>
  </r>
  <r>
    <s v="T01842"/>
    <d v="2023-01-20T00:00:00"/>
    <d v="1899-12-30T09:30:00"/>
    <x v="1"/>
    <x v="12"/>
    <s v="Station_8"/>
    <s v="Station_42"/>
    <d v="1899-12-30T09:31:00"/>
    <d v="1899-12-30T10:06:00"/>
    <n v="1"/>
    <n v="0"/>
    <x v="1"/>
    <n v="10.4"/>
    <n v="38"/>
    <n v="41"/>
    <n v="12.6"/>
    <x v="0"/>
    <n v="0"/>
    <n v="65"/>
    <x v="0"/>
    <x v="0"/>
    <x v="5"/>
    <x v="2"/>
    <x v="0"/>
    <x v="1"/>
  </r>
  <r>
    <s v="T01843"/>
    <d v="2023-01-20T00:00:00"/>
    <d v="1899-12-30T09:45:00"/>
    <x v="0"/>
    <x v="6"/>
    <s v="Station_28"/>
    <s v="Station_26"/>
    <d v="1899-12-30T09:46:00"/>
    <d v="1899-12-30T10:28:00"/>
    <n v="16"/>
    <n v="7"/>
    <x v="3"/>
    <n v="32.1"/>
    <n v="88"/>
    <n v="4"/>
    <n v="14.9"/>
    <x v="0"/>
    <n v="50000"/>
    <n v="98"/>
    <x v="0"/>
    <x v="1"/>
    <x v="5"/>
    <x v="3"/>
    <x v="1"/>
    <x v="0"/>
  </r>
  <r>
    <s v="T01844"/>
    <d v="2023-01-20T00:00:00"/>
    <d v="1899-12-30T10:00:00"/>
    <x v="3"/>
    <x v="5"/>
    <s v="Station_30"/>
    <s v="Station_25"/>
    <d v="1899-12-30T10:01:00"/>
    <d v="1899-12-30T10:21:00"/>
    <n v="8"/>
    <n v="14"/>
    <x v="2"/>
    <n v="21.1"/>
    <n v="74"/>
    <n v="11"/>
    <n v="5.9"/>
    <x v="4"/>
    <n v="50000"/>
    <n v="46"/>
    <x v="0"/>
    <x v="0"/>
    <x v="5"/>
    <x v="1"/>
    <x v="1"/>
    <x v="1"/>
  </r>
  <r>
    <s v="T01845"/>
    <d v="2023-01-20T00:00:00"/>
    <d v="1899-12-30T10:15:00"/>
    <x v="0"/>
    <x v="14"/>
    <s v="Station_9"/>
    <s v="Station_11"/>
    <d v="1899-12-30T10:18:00"/>
    <d v="1899-12-30T10:47:00"/>
    <n v="-2"/>
    <n v="26"/>
    <x v="3"/>
    <n v="31.5"/>
    <n v="99"/>
    <n v="6"/>
    <n v="12.5"/>
    <x v="0"/>
    <n v="2000"/>
    <n v="23"/>
    <x v="0"/>
    <x v="1"/>
    <x v="5"/>
    <x v="3"/>
    <x v="1"/>
    <x v="2"/>
  </r>
  <r>
    <s v="T01846"/>
    <d v="2023-01-20T00:00:00"/>
    <d v="1899-12-30T10:30:00"/>
    <x v="1"/>
    <x v="9"/>
    <s v="Station_39"/>
    <s v="Station_23"/>
    <d v="1899-12-30T10:30:00"/>
    <d v="1899-12-30T11:04:00"/>
    <n v="5"/>
    <n v="11"/>
    <x v="0"/>
    <n v="28.3"/>
    <n v="72"/>
    <n v="40"/>
    <n v="3.8"/>
    <x v="4"/>
    <n v="50000"/>
    <n v="76"/>
    <x v="0"/>
    <x v="1"/>
    <x v="5"/>
    <x v="0"/>
    <x v="1"/>
    <x v="0"/>
  </r>
  <r>
    <s v="T01847"/>
    <d v="2023-01-20T00:00:00"/>
    <d v="1899-12-30T10:45:00"/>
    <x v="1"/>
    <x v="13"/>
    <s v="Station_31"/>
    <s v="Station_34"/>
    <d v="1899-12-30T10:46:00"/>
    <d v="1899-12-30T11:09:00"/>
    <n v="12"/>
    <n v="2"/>
    <x v="5"/>
    <n v="22.5"/>
    <n v="52"/>
    <n v="1"/>
    <n v="4.4000000000000004"/>
    <x v="0"/>
    <n v="50000"/>
    <n v="36"/>
    <x v="0"/>
    <x v="0"/>
    <x v="5"/>
    <x v="3"/>
    <x v="0"/>
    <x v="1"/>
  </r>
  <r>
    <s v="T01848"/>
    <d v="2023-01-20T00:00:00"/>
    <d v="1899-12-30T11:00:00"/>
    <x v="2"/>
    <x v="1"/>
    <s v="Station_21"/>
    <s v="Station_40"/>
    <d v="1899-12-30T11:03:00"/>
    <d v="1899-12-30T11:22:00"/>
    <n v="-2"/>
    <n v="12"/>
    <x v="2"/>
    <n v="9.1999999999999993"/>
    <n v="74"/>
    <n v="24"/>
    <n v="1.3"/>
    <x v="0"/>
    <n v="10000"/>
    <n v="55"/>
    <x v="0"/>
    <x v="1"/>
    <x v="5"/>
    <x v="0"/>
    <x v="1"/>
    <x v="1"/>
  </r>
  <r>
    <s v="T01849"/>
    <d v="2023-01-20T00:00:00"/>
    <d v="1899-12-30T11:15:00"/>
    <x v="3"/>
    <x v="7"/>
    <s v="Station_47"/>
    <s v="Station_23"/>
    <d v="1899-12-30T11:16:00"/>
    <d v="1899-12-30T12:11:00"/>
    <n v="4"/>
    <n v="5"/>
    <x v="2"/>
    <n v="4.5999999999999996"/>
    <n v="52"/>
    <n v="9"/>
    <n v="14.9"/>
    <x v="2"/>
    <n v="0"/>
    <n v="93"/>
    <x v="0"/>
    <x v="1"/>
    <x v="5"/>
    <x v="3"/>
    <x v="0"/>
    <x v="0"/>
  </r>
  <r>
    <s v="T01850"/>
    <d v="2023-01-20T00:00:00"/>
    <d v="1899-12-30T11:30:00"/>
    <x v="0"/>
    <x v="5"/>
    <s v="Station_34"/>
    <s v="Station_29"/>
    <d v="1899-12-30T11:32:00"/>
    <d v="1899-12-30T12:26:00"/>
    <n v="18"/>
    <n v="23"/>
    <x v="0"/>
    <n v="3.9"/>
    <n v="63"/>
    <n v="37"/>
    <n v="10.1"/>
    <x v="1"/>
    <n v="0"/>
    <n v="74"/>
    <x v="0"/>
    <x v="1"/>
    <x v="5"/>
    <x v="1"/>
    <x v="1"/>
    <x v="0"/>
  </r>
  <r>
    <s v="T01851"/>
    <d v="2023-01-20T00:00:00"/>
    <d v="1899-12-30T11:45:00"/>
    <x v="2"/>
    <x v="3"/>
    <s v="Station_31"/>
    <s v="Station_31"/>
    <d v="1899-12-30T11:46:00"/>
    <d v="1899-12-30T12:41:00"/>
    <n v="17"/>
    <n v="9"/>
    <x v="0"/>
    <n v="33.1"/>
    <n v="45"/>
    <n v="43"/>
    <n v="4.8"/>
    <x v="0"/>
    <n v="0"/>
    <n v="86"/>
    <x v="0"/>
    <x v="0"/>
    <x v="5"/>
    <x v="1"/>
    <x v="1"/>
    <x v="0"/>
  </r>
  <r>
    <s v="T01852"/>
    <d v="2023-01-20T00:00:00"/>
    <d v="1899-12-30T12:00:00"/>
    <x v="3"/>
    <x v="3"/>
    <s v="Station_25"/>
    <s v="Station_7"/>
    <d v="1899-12-30T12:01:00"/>
    <d v="1899-12-30T12:22:00"/>
    <n v="17"/>
    <n v="23"/>
    <x v="1"/>
    <n v="33.299999999999997"/>
    <n v="92"/>
    <n v="5"/>
    <n v="11.1"/>
    <x v="4"/>
    <n v="0"/>
    <n v="45"/>
    <x v="0"/>
    <x v="0"/>
    <x v="5"/>
    <x v="2"/>
    <x v="1"/>
    <x v="1"/>
  </r>
  <r>
    <s v="T01853"/>
    <d v="2023-01-20T00:00:00"/>
    <d v="1899-12-30T12:15:00"/>
    <x v="2"/>
    <x v="2"/>
    <s v="Station_12"/>
    <s v="Station_40"/>
    <d v="1899-12-30T12:19:00"/>
    <d v="1899-12-30T13:09:00"/>
    <n v="8"/>
    <n v="5"/>
    <x v="5"/>
    <n v="24"/>
    <n v="80"/>
    <n v="26"/>
    <n v="7.1"/>
    <x v="2"/>
    <n v="10000"/>
    <n v="27"/>
    <x v="0"/>
    <x v="0"/>
    <x v="5"/>
    <x v="1"/>
    <x v="0"/>
    <x v="2"/>
  </r>
  <r>
    <s v="T01854"/>
    <d v="2023-01-20T00:00:00"/>
    <d v="1899-12-30T12:30:00"/>
    <x v="1"/>
    <x v="1"/>
    <s v="Station_1"/>
    <s v="Station_33"/>
    <d v="1899-12-30T12:32:00"/>
    <d v="1899-12-30T13:12:00"/>
    <n v="11"/>
    <n v="1"/>
    <x v="3"/>
    <n v="30.4"/>
    <n v="61"/>
    <n v="34"/>
    <n v="16.7"/>
    <x v="5"/>
    <n v="0"/>
    <n v="92"/>
    <x v="0"/>
    <x v="1"/>
    <x v="5"/>
    <x v="3"/>
    <x v="0"/>
    <x v="0"/>
  </r>
  <r>
    <s v="T01855"/>
    <d v="2023-01-20T00:00:00"/>
    <d v="1899-12-30T12:45:00"/>
    <x v="3"/>
    <x v="1"/>
    <s v="Station_22"/>
    <s v="Station_21"/>
    <d v="1899-12-30T12:45:00"/>
    <d v="1899-12-30T13:32:00"/>
    <n v="19"/>
    <n v="18"/>
    <x v="1"/>
    <n v="31.8"/>
    <n v="67"/>
    <n v="9"/>
    <n v="10.6"/>
    <x v="0"/>
    <n v="0"/>
    <n v="51"/>
    <x v="0"/>
    <x v="0"/>
    <x v="5"/>
    <x v="1"/>
    <x v="1"/>
    <x v="1"/>
  </r>
  <r>
    <s v="T01856"/>
    <d v="2023-01-20T00:00:00"/>
    <d v="1899-12-30T13:00:00"/>
    <x v="2"/>
    <x v="14"/>
    <s v="Station_40"/>
    <s v="Station_2"/>
    <d v="1899-12-30T13:01:00"/>
    <d v="1899-12-30T13:49:00"/>
    <n v="13"/>
    <n v="27"/>
    <x v="3"/>
    <n v="15.5"/>
    <n v="85"/>
    <n v="8"/>
    <n v="0.6"/>
    <x v="2"/>
    <n v="0"/>
    <n v="14"/>
    <x v="0"/>
    <x v="1"/>
    <x v="5"/>
    <x v="2"/>
    <x v="1"/>
    <x v="2"/>
  </r>
  <r>
    <s v="T01857"/>
    <d v="2023-01-20T00:00:00"/>
    <d v="1899-12-30T13:15:00"/>
    <x v="2"/>
    <x v="7"/>
    <s v="Station_37"/>
    <s v="Station_18"/>
    <d v="1899-12-30T13:15:00"/>
    <d v="1899-12-30T13:52:00"/>
    <n v="11"/>
    <n v="-1"/>
    <x v="3"/>
    <n v="20.2"/>
    <n v="98"/>
    <n v="19"/>
    <n v="19.7"/>
    <x v="0"/>
    <n v="0"/>
    <n v="44"/>
    <x v="0"/>
    <x v="1"/>
    <x v="5"/>
    <x v="3"/>
    <x v="0"/>
    <x v="1"/>
  </r>
  <r>
    <s v="T01858"/>
    <d v="2023-01-20T00:00:00"/>
    <d v="1899-12-30T13:30:00"/>
    <x v="0"/>
    <x v="18"/>
    <s v="Station_47"/>
    <s v="Station_47"/>
    <d v="1899-12-30T13:32:00"/>
    <d v="1899-12-30T14:25:00"/>
    <n v="9"/>
    <n v="26"/>
    <x v="3"/>
    <n v="11.8"/>
    <n v="46"/>
    <n v="36"/>
    <n v="1.5"/>
    <x v="1"/>
    <n v="0"/>
    <n v="57"/>
    <x v="0"/>
    <x v="0"/>
    <x v="5"/>
    <x v="0"/>
    <x v="1"/>
    <x v="1"/>
  </r>
  <r>
    <s v="T01859"/>
    <d v="2023-01-20T00:00:00"/>
    <d v="1899-12-30T13:45:00"/>
    <x v="2"/>
    <x v="7"/>
    <s v="Station_1"/>
    <s v="Station_33"/>
    <d v="1899-12-30T13:46:00"/>
    <d v="1899-12-30T14:37:00"/>
    <n v="14"/>
    <n v="17"/>
    <x v="1"/>
    <n v="11.7"/>
    <n v="68"/>
    <n v="34"/>
    <n v="13.9"/>
    <x v="0"/>
    <n v="2000"/>
    <n v="66"/>
    <x v="0"/>
    <x v="1"/>
    <x v="5"/>
    <x v="3"/>
    <x v="1"/>
    <x v="1"/>
  </r>
  <r>
    <s v="T01860"/>
    <d v="2023-01-20T00:00:00"/>
    <d v="1899-12-30T14:00:00"/>
    <x v="3"/>
    <x v="17"/>
    <s v="Station_1"/>
    <s v="Station_37"/>
    <d v="1899-12-30T14:04:00"/>
    <d v="1899-12-30T14:45:00"/>
    <n v="11"/>
    <n v="2"/>
    <x v="2"/>
    <n v="-3.5"/>
    <n v="70"/>
    <n v="36"/>
    <n v="8.6999999999999993"/>
    <x v="4"/>
    <n v="0"/>
    <n v="72"/>
    <x v="0"/>
    <x v="1"/>
    <x v="5"/>
    <x v="2"/>
    <x v="0"/>
    <x v="0"/>
  </r>
  <r>
    <s v="T01861"/>
    <d v="2023-01-20T00:00:00"/>
    <d v="1899-12-30T14:15:00"/>
    <x v="3"/>
    <x v="19"/>
    <s v="Station_42"/>
    <s v="Station_34"/>
    <d v="1899-12-30T14:18:00"/>
    <d v="1899-12-30T15:14:00"/>
    <n v="7"/>
    <n v="24"/>
    <x v="0"/>
    <n v="12.4"/>
    <n v="77"/>
    <n v="39"/>
    <n v="5"/>
    <x v="4"/>
    <n v="0"/>
    <n v="71"/>
    <x v="1"/>
    <x v="1"/>
    <x v="5"/>
    <x v="1"/>
    <x v="1"/>
    <x v="0"/>
  </r>
  <r>
    <s v="T01862"/>
    <d v="2023-01-20T00:00:00"/>
    <d v="1899-12-30T14:30:00"/>
    <x v="0"/>
    <x v="0"/>
    <s v="Station_42"/>
    <s v="Station_20"/>
    <d v="1899-12-30T14:34:00"/>
    <d v="1899-12-30T15:06:00"/>
    <n v="11"/>
    <n v="28"/>
    <x v="2"/>
    <n v="21.9"/>
    <n v="57"/>
    <n v="7"/>
    <n v="13.5"/>
    <x v="0"/>
    <n v="2000"/>
    <n v="96"/>
    <x v="1"/>
    <x v="1"/>
    <x v="5"/>
    <x v="1"/>
    <x v="1"/>
    <x v="0"/>
  </r>
  <r>
    <s v="T01863"/>
    <d v="2023-01-20T00:00:00"/>
    <d v="1899-12-30T14:45:00"/>
    <x v="3"/>
    <x v="17"/>
    <s v="Station_21"/>
    <s v="Station_35"/>
    <d v="1899-12-30T14:49:00"/>
    <d v="1899-12-30T15:44:00"/>
    <n v="15"/>
    <n v="21"/>
    <x v="5"/>
    <n v="11.9"/>
    <n v="79"/>
    <n v="45"/>
    <n v="2.5"/>
    <x v="0"/>
    <n v="2000"/>
    <n v="97"/>
    <x v="1"/>
    <x v="1"/>
    <x v="5"/>
    <x v="3"/>
    <x v="1"/>
    <x v="0"/>
  </r>
  <r>
    <s v="T01864"/>
    <d v="2023-01-20T00:00:00"/>
    <d v="1899-12-30T15:00:00"/>
    <x v="1"/>
    <x v="3"/>
    <s v="Station_15"/>
    <s v="Station_50"/>
    <d v="1899-12-30T15:03:00"/>
    <d v="1899-12-30T15:26:00"/>
    <n v="19"/>
    <n v="28"/>
    <x v="1"/>
    <n v="29.9"/>
    <n v="30"/>
    <n v="55"/>
    <n v="17.2"/>
    <x v="1"/>
    <n v="0"/>
    <n v="72"/>
    <x v="0"/>
    <x v="1"/>
    <x v="5"/>
    <x v="0"/>
    <x v="1"/>
    <x v="0"/>
  </r>
  <r>
    <s v="T01865"/>
    <d v="2023-01-20T00:00:00"/>
    <d v="1899-12-30T15:15:00"/>
    <x v="3"/>
    <x v="8"/>
    <s v="Station_17"/>
    <s v="Station_18"/>
    <d v="1899-12-30T15:18:00"/>
    <d v="1899-12-30T15:42:00"/>
    <n v="6"/>
    <n v="18"/>
    <x v="5"/>
    <n v="8.3000000000000007"/>
    <n v="79"/>
    <n v="53"/>
    <n v="5"/>
    <x v="0"/>
    <n v="0"/>
    <n v="80"/>
    <x v="1"/>
    <x v="1"/>
    <x v="5"/>
    <x v="0"/>
    <x v="1"/>
    <x v="0"/>
  </r>
  <r>
    <s v="T01866"/>
    <d v="2023-01-20T00:00:00"/>
    <d v="1899-12-30T15:30:00"/>
    <x v="3"/>
    <x v="5"/>
    <s v="Station_22"/>
    <s v="Station_46"/>
    <d v="1899-12-30T15:33:00"/>
    <d v="1899-12-30T16:20:00"/>
    <n v="14"/>
    <n v="20"/>
    <x v="0"/>
    <n v="0.3"/>
    <n v="48"/>
    <n v="30"/>
    <n v="7.2"/>
    <x v="0"/>
    <n v="0"/>
    <n v="40"/>
    <x v="0"/>
    <x v="1"/>
    <x v="5"/>
    <x v="0"/>
    <x v="1"/>
    <x v="1"/>
  </r>
  <r>
    <s v="T01867"/>
    <d v="2023-01-20T00:00:00"/>
    <d v="1899-12-30T15:45:00"/>
    <x v="2"/>
    <x v="3"/>
    <s v="Station_38"/>
    <s v="Station_24"/>
    <d v="1899-12-30T15:46:00"/>
    <d v="1899-12-30T16:16:00"/>
    <n v="3"/>
    <n v="26"/>
    <x v="0"/>
    <n v="27.5"/>
    <n v="88"/>
    <n v="48"/>
    <n v="12.7"/>
    <x v="0"/>
    <n v="2000"/>
    <n v="64"/>
    <x v="0"/>
    <x v="0"/>
    <x v="5"/>
    <x v="0"/>
    <x v="1"/>
    <x v="1"/>
  </r>
  <r>
    <s v="T01868"/>
    <d v="2023-01-20T00:00:00"/>
    <d v="1899-12-30T16:00:00"/>
    <x v="2"/>
    <x v="13"/>
    <s v="Station_35"/>
    <s v="Station_8"/>
    <d v="1899-12-30T16:00:00"/>
    <d v="1899-12-30T16:50:00"/>
    <n v="5"/>
    <n v="28"/>
    <x v="4"/>
    <n v="22"/>
    <n v="97"/>
    <n v="42"/>
    <n v="0"/>
    <x v="4"/>
    <n v="0"/>
    <n v="39"/>
    <x v="1"/>
    <x v="1"/>
    <x v="5"/>
    <x v="3"/>
    <x v="1"/>
    <x v="1"/>
  </r>
  <r>
    <s v="T01869"/>
    <d v="2023-01-20T00:00:00"/>
    <d v="1899-12-30T16:15:00"/>
    <x v="3"/>
    <x v="8"/>
    <s v="Station_45"/>
    <s v="Station_30"/>
    <d v="1899-12-30T16:15:00"/>
    <d v="1899-12-30T16:53:00"/>
    <n v="10"/>
    <n v="27"/>
    <x v="5"/>
    <n v="4.7"/>
    <n v="96"/>
    <n v="57"/>
    <n v="9.5"/>
    <x v="2"/>
    <n v="0"/>
    <n v="4"/>
    <x v="1"/>
    <x v="1"/>
    <x v="5"/>
    <x v="1"/>
    <x v="1"/>
    <x v="2"/>
  </r>
  <r>
    <s v="T01870"/>
    <d v="2023-01-20T00:00:00"/>
    <d v="1899-12-30T16:30:00"/>
    <x v="0"/>
    <x v="3"/>
    <s v="Station_16"/>
    <s v="Station_44"/>
    <d v="1899-12-30T16:33:00"/>
    <d v="1899-12-30T16:59:00"/>
    <n v="15"/>
    <n v="19"/>
    <x v="2"/>
    <n v="16.5"/>
    <n v="70"/>
    <n v="15"/>
    <n v="17.899999999999999"/>
    <x v="1"/>
    <n v="0"/>
    <n v="93"/>
    <x v="0"/>
    <x v="1"/>
    <x v="5"/>
    <x v="0"/>
    <x v="1"/>
    <x v="0"/>
  </r>
  <r>
    <s v="T01871"/>
    <d v="2023-01-20T00:00:00"/>
    <d v="1899-12-30T16:45:00"/>
    <x v="2"/>
    <x v="0"/>
    <s v="Station_8"/>
    <s v="Station_10"/>
    <d v="1899-12-30T16:49:00"/>
    <d v="1899-12-30T17:43:00"/>
    <n v="2"/>
    <n v="29"/>
    <x v="5"/>
    <n v="11.1"/>
    <n v="39"/>
    <n v="27"/>
    <n v="13.6"/>
    <x v="0"/>
    <n v="2000"/>
    <n v="74"/>
    <x v="0"/>
    <x v="0"/>
    <x v="5"/>
    <x v="3"/>
    <x v="1"/>
    <x v="0"/>
  </r>
  <r>
    <s v="T01872"/>
    <d v="2023-01-20T00:00:00"/>
    <d v="1899-12-30T17:00:00"/>
    <x v="0"/>
    <x v="0"/>
    <s v="Station_47"/>
    <s v="Station_23"/>
    <d v="1899-12-30T17:02:00"/>
    <d v="1899-12-30T17:31:00"/>
    <n v="3"/>
    <n v="21"/>
    <x v="1"/>
    <n v="32.6"/>
    <n v="57"/>
    <n v="5"/>
    <n v="7.8"/>
    <x v="0"/>
    <n v="0"/>
    <n v="27"/>
    <x v="0"/>
    <x v="1"/>
    <x v="5"/>
    <x v="3"/>
    <x v="1"/>
    <x v="2"/>
  </r>
  <r>
    <s v="T01873"/>
    <d v="2023-01-20T00:00:00"/>
    <d v="1899-12-30T17:15:00"/>
    <x v="3"/>
    <x v="18"/>
    <s v="Station_17"/>
    <s v="Station_49"/>
    <d v="1899-12-30T17:18:00"/>
    <d v="1899-12-30T17:54:00"/>
    <n v="18"/>
    <n v="20"/>
    <x v="0"/>
    <n v="19.3"/>
    <n v="63"/>
    <n v="31"/>
    <n v="13.2"/>
    <x v="0"/>
    <n v="0"/>
    <n v="37"/>
    <x v="0"/>
    <x v="1"/>
    <x v="5"/>
    <x v="3"/>
    <x v="1"/>
    <x v="1"/>
  </r>
  <r>
    <s v="T01874"/>
    <d v="2023-01-20T00:00:00"/>
    <d v="1899-12-30T17:30:00"/>
    <x v="3"/>
    <x v="12"/>
    <s v="Station_17"/>
    <s v="Station_11"/>
    <d v="1899-12-30T17:34:00"/>
    <d v="1899-12-30T18:26:00"/>
    <n v="16"/>
    <n v="27"/>
    <x v="0"/>
    <n v="1.3"/>
    <n v="68"/>
    <n v="27"/>
    <n v="18.7"/>
    <x v="3"/>
    <n v="500"/>
    <n v="80"/>
    <x v="0"/>
    <x v="0"/>
    <x v="5"/>
    <x v="0"/>
    <x v="1"/>
    <x v="0"/>
  </r>
  <r>
    <s v="T01875"/>
    <d v="2023-01-20T00:00:00"/>
    <d v="1899-12-30T17:45:00"/>
    <x v="1"/>
    <x v="10"/>
    <s v="Station_26"/>
    <s v="Station_2"/>
    <d v="1899-12-30T17:49:00"/>
    <d v="1899-12-30T18:11:00"/>
    <n v="1"/>
    <n v="9"/>
    <x v="5"/>
    <n v="15.1"/>
    <n v="85"/>
    <n v="10"/>
    <n v="3.8"/>
    <x v="0"/>
    <n v="0"/>
    <n v="86"/>
    <x v="0"/>
    <x v="1"/>
    <x v="5"/>
    <x v="0"/>
    <x v="1"/>
    <x v="0"/>
  </r>
  <r>
    <s v="T01876"/>
    <d v="2023-01-20T00:00:00"/>
    <d v="1899-12-30T18:00:00"/>
    <x v="2"/>
    <x v="15"/>
    <s v="Station_13"/>
    <s v="Station_26"/>
    <d v="1899-12-30T18:01:00"/>
    <d v="1899-12-30T18:33:00"/>
    <n v="4"/>
    <n v="6"/>
    <x v="5"/>
    <n v="29.5"/>
    <n v="81"/>
    <n v="41"/>
    <n v="10.6"/>
    <x v="0"/>
    <n v="0"/>
    <n v="17"/>
    <x v="0"/>
    <x v="0"/>
    <x v="5"/>
    <x v="3"/>
    <x v="1"/>
    <x v="2"/>
  </r>
  <r>
    <s v="T01877"/>
    <d v="2023-01-20T00:00:00"/>
    <d v="1899-12-30T18:15:00"/>
    <x v="3"/>
    <x v="2"/>
    <s v="Station_17"/>
    <s v="Station_36"/>
    <d v="1899-12-30T18:16:00"/>
    <d v="1899-12-30T18:45:00"/>
    <n v="1"/>
    <n v="19"/>
    <x v="3"/>
    <n v="21.9"/>
    <n v="32"/>
    <n v="22"/>
    <n v="4.7"/>
    <x v="4"/>
    <n v="0"/>
    <n v="36"/>
    <x v="0"/>
    <x v="1"/>
    <x v="5"/>
    <x v="3"/>
    <x v="1"/>
    <x v="1"/>
  </r>
  <r>
    <s v="T01878"/>
    <d v="2023-01-20T00:00:00"/>
    <d v="1899-12-30T18:30:00"/>
    <x v="1"/>
    <x v="9"/>
    <s v="Station_38"/>
    <s v="Station_33"/>
    <d v="1899-12-30T18:30:00"/>
    <d v="1899-12-30T18:56:00"/>
    <n v="8"/>
    <n v="14"/>
    <x v="5"/>
    <n v="28.7"/>
    <n v="52"/>
    <n v="29"/>
    <n v="17.100000000000001"/>
    <x v="5"/>
    <n v="0"/>
    <n v="26"/>
    <x v="0"/>
    <x v="1"/>
    <x v="5"/>
    <x v="3"/>
    <x v="1"/>
    <x v="2"/>
  </r>
  <r>
    <s v="T01879"/>
    <d v="2023-01-20T00:00:00"/>
    <d v="1899-12-30T18:45:00"/>
    <x v="2"/>
    <x v="4"/>
    <s v="Station_17"/>
    <s v="Station_47"/>
    <d v="1899-12-30T18:45:00"/>
    <d v="1899-12-30T19:33:00"/>
    <n v="9"/>
    <n v="28"/>
    <x v="3"/>
    <n v="5"/>
    <n v="46"/>
    <n v="8"/>
    <n v="14.4"/>
    <x v="0"/>
    <n v="10000"/>
    <n v="24"/>
    <x v="1"/>
    <x v="1"/>
    <x v="5"/>
    <x v="1"/>
    <x v="1"/>
    <x v="2"/>
  </r>
  <r>
    <s v="T01880"/>
    <d v="2023-01-20T00:00:00"/>
    <d v="1899-12-30T19:00:00"/>
    <x v="3"/>
    <x v="14"/>
    <s v="Station_48"/>
    <s v="Station_13"/>
    <d v="1899-12-30T19:02:00"/>
    <d v="1899-12-30T19:29:00"/>
    <n v="11"/>
    <n v="29"/>
    <x v="1"/>
    <n v="30.5"/>
    <n v="55"/>
    <n v="27"/>
    <n v="16"/>
    <x v="0"/>
    <n v="0"/>
    <n v="68"/>
    <x v="0"/>
    <x v="1"/>
    <x v="5"/>
    <x v="1"/>
    <x v="1"/>
    <x v="0"/>
  </r>
  <r>
    <s v="T01881"/>
    <d v="2023-01-20T00:00:00"/>
    <d v="1899-12-30T19:15:00"/>
    <x v="3"/>
    <x v="10"/>
    <s v="Station_14"/>
    <s v="Station_40"/>
    <d v="1899-12-30T19:17:00"/>
    <d v="1899-12-30T20:03:00"/>
    <n v="10"/>
    <n v="24"/>
    <x v="1"/>
    <n v="25.2"/>
    <n v="47"/>
    <n v="23"/>
    <n v="18.899999999999999"/>
    <x v="0"/>
    <n v="2000"/>
    <n v="82"/>
    <x v="0"/>
    <x v="0"/>
    <x v="5"/>
    <x v="2"/>
    <x v="1"/>
    <x v="0"/>
  </r>
  <r>
    <s v="T01882"/>
    <d v="2023-01-20T00:00:00"/>
    <d v="1899-12-30T19:30:00"/>
    <x v="2"/>
    <x v="5"/>
    <s v="Station_45"/>
    <s v="Station_25"/>
    <d v="1899-12-30T19:32:00"/>
    <d v="1899-12-30T19:58:00"/>
    <n v="7"/>
    <n v="12"/>
    <x v="2"/>
    <n v="24.2"/>
    <n v="75"/>
    <n v="58"/>
    <n v="4.5999999999999996"/>
    <x v="4"/>
    <n v="0"/>
    <n v="26"/>
    <x v="0"/>
    <x v="0"/>
    <x v="5"/>
    <x v="2"/>
    <x v="1"/>
    <x v="2"/>
  </r>
  <r>
    <s v="T01883"/>
    <d v="2023-01-20T00:00:00"/>
    <d v="1899-12-30T19:45:00"/>
    <x v="2"/>
    <x v="5"/>
    <s v="Station_6"/>
    <s v="Station_4"/>
    <d v="1899-12-30T19:47:00"/>
    <d v="1899-12-30T20:40:00"/>
    <n v="15"/>
    <n v="12"/>
    <x v="5"/>
    <n v="8.9"/>
    <n v="99"/>
    <n v="27"/>
    <n v="1"/>
    <x v="0"/>
    <n v="0"/>
    <n v="76"/>
    <x v="0"/>
    <x v="0"/>
    <x v="5"/>
    <x v="0"/>
    <x v="1"/>
    <x v="0"/>
  </r>
  <r>
    <s v="T01884"/>
    <d v="2023-01-20T00:00:00"/>
    <d v="1899-12-30T20:00:00"/>
    <x v="2"/>
    <x v="5"/>
    <s v="Station_35"/>
    <s v="Station_42"/>
    <d v="1899-12-30T20:04:00"/>
    <d v="1899-12-30T20:29:00"/>
    <n v="13"/>
    <n v="14"/>
    <x v="2"/>
    <n v="30.5"/>
    <n v="60"/>
    <n v="23"/>
    <n v="5.8"/>
    <x v="4"/>
    <n v="0"/>
    <n v="53"/>
    <x v="0"/>
    <x v="0"/>
    <x v="5"/>
    <x v="1"/>
    <x v="1"/>
    <x v="1"/>
  </r>
  <r>
    <s v="T01885"/>
    <d v="2023-01-20T00:00:00"/>
    <d v="1899-12-30T20:15:00"/>
    <x v="3"/>
    <x v="19"/>
    <s v="Station_46"/>
    <s v="Station_19"/>
    <d v="1899-12-30T20:19:00"/>
    <d v="1899-12-30T20:53:00"/>
    <n v="2"/>
    <n v="4"/>
    <x v="4"/>
    <n v="20.5"/>
    <n v="38"/>
    <n v="14"/>
    <n v="8"/>
    <x v="0"/>
    <n v="500"/>
    <n v="6"/>
    <x v="0"/>
    <x v="0"/>
    <x v="5"/>
    <x v="2"/>
    <x v="0"/>
    <x v="2"/>
  </r>
  <r>
    <s v="T01886"/>
    <d v="2023-01-20T00:00:00"/>
    <d v="1899-12-30T20:30:00"/>
    <x v="3"/>
    <x v="4"/>
    <s v="Station_14"/>
    <s v="Station_18"/>
    <d v="1899-12-30T20:30:00"/>
    <d v="1899-12-30T21:20:00"/>
    <n v="5"/>
    <n v="12"/>
    <x v="1"/>
    <n v="29.1"/>
    <n v="64"/>
    <n v="38"/>
    <n v="12.5"/>
    <x v="2"/>
    <n v="0"/>
    <n v="89"/>
    <x v="1"/>
    <x v="1"/>
    <x v="5"/>
    <x v="3"/>
    <x v="1"/>
    <x v="0"/>
  </r>
  <r>
    <s v="T01887"/>
    <d v="2023-01-20T00:00:00"/>
    <d v="1899-12-30T20:45:00"/>
    <x v="1"/>
    <x v="3"/>
    <s v="Station_47"/>
    <s v="Station_37"/>
    <d v="1899-12-30T20:46:00"/>
    <d v="1899-12-30T21:21:00"/>
    <n v="11"/>
    <n v="7"/>
    <x v="0"/>
    <n v="9.4"/>
    <n v="89"/>
    <n v="49"/>
    <n v="16"/>
    <x v="0"/>
    <n v="0"/>
    <n v="77"/>
    <x v="0"/>
    <x v="0"/>
    <x v="5"/>
    <x v="3"/>
    <x v="1"/>
    <x v="0"/>
  </r>
  <r>
    <s v="T01888"/>
    <d v="2023-01-20T00:00:00"/>
    <d v="1899-12-30T21:00:00"/>
    <x v="0"/>
    <x v="7"/>
    <s v="Station_8"/>
    <s v="Station_30"/>
    <d v="1899-12-30T21:01:00"/>
    <d v="1899-12-30T21:28:00"/>
    <n v="2"/>
    <n v="2"/>
    <x v="3"/>
    <n v="0.8"/>
    <n v="92"/>
    <n v="32"/>
    <n v="7"/>
    <x v="0"/>
    <n v="2000"/>
    <n v="26"/>
    <x v="0"/>
    <x v="1"/>
    <x v="5"/>
    <x v="0"/>
    <x v="0"/>
    <x v="2"/>
  </r>
  <r>
    <s v="T01889"/>
    <d v="2023-01-20T00:00:00"/>
    <d v="1899-12-30T21:15:00"/>
    <x v="2"/>
    <x v="15"/>
    <s v="Station_15"/>
    <s v="Station_19"/>
    <d v="1899-12-30T21:18:00"/>
    <d v="1899-12-30T22:07:00"/>
    <n v="5"/>
    <n v="-3"/>
    <x v="4"/>
    <n v="8.3000000000000007"/>
    <n v="81"/>
    <n v="46"/>
    <n v="9.5"/>
    <x v="1"/>
    <n v="50000"/>
    <n v="58"/>
    <x v="0"/>
    <x v="1"/>
    <x v="5"/>
    <x v="0"/>
    <x v="0"/>
    <x v="1"/>
  </r>
  <r>
    <s v="T01890"/>
    <d v="2023-01-20T00:00:00"/>
    <d v="1899-12-30T21:30:00"/>
    <x v="3"/>
    <x v="6"/>
    <s v="Station_27"/>
    <s v="Station_23"/>
    <d v="1899-12-30T21:34:00"/>
    <d v="1899-12-30T22:23:00"/>
    <n v="3"/>
    <n v="8"/>
    <x v="0"/>
    <n v="13.2"/>
    <n v="77"/>
    <n v="33"/>
    <n v="15.7"/>
    <x v="1"/>
    <n v="0"/>
    <n v="71"/>
    <x v="0"/>
    <x v="1"/>
    <x v="5"/>
    <x v="2"/>
    <x v="1"/>
    <x v="0"/>
  </r>
  <r>
    <s v="T01891"/>
    <d v="2023-01-20T00:00:00"/>
    <d v="1899-12-30T21:45:00"/>
    <x v="3"/>
    <x v="10"/>
    <s v="Station_13"/>
    <s v="Station_16"/>
    <d v="1899-12-30T21:47:00"/>
    <d v="1899-12-30T22:28:00"/>
    <n v="13"/>
    <n v="24"/>
    <x v="4"/>
    <n v="16.3"/>
    <n v="90"/>
    <n v="21"/>
    <n v="4.5"/>
    <x v="1"/>
    <n v="0"/>
    <n v="30"/>
    <x v="0"/>
    <x v="0"/>
    <x v="5"/>
    <x v="3"/>
    <x v="1"/>
    <x v="2"/>
  </r>
  <r>
    <s v="T01892"/>
    <d v="2023-01-20T00:00:00"/>
    <d v="1899-12-30T22:00:00"/>
    <x v="2"/>
    <x v="0"/>
    <s v="Station_49"/>
    <s v="Station_1"/>
    <d v="1899-12-30T22:02:00"/>
    <d v="1899-12-30T22:28:00"/>
    <n v="1"/>
    <n v="13"/>
    <x v="2"/>
    <n v="15.4"/>
    <n v="53"/>
    <n v="28"/>
    <n v="4.3"/>
    <x v="1"/>
    <n v="0"/>
    <n v="98"/>
    <x v="0"/>
    <x v="1"/>
    <x v="5"/>
    <x v="0"/>
    <x v="1"/>
    <x v="0"/>
  </r>
  <r>
    <s v="T01893"/>
    <d v="2023-01-20T00:00:00"/>
    <d v="1899-12-30T22:15:00"/>
    <x v="0"/>
    <x v="13"/>
    <s v="Station_31"/>
    <s v="Station_12"/>
    <d v="1899-12-30T22:18:00"/>
    <d v="1899-12-30T22:41:00"/>
    <n v="9"/>
    <n v="-3"/>
    <x v="2"/>
    <n v="16.8"/>
    <n v="87"/>
    <n v="33"/>
    <n v="11.8"/>
    <x v="0"/>
    <n v="2000"/>
    <n v="90"/>
    <x v="0"/>
    <x v="0"/>
    <x v="5"/>
    <x v="0"/>
    <x v="0"/>
    <x v="0"/>
  </r>
  <r>
    <s v="T01894"/>
    <d v="2023-01-20T00:00:00"/>
    <d v="1899-12-30T22:30:00"/>
    <x v="2"/>
    <x v="2"/>
    <s v="Station_35"/>
    <s v="Station_24"/>
    <d v="1899-12-30T22:31:00"/>
    <d v="1899-12-30T23:05:00"/>
    <n v="8"/>
    <n v="28"/>
    <x v="3"/>
    <n v="28.7"/>
    <n v="93"/>
    <n v="41"/>
    <n v="8.6999999999999993"/>
    <x v="0"/>
    <n v="0"/>
    <n v="67"/>
    <x v="0"/>
    <x v="1"/>
    <x v="5"/>
    <x v="1"/>
    <x v="1"/>
    <x v="0"/>
  </r>
  <r>
    <s v="T01895"/>
    <d v="2023-01-20T00:00:00"/>
    <d v="1899-12-30T22:45:00"/>
    <x v="0"/>
    <x v="8"/>
    <s v="Station_6"/>
    <s v="Station_34"/>
    <d v="1899-12-30T22:47:00"/>
    <d v="1899-12-30T23:23:00"/>
    <n v="0"/>
    <n v="4"/>
    <x v="1"/>
    <n v="1.8"/>
    <n v="59"/>
    <n v="51"/>
    <n v="19"/>
    <x v="0"/>
    <n v="0"/>
    <n v="3"/>
    <x v="0"/>
    <x v="0"/>
    <x v="5"/>
    <x v="2"/>
    <x v="0"/>
    <x v="2"/>
  </r>
  <r>
    <s v="T01896"/>
    <d v="2023-01-20T00:00:00"/>
    <d v="1899-12-30T23:00:00"/>
    <x v="3"/>
    <x v="17"/>
    <s v="Station_5"/>
    <s v="Station_8"/>
    <d v="1899-12-30T23:01:00"/>
    <d v="1899-12-30T23:58:00"/>
    <n v="9"/>
    <n v="20"/>
    <x v="3"/>
    <n v="7.6"/>
    <n v="58"/>
    <n v="46"/>
    <n v="7.1"/>
    <x v="5"/>
    <n v="0"/>
    <n v="17"/>
    <x v="0"/>
    <x v="0"/>
    <x v="5"/>
    <x v="0"/>
    <x v="1"/>
    <x v="2"/>
  </r>
  <r>
    <s v="T01897"/>
    <d v="2023-01-20T00:00:00"/>
    <d v="1899-12-30T23:15:00"/>
    <x v="0"/>
    <x v="15"/>
    <s v="Station_22"/>
    <s v="Station_18"/>
    <d v="1899-12-30T23:18:00"/>
    <d v="1899-12-30T23:40:00"/>
    <n v="2"/>
    <n v="6"/>
    <x v="0"/>
    <n v="30.5"/>
    <n v="39"/>
    <n v="9"/>
    <n v="15.2"/>
    <x v="0"/>
    <n v="0"/>
    <n v="62"/>
    <x v="1"/>
    <x v="1"/>
    <x v="5"/>
    <x v="2"/>
    <x v="1"/>
    <x v="1"/>
  </r>
  <r>
    <s v="T01898"/>
    <d v="2023-01-20T00:00:00"/>
    <d v="1899-12-30T23:30:00"/>
    <x v="1"/>
    <x v="11"/>
    <s v="Station_49"/>
    <s v="Station_48"/>
    <d v="1899-12-30T23:31:00"/>
    <d v="1899-12-30T00:00:00"/>
    <n v="3"/>
    <n v="6"/>
    <x v="4"/>
    <n v="17.399999999999999"/>
    <n v="68"/>
    <n v="50"/>
    <n v="11.7"/>
    <x v="0"/>
    <n v="0"/>
    <n v="86"/>
    <x v="0"/>
    <x v="0"/>
    <x v="5"/>
    <x v="3"/>
    <x v="1"/>
    <x v="0"/>
  </r>
  <r>
    <s v="T01899"/>
    <d v="2023-01-20T00:00:00"/>
    <d v="1899-12-30T23:45:00"/>
    <x v="3"/>
    <x v="11"/>
    <s v="Station_23"/>
    <s v="Station_5"/>
    <d v="1899-12-30T23:46:00"/>
    <d v="1899-12-30T00:16:00"/>
    <n v="16"/>
    <n v="21"/>
    <x v="3"/>
    <n v="18.3"/>
    <n v="84"/>
    <n v="53"/>
    <n v="1.1000000000000001"/>
    <x v="0"/>
    <n v="0"/>
    <n v="95"/>
    <x v="0"/>
    <x v="1"/>
    <x v="5"/>
    <x v="2"/>
    <x v="1"/>
    <x v="0"/>
  </r>
  <r>
    <s v="T01900"/>
    <d v="2023-01-21T00:00:00"/>
    <d v="1899-12-30T00:00:00"/>
    <x v="1"/>
    <x v="2"/>
    <s v="Station_25"/>
    <s v="Station_26"/>
    <d v="1899-12-30T00:01:00"/>
    <d v="1899-12-30T00:32:00"/>
    <n v="15"/>
    <n v="6"/>
    <x v="5"/>
    <n v="14.1"/>
    <n v="57"/>
    <n v="59"/>
    <n v="1.7"/>
    <x v="5"/>
    <n v="0"/>
    <n v="75"/>
    <x v="0"/>
    <x v="1"/>
    <x v="6"/>
    <x v="0"/>
    <x v="1"/>
    <x v="0"/>
  </r>
  <r>
    <s v="T01901"/>
    <d v="2023-01-21T00:00:00"/>
    <d v="1899-12-30T00:15:00"/>
    <x v="2"/>
    <x v="1"/>
    <s v="Station_34"/>
    <s v="Station_30"/>
    <d v="1899-12-30T00:17:00"/>
    <d v="1899-12-30T00:46:00"/>
    <n v="13"/>
    <n v="15"/>
    <x v="5"/>
    <n v="17"/>
    <n v="47"/>
    <n v="59"/>
    <n v="4.0999999999999996"/>
    <x v="2"/>
    <n v="0"/>
    <n v="51"/>
    <x v="0"/>
    <x v="0"/>
    <x v="6"/>
    <x v="1"/>
    <x v="1"/>
    <x v="1"/>
  </r>
  <r>
    <s v="T01902"/>
    <d v="2023-01-21T00:00:00"/>
    <d v="1899-12-30T00:30:00"/>
    <x v="2"/>
    <x v="16"/>
    <s v="Station_26"/>
    <s v="Station_13"/>
    <d v="1899-12-30T00:30:00"/>
    <d v="1899-12-30T01:10:00"/>
    <n v="8"/>
    <n v="11"/>
    <x v="1"/>
    <n v="2.9"/>
    <n v="70"/>
    <n v="44"/>
    <n v="2.9"/>
    <x v="5"/>
    <n v="0"/>
    <n v="83"/>
    <x v="0"/>
    <x v="1"/>
    <x v="6"/>
    <x v="2"/>
    <x v="1"/>
    <x v="0"/>
  </r>
  <r>
    <s v="T01903"/>
    <d v="2023-01-21T00:00:00"/>
    <d v="1899-12-30T00:45:00"/>
    <x v="2"/>
    <x v="9"/>
    <s v="Station_47"/>
    <s v="Station_19"/>
    <d v="1899-12-30T00:49:00"/>
    <d v="1899-12-30T01:14:00"/>
    <n v="2"/>
    <n v="12"/>
    <x v="3"/>
    <n v="16.899999999999999"/>
    <n v="94"/>
    <n v="29"/>
    <n v="6.6"/>
    <x v="0"/>
    <n v="500"/>
    <n v="62"/>
    <x v="0"/>
    <x v="1"/>
    <x v="6"/>
    <x v="2"/>
    <x v="1"/>
    <x v="1"/>
  </r>
  <r>
    <s v="T01904"/>
    <d v="2023-01-21T00:00:00"/>
    <d v="1899-12-30T01:00:00"/>
    <x v="0"/>
    <x v="15"/>
    <s v="Station_5"/>
    <s v="Station_29"/>
    <d v="1899-12-30T01:01:00"/>
    <d v="1899-12-30T01:39:00"/>
    <n v="6"/>
    <n v="-2"/>
    <x v="0"/>
    <n v="34.9"/>
    <n v="75"/>
    <n v="55"/>
    <n v="11.6"/>
    <x v="4"/>
    <n v="0"/>
    <n v="44"/>
    <x v="0"/>
    <x v="1"/>
    <x v="6"/>
    <x v="3"/>
    <x v="0"/>
    <x v="1"/>
  </r>
  <r>
    <s v="T01905"/>
    <d v="2023-01-21T00:00:00"/>
    <d v="1899-12-30T01:15:00"/>
    <x v="3"/>
    <x v="0"/>
    <s v="Station_26"/>
    <s v="Station_3"/>
    <d v="1899-12-30T01:16:00"/>
    <d v="1899-12-30T02:10:00"/>
    <n v="0"/>
    <n v="25"/>
    <x v="5"/>
    <n v="17.600000000000001"/>
    <n v="89"/>
    <n v="10"/>
    <n v="12"/>
    <x v="0"/>
    <n v="0"/>
    <n v="11"/>
    <x v="0"/>
    <x v="1"/>
    <x v="6"/>
    <x v="1"/>
    <x v="1"/>
    <x v="2"/>
  </r>
  <r>
    <s v="T01906"/>
    <d v="2023-01-21T00:00:00"/>
    <d v="1899-12-30T01:30:00"/>
    <x v="2"/>
    <x v="15"/>
    <s v="Station_20"/>
    <s v="Station_26"/>
    <d v="1899-12-30T01:31:00"/>
    <d v="1899-12-30T02:17:00"/>
    <n v="5"/>
    <n v="0"/>
    <x v="1"/>
    <n v="-3.2"/>
    <n v="38"/>
    <n v="53"/>
    <n v="11.8"/>
    <x v="0"/>
    <n v="0"/>
    <n v="7"/>
    <x v="0"/>
    <x v="1"/>
    <x v="6"/>
    <x v="2"/>
    <x v="0"/>
    <x v="2"/>
  </r>
  <r>
    <s v="T01907"/>
    <d v="2023-01-21T00:00:00"/>
    <d v="1899-12-30T01:45:00"/>
    <x v="2"/>
    <x v="3"/>
    <s v="Station_6"/>
    <s v="Station_40"/>
    <d v="1899-12-30T01:45:00"/>
    <d v="1899-12-30T02:28:00"/>
    <n v="3"/>
    <n v="25"/>
    <x v="3"/>
    <n v="26.9"/>
    <n v="74"/>
    <n v="33"/>
    <n v="2.4"/>
    <x v="0"/>
    <n v="500"/>
    <n v="21"/>
    <x v="0"/>
    <x v="1"/>
    <x v="6"/>
    <x v="1"/>
    <x v="1"/>
    <x v="2"/>
  </r>
  <r>
    <s v="T01908"/>
    <d v="2023-01-21T00:00:00"/>
    <d v="1899-12-30T02:00:00"/>
    <x v="3"/>
    <x v="8"/>
    <s v="Station_6"/>
    <s v="Station_12"/>
    <d v="1899-12-30T02:03:00"/>
    <d v="1899-12-30T02:24:00"/>
    <n v="1"/>
    <n v="27"/>
    <x v="1"/>
    <n v="10.9"/>
    <n v="89"/>
    <n v="20"/>
    <n v="12"/>
    <x v="0"/>
    <n v="10000"/>
    <n v="90"/>
    <x v="0"/>
    <x v="0"/>
    <x v="6"/>
    <x v="0"/>
    <x v="1"/>
    <x v="0"/>
  </r>
  <r>
    <s v="T01909"/>
    <d v="2023-01-21T00:00:00"/>
    <d v="1899-12-30T02:15:00"/>
    <x v="2"/>
    <x v="4"/>
    <s v="Station_50"/>
    <s v="Station_2"/>
    <d v="1899-12-30T02:17:00"/>
    <d v="1899-12-30T03:11:00"/>
    <n v="9"/>
    <n v="13"/>
    <x v="0"/>
    <n v="1.1000000000000001"/>
    <n v="57"/>
    <n v="58"/>
    <n v="8.1999999999999993"/>
    <x v="4"/>
    <n v="10000"/>
    <n v="40"/>
    <x v="1"/>
    <x v="1"/>
    <x v="6"/>
    <x v="1"/>
    <x v="1"/>
    <x v="1"/>
  </r>
  <r>
    <s v="T01910"/>
    <d v="2023-01-21T00:00:00"/>
    <d v="1899-12-30T02:30:00"/>
    <x v="1"/>
    <x v="5"/>
    <s v="Station_18"/>
    <s v="Station_11"/>
    <d v="1899-12-30T02:30:00"/>
    <d v="1899-12-30T03:01:00"/>
    <n v="9"/>
    <n v="6"/>
    <x v="5"/>
    <n v="29.5"/>
    <n v="32"/>
    <n v="12"/>
    <n v="18.100000000000001"/>
    <x v="5"/>
    <n v="0"/>
    <n v="40"/>
    <x v="0"/>
    <x v="1"/>
    <x v="6"/>
    <x v="0"/>
    <x v="1"/>
    <x v="1"/>
  </r>
  <r>
    <s v="T01911"/>
    <d v="2023-01-21T00:00:00"/>
    <d v="1899-12-30T02:45:00"/>
    <x v="3"/>
    <x v="4"/>
    <s v="Station_4"/>
    <s v="Station_44"/>
    <d v="1899-12-30T02:46:00"/>
    <d v="1899-12-30T03:39:00"/>
    <n v="18"/>
    <n v="23"/>
    <x v="5"/>
    <n v="2.9"/>
    <n v="80"/>
    <n v="53"/>
    <n v="18.2"/>
    <x v="0"/>
    <n v="0"/>
    <n v="80"/>
    <x v="0"/>
    <x v="0"/>
    <x v="6"/>
    <x v="3"/>
    <x v="1"/>
    <x v="0"/>
  </r>
  <r>
    <s v="T01912"/>
    <d v="2023-01-21T00:00:00"/>
    <d v="1899-12-30T03:00:00"/>
    <x v="3"/>
    <x v="12"/>
    <s v="Station_17"/>
    <s v="Station_28"/>
    <d v="1899-12-30T03:00:00"/>
    <d v="1899-12-30T03:59:00"/>
    <n v="13"/>
    <n v="11"/>
    <x v="5"/>
    <n v="31.8"/>
    <n v="37"/>
    <n v="24"/>
    <n v="15.4"/>
    <x v="5"/>
    <n v="2000"/>
    <n v="56"/>
    <x v="0"/>
    <x v="0"/>
    <x v="6"/>
    <x v="3"/>
    <x v="1"/>
    <x v="1"/>
  </r>
  <r>
    <s v="T01913"/>
    <d v="2023-01-21T00:00:00"/>
    <d v="1899-12-30T03:15:00"/>
    <x v="3"/>
    <x v="12"/>
    <s v="Station_14"/>
    <s v="Station_18"/>
    <d v="1899-12-30T03:15:00"/>
    <d v="1899-12-30T03:36:00"/>
    <n v="7"/>
    <n v="27"/>
    <x v="2"/>
    <n v="12.7"/>
    <n v="99"/>
    <n v="53"/>
    <n v="14.1"/>
    <x v="0"/>
    <n v="0"/>
    <n v="31"/>
    <x v="0"/>
    <x v="0"/>
    <x v="6"/>
    <x v="3"/>
    <x v="1"/>
    <x v="2"/>
  </r>
  <r>
    <s v="T01914"/>
    <d v="2023-01-21T00:00:00"/>
    <d v="1899-12-30T03:30:00"/>
    <x v="1"/>
    <x v="15"/>
    <s v="Station_14"/>
    <s v="Station_13"/>
    <d v="1899-12-30T03:30:00"/>
    <d v="1899-12-30T04:28:00"/>
    <n v="19"/>
    <n v="17"/>
    <x v="5"/>
    <n v="24.7"/>
    <n v="88"/>
    <n v="57"/>
    <n v="2.2999999999999998"/>
    <x v="0"/>
    <n v="500"/>
    <n v="96"/>
    <x v="0"/>
    <x v="1"/>
    <x v="6"/>
    <x v="0"/>
    <x v="1"/>
    <x v="0"/>
  </r>
  <r>
    <s v="T01915"/>
    <d v="2023-01-21T00:00:00"/>
    <d v="1899-12-30T03:45:00"/>
    <x v="3"/>
    <x v="19"/>
    <s v="Station_13"/>
    <s v="Station_37"/>
    <d v="1899-12-30T03:48:00"/>
    <d v="1899-12-30T04:13:00"/>
    <n v="11"/>
    <n v="22"/>
    <x v="4"/>
    <n v="16.899999999999999"/>
    <n v="90"/>
    <n v="20"/>
    <n v="1.7"/>
    <x v="0"/>
    <n v="10000"/>
    <n v="94"/>
    <x v="0"/>
    <x v="1"/>
    <x v="6"/>
    <x v="2"/>
    <x v="1"/>
    <x v="0"/>
  </r>
  <r>
    <s v="T01916"/>
    <d v="2023-01-21T00:00:00"/>
    <d v="1899-12-30T04:00:00"/>
    <x v="1"/>
    <x v="18"/>
    <s v="Station_7"/>
    <s v="Station_22"/>
    <d v="1899-12-30T04:04:00"/>
    <d v="1899-12-30T04:41:00"/>
    <n v="10"/>
    <n v="13"/>
    <x v="2"/>
    <n v="5.3"/>
    <n v="87"/>
    <n v="0"/>
    <n v="16.8"/>
    <x v="0"/>
    <n v="0"/>
    <n v="54"/>
    <x v="1"/>
    <x v="1"/>
    <x v="6"/>
    <x v="0"/>
    <x v="1"/>
    <x v="1"/>
  </r>
  <r>
    <s v="T01917"/>
    <d v="2023-01-21T00:00:00"/>
    <d v="1899-12-30T04:15:00"/>
    <x v="3"/>
    <x v="6"/>
    <s v="Station_44"/>
    <s v="Station_12"/>
    <d v="1899-12-30T04:17:00"/>
    <d v="1899-12-30T04:39:00"/>
    <n v="6"/>
    <n v="-1"/>
    <x v="3"/>
    <n v="21.8"/>
    <n v="99"/>
    <n v="57"/>
    <n v="8.5"/>
    <x v="0"/>
    <n v="0"/>
    <n v="5"/>
    <x v="0"/>
    <x v="1"/>
    <x v="6"/>
    <x v="1"/>
    <x v="0"/>
    <x v="2"/>
  </r>
  <r>
    <s v="T01918"/>
    <d v="2023-01-21T00:00:00"/>
    <d v="1899-12-30T04:30:00"/>
    <x v="0"/>
    <x v="19"/>
    <s v="Station_15"/>
    <s v="Station_2"/>
    <d v="1899-12-30T04:33:00"/>
    <d v="1899-12-30T05:01:00"/>
    <n v="4"/>
    <n v="10"/>
    <x v="2"/>
    <n v="33.299999999999997"/>
    <n v="41"/>
    <n v="4"/>
    <n v="9"/>
    <x v="4"/>
    <n v="500"/>
    <n v="38"/>
    <x v="0"/>
    <x v="0"/>
    <x v="6"/>
    <x v="1"/>
    <x v="1"/>
    <x v="1"/>
  </r>
  <r>
    <s v="T01919"/>
    <d v="2023-01-21T00:00:00"/>
    <d v="1899-12-30T04:45:00"/>
    <x v="2"/>
    <x v="0"/>
    <s v="Station_19"/>
    <s v="Station_37"/>
    <d v="1899-12-30T04:48:00"/>
    <d v="1899-12-30T05:05:00"/>
    <n v="9"/>
    <n v="9"/>
    <x v="2"/>
    <n v="25.8"/>
    <n v="38"/>
    <n v="52"/>
    <n v="17"/>
    <x v="1"/>
    <n v="0"/>
    <n v="8"/>
    <x v="0"/>
    <x v="1"/>
    <x v="6"/>
    <x v="0"/>
    <x v="1"/>
    <x v="2"/>
  </r>
  <r>
    <s v="T01920"/>
    <d v="2023-01-21T00:00:00"/>
    <d v="1899-12-30T05:00:00"/>
    <x v="0"/>
    <x v="6"/>
    <s v="Station_43"/>
    <s v="Station_7"/>
    <d v="1899-12-30T05:04:00"/>
    <d v="1899-12-30T05:41:00"/>
    <n v="2"/>
    <n v="23"/>
    <x v="2"/>
    <n v="19.2"/>
    <n v="78"/>
    <n v="21"/>
    <n v="12.4"/>
    <x v="2"/>
    <n v="0"/>
    <n v="31"/>
    <x v="0"/>
    <x v="1"/>
    <x v="6"/>
    <x v="3"/>
    <x v="1"/>
    <x v="2"/>
  </r>
  <r>
    <s v="T01921"/>
    <d v="2023-01-21T00:00:00"/>
    <d v="1899-12-30T05:15:00"/>
    <x v="2"/>
    <x v="10"/>
    <s v="Station_47"/>
    <s v="Station_26"/>
    <d v="1899-12-30T05:18:00"/>
    <d v="1899-12-30T06:12:00"/>
    <n v="15"/>
    <n v="-3"/>
    <x v="1"/>
    <n v="34.6"/>
    <n v="46"/>
    <n v="6"/>
    <n v="3.6"/>
    <x v="0"/>
    <n v="0"/>
    <n v="35"/>
    <x v="0"/>
    <x v="1"/>
    <x v="6"/>
    <x v="3"/>
    <x v="0"/>
    <x v="1"/>
  </r>
  <r>
    <s v="T01922"/>
    <d v="2023-01-21T00:00:00"/>
    <d v="1899-12-30T05:30:00"/>
    <x v="1"/>
    <x v="4"/>
    <s v="Station_44"/>
    <s v="Station_26"/>
    <d v="1899-12-30T05:30:00"/>
    <d v="1899-12-30T06:08:00"/>
    <n v="1"/>
    <n v="13"/>
    <x v="4"/>
    <n v="5.6"/>
    <n v="83"/>
    <n v="12"/>
    <n v="4.2"/>
    <x v="1"/>
    <n v="0"/>
    <n v="15"/>
    <x v="0"/>
    <x v="1"/>
    <x v="6"/>
    <x v="1"/>
    <x v="1"/>
    <x v="2"/>
  </r>
  <r>
    <s v="T01923"/>
    <d v="2023-01-21T00:00:00"/>
    <d v="1899-12-30T05:45:00"/>
    <x v="0"/>
    <x v="4"/>
    <s v="Station_35"/>
    <s v="Station_24"/>
    <d v="1899-12-30T05:45:00"/>
    <d v="1899-12-30T06:20:00"/>
    <n v="-1"/>
    <n v="10"/>
    <x v="0"/>
    <n v="-2.5"/>
    <n v="73"/>
    <n v="44"/>
    <n v="0.1"/>
    <x v="4"/>
    <n v="0"/>
    <n v="11"/>
    <x v="0"/>
    <x v="1"/>
    <x v="6"/>
    <x v="1"/>
    <x v="1"/>
    <x v="2"/>
  </r>
  <r>
    <s v="T01924"/>
    <d v="2023-01-21T00:00:00"/>
    <d v="1899-12-30T06:00:00"/>
    <x v="3"/>
    <x v="6"/>
    <s v="Station_17"/>
    <s v="Station_12"/>
    <d v="1899-12-30T06:01:00"/>
    <d v="1899-12-30T06:50:00"/>
    <n v="0"/>
    <n v="13"/>
    <x v="5"/>
    <n v="-3.7"/>
    <n v="61"/>
    <n v="51"/>
    <n v="14.2"/>
    <x v="3"/>
    <n v="0"/>
    <n v="40"/>
    <x v="1"/>
    <x v="0"/>
    <x v="6"/>
    <x v="2"/>
    <x v="1"/>
    <x v="1"/>
  </r>
  <r>
    <s v="T01925"/>
    <d v="2023-01-21T00:00:00"/>
    <d v="1899-12-30T06:15:00"/>
    <x v="2"/>
    <x v="9"/>
    <s v="Station_35"/>
    <s v="Station_16"/>
    <d v="1899-12-30T06:18:00"/>
    <d v="1899-12-30T06:37:00"/>
    <n v="9"/>
    <n v="-1"/>
    <x v="2"/>
    <n v="23.4"/>
    <n v="64"/>
    <n v="22"/>
    <n v="9.6999999999999993"/>
    <x v="0"/>
    <n v="0"/>
    <n v="66"/>
    <x v="0"/>
    <x v="1"/>
    <x v="6"/>
    <x v="2"/>
    <x v="0"/>
    <x v="1"/>
  </r>
  <r>
    <s v="T01926"/>
    <d v="2023-01-21T00:00:00"/>
    <d v="1899-12-30T06:30:00"/>
    <x v="2"/>
    <x v="19"/>
    <s v="Station_19"/>
    <s v="Station_23"/>
    <d v="1899-12-30T06:31:00"/>
    <d v="1899-12-30T07:12:00"/>
    <n v="0"/>
    <n v="21"/>
    <x v="0"/>
    <n v="28.2"/>
    <n v="78"/>
    <n v="20"/>
    <n v="19"/>
    <x v="3"/>
    <n v="500"/>
    <n v="57"/>
    <x v="0"/>
    <x v="1"/>
    <x v="6"/>
    <x v="2"/>
    <x v="1"/>
    <x v="1"/>
  </r>
  <r>
    <s v="T01927"/>
    <d v="2023-01-21T00:00:00"/>
    <d v="1899-12-30T06:45:00"/>
    <x v="0"/>
    <x v="18"/>
    <s v="Station_20"/>
    <s v="Station_40"/>
    <d v="1899-12-30T06:47:00"/>
    <d v="1899-12-30T07:22:00"/>
    <n v="1"/>
    <n v="-2"/>
    <x v="1"/>
    <n v="20.399999999999999"/>
    <n v="83"/>
    <n v="5"/>
    <n v="14.3"/>
    <x v="1"/>
    <n v="0"/>
    <n v="90"/>
    <x v="1"/>
    <x v="1"/>
    <x v="6"/>
    <x v="1"/>
    <x v="0"/>
    <x v="0"/>
  </r>
  <r>
    <s v="T01928"/>
    <d v="2023-01-21T00:00:00"/>
    <d v="1899-12-30T07:00:00"/>
    <x v="1"/>
    <x v="15"/>
    <s v="Station_36"/>
    <s v="Station_9"/>
    <d v="1899-12-30T07:00:00"/>
    <d v="1899-12-30T07:45:00"/>
    <n v="3"/>
    <n v="22"/>
    <x v="0"/>
    <n v="31.2"/>
    <n v="45"/>
    <n v="19"/>
    <n v="2.1"/>
    <x v="1"/>
    <n v="0"/>
    <n v="90"/>
    <x v="0"/>
    <x v="1"/>
    <x v="6"/>
    <x v="2"/>
    <x v="1"/>
    <x v="0"/>
  </r>
  <r>
    <s v="T01929"/>
    <d v="2023-01-21T00:00:00"/>
    <d v="1899-12-30T07:15:00"/>
    <x v="0"/>
    <x v="16"/>
    <s v="Station_35"/>
    <s v="Station_32"/>
    <d v="1899-12-30T07:17:00"/>
    <d v="1899-12-30T07:47:00"/>
    <n v="9"/>
    <n v="27"/>
    <x v="2"/>
    <n v="22.9"/>
    <n v="41"/>
    <n v="11"/>
    <n v="3.2"/>
    <x v="0"/>
    <n v="0"/>
    <n v="8"/>
    <x v="0"/>
    <x v="1"/>
    <x v="6"/>
    <x v="1"/>
    <x v="1"/>
    <x v="2"/>
  </r>
  <r>
    <s v="T01930"/>
    <d v="2023-01-21T00:00:00"/>
    <d v="1899-12-30T07:30:00"/>
    <x v="1"/>
    <x v="4"/>
    <s v="Station_32"/>
    <s v="Station_15"/>
    <d v="1899-12-30T07:34:00"/>
    <d v="1899-12-30T08:07:00"/>
    <n v="16"/>
    <n v="5"/>
    <x v="3"/>
    <n v="9.8000000000000007"/>
    <n v="37"/>
    <n v="39"/>
    <n v="10"/>
    <x v="0"/>
    <n v="0"/>
    <n v="16"/>
    <x v="0"/>
    <x v="1"/>
    <x v="6"/>
    <x v="1"/>
    <x v="0"/>
    <x v="2"/>
  </r>
  <r>
    <s v="T01931"/>
    <d v="2023-01-21T00:00:00"/>
    <d v="1899-12-30T07:45:00"/>
    <x v="1"/>
    <x v="9"/>
    <s v="Station_48"/>
    <s v="Station_37"/>
    <d v="1899-12-30T07:45:00"/>
    <d v="1899-12-30T08:07:00"/>
    <n v="7"/>
    <n v="26"/>
    <x v="4"/>
    <n v="2.2999999999999998"/>
    <n v="50"/>
    <n v="8"/>
    <n v="18.5"/>
    <x v="0"/>
    <n v="0"/>
    <n v="4"/>
    <x v="1"/>
    <x v="1"/>
    <x v="6"/>
    <x v="0"/>
    <x v="1"/>
    <x v="2"/>
  </r>
  <r>
    <s v="T01932"/>
    <d v="2023-01-21T00:00:00"/>
    <d v="1899-12-30T08:00:00"/>
    <x v="2"/>
    <x v="16"/>
    <s v="Station_44"/>
    <s v="Station_13"/>
    <d v="1899-12-30T08:02:00"/>
    <d v="1899-12-30T08:42:00"/>
    <n v="-2"/>
    <n v="16"/>
    <x v="0"/>
    <n v="32"/>
    <n v="77"/>
    <n v="49"/>
    <n v="4.9000000000000004"/>
    <x v="0"/>
    <n v="0"/>
    <n v="25"/>
    <x v="0"/>
    <x v="0"/>
    <x v="6"/>
    <x v="2"/>
    <x v="1"/>
    <x v="2"/>
  </r>
  <r>
    <s v="T01933"/>
    <d v="2023-01-21T00:00:00"/>
    <d v="1899-12-30T08:15:00"/>
    <x v="0"/>
    <x v="13"/>
    <s v="Station_40"/>
    <s v="Station_5"/>
    <d v="1899-12-30T08:19:00"/>
    <d v="1899-12-30T08:37:00"/>
    <n v="14"/>
    <n v="17"/>
    <x v="2"/>
    <n v="-0.9"/>
    <n v="37"/>
    <n v="27"/>
    <n v="16.5"/>
    <x v="0"/>
    <n v="500"/>
    <n v="84"/>
    <x v="0"/>
    <x v="1"/>
    <x v="6"/>
    <x v="0"/>
    <x v="1"/>
    <x v="0"/>
  </r>
  <r>
    <s v="T01934"/>
    <d v="2023-01-21T00:00:00"/>
    <d v="1899-12-30T08:30:00"/>
    <x v="0"/>
    <x v="13"/>
    <s v="Station_24"/>
    <s v="Station_11"/>
    <d v="1899-12-30T08:32:00"/>
    <d v="1899-12-30T09:14:00"/>
    <n v="13"/>
    <n v="25"/>
    <x v="2"/>
    <n v="16.7"/>
    <n v="57"/>
    <n v="10"/>
    <n v="6.2"/>
    <x v="3"/>
    <n v="0"/>
    <n v="0"/>
    <x v="0"/>
    <x v="1"/>
    <x v="6"/>
    <x v="0"/>
    <x v="1"/>
    <x v="2"/>
  </r>
  <r>
    <s v="T01935"/>
    <d v="2023-01-21T00:00:00"/>
    <d v="1899-12-30T08:45:00"/>
    <x v="1"/>
    <x v="18"/>
    <s v="Station_17"/>
    <s v="Station_10"/>
    <d v="1899-12-30T08:49:00"/>
    <d v="1899-12-30T09:31:00"/>
    <n v="6"/>
    <n v="21"/>
    <x v="5"/>
    <n v="7.6"/>
    <n v="39"/>
    <n v="51"/>
    <n v="5.4"/>
    <x v="0"/>
    <n v="0"/>
    <n v="0"/>
    <x v="0"/>
    <x v="1"/>
    <x v="6"/>
    <x v="2"/>
    <x v="1"/>
    <x v="2"/>
  </r>
  <r>
    <s v="T01936"/>
    <d v="2023-01-21T00:00:00"/>
    <d v="1899-12-30T09:00:00"/>
    <x v="0"/>
    <x v="7"/>
    <s v="Station_7"/>
    <s v="Station_13"/>
    <d v="1899-12-30T09:04:00"/>
    <d v="1899-12-30T09:46:00"/>
    <n v="18"/>
    <n v="21"/>
    <x v="3"/>
    <n v="5.9"/>
    <n v="81"/>
    <n v="31"/>
    <n v="18"/>
    <x v="0"/>
    <n v="2000"/>
    <n v="34"/>
    <x v="0"/>
    <x v="1"/>
    <x v="6"/>
    <x v="1"/>
    <x v="1"/>
    <x v="1"/>
  </r>
  <r>
    <s v="T01937"/>
    <d v="2023-01-21T00:00:00"/>
    <d v="1899-12-30T09:15:00"/>
    <x v="3"/>
    <x v="17"/>
    <s v="Station_43"/>
    <s v="Station_41"/>
    <d v="1899-12-30T09:15:00"/>
    <d v="1899-12-30T10:13:00"/>
    <n v="6"/>
    <n v="5"/>
    <x v="5"/>
    <n v="20.8"/>
    <n v="44"/>
    <n v="10"/>
    <n v="0.9"/>
    <x v="0"/>
    <n v="0"/>
    <n v="8"/>
    <x v="0"/>
    <x v="1"/>
    <x v="6"/>
    <x v="1"/>
    <x v="0"/>
    <x v="2"/>
  </r>
  <r>
    <s v="T01938"/>
    <d v="2023-01-21T00:00:00"/>
    <d v="1899-12-30T09:30:00"/>
    <x v="3"/>
    <x v="15"/>
    <s v="Station_50"/>
    <s v="Station_46"/>
    <d v="1899-12-30T09:31:00"/>
    <d v="1899-12-30T10:14:00"/>
    <n v="6"/>
    <n v="22"/>
    <x v="3"/>
    <n v="4.2"/>
    <n v="33"/>
    <n v="23"/>
    <n v="13.2"/>
    <x v="0"/>
    <n v="0"/>
    <n v="86"/>
    <x v="1"/>
    <x v="1"/>
    <x v="6"/>
    <x v="1"/>
    <x v="1"/>
    <x v="0"/>
  </r>
  <r>
    <s v="T01939"/>
    <d v="2023-01-21T00:00:00"/>
    <d v="1899-12-30T09:45:00"/>
    <x v="0"/>
    <x v="4"/>
    <s v="Station_1"/>
    <s v="Station_50"/>
    <d v="1899-12-30T09:49:00"/>
    <d v="1899-12-30T10:28:00"/>
    <n v="9"/>
    <n v="12"/>
    <x v="4"/>
    <n v="31.7"/>
    <n v="91"/>
    <n v="55"/>
    <n v="0.9"/>
    <x v="0"/>
    <n v="10000"/>
    <n v="37"/>
    <x v="0"/>
    <x v="1"/>
    <x v="6"/>
    <x v="2"/>
    <x v="1"/>
    <x v="1"/>
  </r>
  <r>
    <s v="T01940"/>
    <d v="2023-01-21T00:00:00"/>
    <d v="1899-12-30T10:00:00"/>
    <x v="0"/>
    <x v="15"/>
    <s v="Station_35"/>
    <s v="Station_15"/>
    <d v="1899-12-30T10:04:00"/>
    <d v="1899-12-30T10:27:00"/>
    <n v="6"/>
    <n v="8"/>
    <x v="5"/>
    <n v="11.2"/>
    <n v="33"/>
    <n v="14"/>
    <n v="16"/>
    <x v="0"/>
    <n v="0"/>
    <n v="3"/>
    <x v="0"/>
    <x v="1"/>
    <x v="6"/>
    <x v="1"/>
    <x v="1"/>
    <x v="2"/>
  </r>
  <r>
    <s v="T01941"/>
    <d v="2023-01-21T00:00:00"/>
    <d v="1899-12-30T10:15:00"/>
    <x v="1"/>
    <x v="13"/>
    <s v="Station_32"/>
    <s v="Station_42"/>
    <d v="1899-12-30T10:15:00"/>
    <d v="1899-12-30T10:43:00"/>
    <n v="12"/>
    <n v="20"/>
    <x v="4"/>
    <n v="22.1"/>
    <n v="70"/>
    <n v="40"/>
    <n v="16.600000000000001"/>
    <x v="0"/>
    <n v="50000"/>
    <n v="51"/>
    <x v="0"/>
    <x v="1"/>
    <x v="6"/>
    <x v="0"/>
    <x v="1"/>
    <x v="1"/>
  </r>
  <r>
    <s v="T01942"/>
    <d v="2023-01-21T00:00:00"/>
    <d v="1899-12-30T10:30:00"/>
    <x v="3"/>
    <x v="10"/>
    <s v="Station_36"/>
    <s v="Station_7"/>
    <d v="1899-12-30T10:31:00"/>
    <d v="1899-12-30T11:26:00"/>
    <n v="-1"/>
    <n v="22"/>
    <x v="1"/>
    <n v="24.1"/>
    <n v="84"/>
    <n v="34"/>
    <n v="17.899999999999999"/>
    <x v="1"/>
    <n v="50000"/>
    <n v="18"/>
    <x v="0"/>
    <x v="1"/>
    <x v="6"/>
    <x v="3"/>
    <x v="1"/>
    <x v="2"/>
  </r>
  <r>
    <s v="T01943"/>
    <d v="2023-01-21T00:00:00"/>
    <d v="1899-12-30T10:45:00"/>
    <x v="3"/>
    <x v="10"/>
    <s v="Station_13"/>
    <s v="Station_40"/>
    <d v="1899-12-30T10:48:00"/>
    <d v="1899-12-30T11:34:00"/>
    <n v="8"/>
    <n v="16"/>
    <x v="1"/>
    <n v="22.3"/>
    <n v="57"/>
    <n v="16"/>
    <n v="3.7"/>
    <x v="0"/>
    <n v="0"/>
    <n v="4"/>
    <x v="1"/>
    <x v="1"/>
    <x v="6"/>
    <x v="2"/>
    <x v="1"/>
    <x v="2"/>
  </r>
  <r>
    <s v="T01944"/>
    <d v="2023-01-21T00:00:00"/>
    <d v="1899-12-30T11:00:00"/>
    <x v="2"/>
    <x v="16"/>
    <s v="Station_6"/>
    <s v="Station_28"/>
    <d v="1899-12-30T11:03:00"/>
    <d v="1899-12-30T11:38:00"/>
    <n v="8"/>
    <n v="5"/>
    <x v="3"/>
    <n v="31.1"/>
    <n v="76"/>
    <n v="24"/>
    <n v="2.5"/>
    <x v="5"/>
    <n v="10000"/>
    <n v="91"/>
    <x v="0"/>
    <x v="0"/>
    <x v="6"/>
    <x v="3"/>
    <x v="0"/>
    <x v="0"/>
  </r>
  <r>
    <s v="T01945"/>
    <d v="2023-01-21T00:00:00"/>
    <d v="1899-12-30T11:15:00"/>
    <x v="1"/>
    <x v="10"/>
    <s v="Station_14"/>
    <s v="Station_32"/>
    <d v="1899-12-30T11:16:00"/>
    <d v="1899-12-30T11:50:00"/>
    <n v="5"/>
    <n v="19"/>
    <x v="3"/>
    <n v="4.2"/>
    <n v="38"/>
    <n v="48"/>
    <n v="10.1"/>
    <x v="3"/>
    <n v="2000"/>
    <n v="47"/>
    <x v="0"/>
    <x v="1"/>
    <x v="6"/>
    <x v="0"/>
    <x v="1"/>
    <x v="1"/>
  </r>
  <r>
    <s v="T01946"/>
    <d v="2023-01-21T00:00:00"/>
    <d v="1899-12-30T11:30:00"/>
    <x v="2"/>
    <x v="3"/>
    <s v="Station_37"/>
    <s v="Station_35"/>
    <d v="1899-12-30T11:32:00"/>
    <d v="1899-12-30T12:13:00"/>
    <n v="3"/>
    <n v="25"/>
    <x v="5"/>
    <n v="-1.6"/>
    <n v="31"/>
    <n v="34"/>
    <n v="5.4"/>
    <x v="0"/>
    <n v="50000"/>
    <n v="86"/>
    <x v="0"/>
    <x v="1"/>
    <x v="6"/>
    <x v="3"/>
    <x v="1"/>
    <x v="0"/>
  </r>
  <r>
    <s v="T01947"/>
    <d v="2023-01-21T00:00:00"/>
    <d v="1899-12-30T11:45:00"/>
    <x v="3"/>
    <x v="7"/>
    <s v="Station_48"/>
    <s v="Station_15"/>
    <d v="1899-12-30T11:45:00"/>
    <d v="1899-12-30T12:25:00"/>
    <n v="18"/>
    <n v="27"/>
    <x v="1"/>
    <n v="-2.8"/>
    <n v="96"/>
    <n v="18"/>
    <n v="12.1"/>
    <x v="2"/>
    <n v="500"/>
    <n v="62"/>
    <x v="0"/>
    <x v="0"/>
    <x v="6"/>
    <x v="0"/>
    <x v="1"/>
    <x v="1"/>
  </r>
  <r>
    <s v="T01948"/>
    <d v="2023-01-21T00:00:00"/>
    <d v="1899-12-30T12:00:00"/>
    <x v="1"/>
    <x v="2"/>
    <s v="Station_15"/>
    <s v="Station_48"/>
    <d v="1899-12-30T12:01:00"/>
    <d v="1899-12-30T12:55:00"/>
    <n v="17"/>
    <n v="15"/>
    <x v="0"/>
    <n v="30.1"/>
    <n v="77"/>
    <n v="40"/>
    <n v="10.3"/>
    <x v="0"/>
    <n v="500"/>
    <n v="37"/>
    <x v="0"/>
    <x v="1"/>
    <x v="6"/>
    <x v="3"/>
    <x v="1"/>
    <x v="1"/>
  </r>
  <r>
    <s v="T01949"/>
    <d v="2023-01-21T00:00:00"/>
    <d v="1899-12-30T12:15:00"/>
    <x v="0"/>
    <x v="16"/>
    <s v="Station_47"/>
    <s v="Station_36"/>
    <d v="1899-12-30T12:18:00"/>
    <d v="1899-12-30T13:14:00"/>
    <n v="4"/>
    <n v="16"/>
    <x v="0"/>
    <n v="33.9"/>
    <n v="98"/>
    <n v="30"/>
    <n v="2.9"/>
    <x v="0"/>
    <n v="0"/>
    <n v="51"/>
    <x v="0"/>
    <x v="1"/>
    <x v="6"/>
    <x v="3"/>
    <x v="1"/>
    <x v="1"/>
  </r>
  <r>
    <s v="T01950"/>
    <d v="2023-01-21T00:00:00"/>
    <d v="1899-12-30T12:30:00"/>
    <x v="1"/>
    <x v="4"/>
    <s v="Station_4"/>
    <s v="Station_21"/>
    <d v="1899-12-30T12:34:00"/>
    <d v="1899-12-30T13:28:00"/>
    <n v="0"/>
    <n v="19"/>
    <x v="0"/>
    <n v="7.1"/>
    <n v="57"/>
    <n v="16"/>
    <n v="14.8"/>
    <x v="0"/>
    <n v="0"/>
    <n v="86"/>
    <x v="0"/>
    <x v="0"/>
    <x v="6"/>
    <x v="1"/>
    <x v="1"/>
    <x v="0"/>
  </r>
  <r>
    <s v="T01951"/>
    <d v="2023-01-21T00:00:00"/>
    <d v="1899-12-30T12:45:00"/>
    <x v="0"/>
    <x v="5"/>
    <s v="Station_40"/>
    <s v="Station_6"/>
    <d v="1899-12-30T12:48:00"/>
    <d v="1899-12-30T13:10:00"/>
    <n v="5"/>
    <n v="23"/>
    <x v="1"/>
    <n v="22.7"/>
    <n v="43"/>
    <n v="54"/>
    <n v="16.100000000000001"/>
    <x v="0"/>
    <n v="0"/>
    <n v="45"/>
    <x v="0"/>
    <x v="1"/>
    <x v="6"/>
    <x v="3"/>
    <x v="1"/>
    <x v="1"/>
  </r>
  <r>
    <s v="T01952"/>
    <d v="2023-01-21T00:00:00"/>
    <d v="1899-12-30T13:00:00"/>
    <x v="0"/>
    <x v="16"/>
    <s v="Station_16"/>
    <s v="Station_1"/>
    <d v="1899-12-30T13:04:00"/>
    <d v="1899-12-30T13:24:00"/>
    <n v="15"/>
    <n v="26"/>
    <x v="0"/>
    <n v="-4.5999999999999996"/>
    <n v="75"/>
    <n v="49"/>
    <n v="19.3"/>
    <x v="3"/>
    <n v="0"/>
    <n v="81"/>
    <x v="0"/>
    <x v="0"/>
    <x v="6"/>
    <x v="0"/>
    <x v="1"/>
    <x v="0"/>
  </r>
  <r>
    <s v="T01953"/>
    <d v="2023-01-21T00:00:00"/>
    <d v="1899-12-30T13:15:00"/>
    <x v="1"/>
    <x v="11"/>
    <s v="Station_28"/>
    <s v="Station_4"/>
    <d v="1899-12-30T13:15:00"/>
    <d v="1899-12-30T13:48:00"/>
    <n v="14"/>
    <n v="17"/>
    <x v="4"/>
    <n v="2.5"/>
    <n v="42"/>
    <n v="22"/>
    <n v="7.9"/>
    <x v="0"/>
    <n v="50000"/>
    <n v="92"/>
    <x v="0"/>
    <x v="1"/>
    <x v="6"/>
    <x v="0"/>
    <x v="1"/>
    <x v="0"/>
  </r>
  <r>
    <s v="T01954"/>
    <d v="2023-01-21T00:00:00"/>
    <d v="1899-12-30T13:30:00"/>
    <x v="0"/>
    <x v="2"/>
    <s v="Station_16"/>
    <s v="Station_11"/>
    <d v="1899-12-30T13:34:00"/>
    <d v="1899-12-30T13:53:00"/>
    <n v="8"/>
    <n v="3"/>
    <x v="2"/>
    <n v="22.6"/>
    <n v="45"/>
    <n v="46"/>
    <n v="6.8"/>
    <x v="0"/>
    <n v="0"/>
    <n v="91"/>
    <x v="0"/>
    <x v="1"/>
    <x v="6"/>
    <x v="0"/>
    <x v="0"/>
    <x v="0"/>
  </r>
  <r>
    <s v="T01955"/>
    <d v="2023-01-21T00:00:00"/>
    <d v="1899-12-30T13:45:00"/>
    <x v="2"/>
    <x v="7"/>
    <s v="Station_4"/>
    <s v="Station_44"/>
    <d v="1899-12-30T13:46:00"/>
    <d v="1899-12-30T14:12:00"/>
    <n v="-1"/>
    <n v="18"/>
    <x v="3"/>
    <n v="-2.4"/>
    <n v="69"/>
    <n v="0"/>
    <n v="3.8"/>
    <x v="0"/>
    <n v="2000"/>
    <n v="8"/>
    <x v="0"/>
    <x v="1"/>
    <x v="6"/>
    <x v="2"/>
    <x v="1"/>
    <x v="2"/>
  </r>
  <r>
    <s v="T01956"/>
    <d v="2023-01-21T00:00:00"/>
    <d v="1899-12-30T14:00:00"/>
    <x v="3"/>
    <x v="16"/>
    <s v="Station_45"/>
    <s v="Station_26"/>
    <d v="1899-12-30T14:04:00"/>
    <d v="1899-12-30T14:43:00"/>
    <n v="18"/>
    <n v="6"/>
    <x v="5"/>
    <n v="13.7"/>
    <n v="59"/>
    <n v="57"/>
    <n v="3.6"/>
    <x v="0"/>
    <n v="0"/>
    <n v="49"/>
    <x v="0"/>
    <x v="1"/>
    <x v="6"/>
    <x v="0"/>
    <x v="1"/>
    <x v="1"/>
  </r>
  <r>
    <s v="T01957"/>
    <d v="2023-01-21T00:00:00"/>
    <d v="1899-12-30T14:15:00"/>
    <x v="0"/>
    <x v="16"/>
    <s v="Station_26"/>
    <s v="Station_37"/>
    <d v="1899-12-30T14:17:00"/>
    <d v="1899-12-30T14:45:00"/>
    <n v="16"/>
    <n v="19"/>
    <x v="4"/>
    <n v="21.5"/>
    <n v="94"/>
    <n v="9"/>
    <n v="6.4"/>
    <x v="5"/>
    <n v="0"/>
    <n v="73"/>
    <x v="1"/>
    <x v="1"/>
    <x v="6"/>
    <x v="2"/>
    <x v="1"/>
    <x v="0"/>
  </r>
  <r>
    <s v="T01958"/>
    <d v="2023-01-21T00:00:00"/>
    <d v="1899-12-30T14:30:00"/>
    <x v="2"/>
    <x v="10"/>
    <s v="Station_28"/>
    <s v="Station_23"/>
    <d v="1899-12-30T14:31:00"/>
    <d v="1899-12-30T15:06:00"/>
    <n v="4"/>
    <n v="11"/>
    <x v="0"/>
    <n v="25.6"/>
    <n v="87"/>
    <n v="7"/>
    <n v="19.600000000000001"/>
    <x v="0"/>
    <n v="0"/>
    <n v="65"/>
    <x v="0"/>
    <x v="1"/>
    <x v="6"/>
    <x v="0"/>
    <x v="1"/>
    <x v="1"/>
  </r>
  <r>
    <s v="T01959"/>
    <d v="2023-01-21T00:00:00"/>
    <d v="1899-12-30T14:45:00"/>
    <x v="0"/>
    <x v="0"/>
    <s v="Station_32"/>
    <s v="Station_29"/>
    <d v="1899-12-30T14:45:00"/>
    <d v="1899-12-30T15:25:00"/>
    <n v="15"/>
    <n v="26"/>
    <x v="2"/>
    <n v="13.2"/>
    <n v="77"/>
    <n v="41"/>
    <n v="1.8"/>
    <x v="0"/>
    <n v="0"/>
    <n v="76"/>
    <x v="0"/>
    <x v="1"/>
    <x v="6"/>
    <x v="2"/>
    <x v="1"/>
    <x v="0"/>
  </r>
  <r>
    <s v="T01960"/>
    <d v="2023-01-21T00:00:00"/>
    <d v="1899-12-30T15:00:00"/>
    <x v="3"/>
    <x v="16"/>
    <s v="Station_45"/>
    <s v="Station_21"/>
    <d v="1899-12-30T15:01:00"/>
    <d v="1899-12-30T15:45:00"/>
    <n v="5"/>
    <n v="9"/>
    <x v="5"/>
    <n v="20.2"/>
    <n v="78"/>
    <n v="25"/>
    <n v="5.2"/>
    <x v="0"/>
    <n v="50000"/>
    <n v="37"/>
    <x v="0"/>
    <x v="1"/>
    <x v="6"/>
    <x v="3"/>
    <x v="1"/>
    <x v="1"/>
  </r>
  <r>
    <s v="T01961"/>
    <d v="2023-01-21T00:00:00"/>
    <d v="1899-12-30T15:15:00"/>
    <x v="2"/>
    <x v="12"/>
    <s v="Station_2"/>
    <s v="Station_48"/>
    <d v="1899-12-30T15:17:00"/>
    <d v="1899-12-30T16:01:00"/>
    <n v="11"/>
    <n v="0"/>
    <x v="4"/>
    <n v="16.600000000000001"/>
    <n v="31"/>
    <n v="33"/>
    <n v="1.7"/>
    <x v="0"/>
    <n v="0"/>
    <n v="26"/>
    <x v="0"/>
    <x v="1"/>
    <x v="6"/>
    <x v="3"/>
    <x v="0"/>
    <x v="2"/>
  </r>
  <r>
    <s v="T01962"/>
    <d v="2023-01-21T00:00:00"/>
    <d v="1899-12-30T15:30:00"/>
    <x v="3"/>
    <x v="15"/>
    <s v="Station_31"/>
    <s v="Station_45"/>
    <d v="1899-12-30T15:30:00"/>
    <d v="1899-12-30T16:05:00"/>
    <n v="4"/>
    <n v="14"/>
    <x v="5"/>
    <n v="-2.9"/>
    <n v="43"/>
    <n v="18"/>
    <n v="5.5"/>
    <x v="0"/>
    <n v="0"/>
    <n v="19"/>
    <x v="0"/>
    <x v="0"/>
    <x v="6"/>
    <x v="0"/>
    <x v="1"/>
    <x v="2"/>
  </r>
  <r>
    <s v="T01963"/>
    <d v="2023-01-21T00:00:00"/>
    <d v="1899-12-30T15:45:00"/>
    <x v="3"/>
    <x v="4"/>
    <s v="Station_3"/>
    <s v="Station_45"/>
    <d v="1899-12-30T15:48:00"/>
    <d v="1899-12-30T16:30:00"/>
    <n v="18"/>
    <n v="19"/>
    <x v="3"/>
    <n v="24.7"/>
    <n v="46"/>
    <n v="13"/>
    <n v="1.8"/>
    <x v="0"/>
    <n v="0"/>
    <n v="61"/>
    <x v="0"/>
    <x v="0"/>
    <x v="6"/>
    <x v="2"/>
    <x v="1"/>
    <x v="1"/>
  </r>
  <r>
    <s v="T01964"/>
    <d v="2023-01-21T00:00:00"/>
    <d v="1899-12-30T16:00:00"/>
    <x v="2"/>
    <x v="13"/>
    <s v="Station_8"/>
    <s v="Station_49"/>
    <d v="1899-12-30T16:02:00"/>
    <d v="1899-12-30T16:52:00"/>
    <n v="1"/>
    <n v="29"/>
    <x v="1"/>
    <n v="1.9"/>
    <n v="60"/>
    <n v="7"/>
    <n v="10.199999999999999"/>
    <x v="0"/>
    <n v="0"/>
    <n v="73"/>
    <x v="0"/>
    <x v="0"/>
    <x v="6"/>
    <x v="1"/>
    <x v="1"/>
    <x v="0"/>
  </r>
  <r>
    <s v="T01965"/>
    <d v="2023-01-21T00:00:00"/>
    <d v="1899-12-30T16:15:00"/>
    <x v="2"/>
    <x v="12"/>
    <s v="Station_24"/>
    <s v="Station_27"/>
    <d v="1899-12-30T16:15:00"/>
    <d v="1899-12-30T17:05:00"/>
    <n v="14"/>
    <n v="13"/>
    <x v="0"/>
    <n v="-3.7"/>
    <n v="39"/>
    <n v="50"/>
    <n v="8.8000000000000007"/>
    <x v="2"/>
    <n v="0"/>
    <n v="15"/>
    <x v="0"/>
    <x v="1"/>
    <x v="6"/>
    <x v="1"/>
    <x v="1"/>
    <x v="2"/>
  </r>
  <r>
    <s v="T01966"/>
    <d v="2023-01-21T00:00:00"/>
    <d v="1899-12-30T16:30:00"/>
    <x v="2"/>
    <x v="12"/>
    <s v="Station_15"/>
    <s v="Station_39"/>
    <d v="1899-12-30T16:34:00"/>
    <d v="1899-12-30T16:55:00"/>
    <n v="2"/>
    <n v="24"/>
    <x v="4"/>
    <n v="13"/>
    <n v="99"/>
    <n v="0"/>
    <n v="3.5"/>
    <x v="0"/>
    <n v="0"/>
    <n v="78"/>
    <x v="0"/>
    <x v="1"/>
    <x v="6"/>
    <x v="1"/>
    <x v="1"/>
    <x v="0"/>
  </r>
  <r>
    <s v="T01967"/>
    <d v="2023-01-21T00:00:00"/>
    <d v="1899-12-30T16:45:00"/>
    <x v="1"/>
    <x v="19"/>
    <s v="Station_43"/>
    <s v="Station_40"/>
    <d v="1899-12-30T16:46:00"/>
    <d v="1899-12-30T17:12:00"/>
    <n v="9"/>
    <n v="10"/>
    <x v="4"/>
    <n v="29.6"/>
    <n v="66"/>
    <n v="47"/>
    <n v="3.5"/>
    <x v="2"/>
    <n v="0"/>
    <n v="12"/>
    <x v="0"/>
    <x v="1"/>
    <x v="6"/>
    <x v="3"/>
    <x v="1"/>
    <x v="2"/>
  </r>
  <r>
    <s v="T01968"/>
    <d v="2023-01-21T00:00:00"/>
    <d v="1899-12-30T17:00:00"/>
    <x v="2"/>
    <x v="5"/>
    <s v="Station_31"/>
    <s v="Station_13"/>
    <d v="1899-12-30T17:00:00"/>
    <d v="1899-12-30T17:26:00"/>
    <n v="6"/>
    <n v="7"/>
    <x v="2"/>
    <n v="1"/>
    <n v="93"/>
    <n v="24"/>
    <n v="12.5"/>
    <x v="3"/>
    <n v="0"/>
    <n v="19"/>
    <x v="0"/>
    <x v="1"/>
    <x v="6"/>
    <x v="3"/>
    <x v="1"/>
    <x v="2"/>
  </r>
  <r>
    <s v="T01969"/>
    <d v="2023-01-21T00:00:00"/>
    <d v="1899-12-30T17:15:00"/>
    <x v="2"/>
    <x v="9"/>
    <s v="Station_9"/>
    <s v="Station_23"/>
    <d v="1899-12-30T17:16:00"/>
    <d v="1899-12-30T18:08:00"/>
    <n v="17"/>
    <n v="9"/>
    <x v="2"/>
    <n v="-4.5"/>
    <n v="59"/>
    <n v="23"/>
    <n v="7.7"/>
    <x v="5"/>
    <n v="0"/>
    <n v="23"/>
    <x v="0"/>
    <x v="1"/>
    <x v="6"/>
    <x v="2"/>
    <x v="1"/>
    <x v="2"/>
  </r>
  <r>
    <s v="T01970"/>
    <d v="2023-01-21T00:00:00"/>
    <d v="1899-12-30T17:30:00"/>
    <x v="2"/>
    <x v="10"/>
    <s v="Station_39"/>
    <s v="Station_16"/>
    <d v="1899-12-30T17:34:00"/>
    <d v="1899-12-30T18:03:00"/>
    <n v="10"/>
    <n v="29"/>
    <x v="2"/>
    <n v="-0.6"/>
    <n v="63"/>
    <n v="46"/>
    <n v="1.1000000000000001"/>
    <x v="0"/>
    <n v="10000"/>
    <n v="49"/>
    <x v="1"/>
    <x v="1"/>
    <x v="6"/>
    <x v="0"/>
    <x v="1"/>
    <x v="1"/>
  </r>
  <r>
    <s v="T01971"/>
    <d v="2023-01-21T00:00:00"/>
    <d v="1899-12-30T17:45:00"/>
    <x v="2"/>
    <x v="3"/>
    <s v="Station_45"/>
    <s v="Station_30"/>
    <d v="1899-12-30T17:45:00"/>
    <d v="1899-12-30T18:20:00"/>
    <n v="15"/>
    <n v="-2"/>
    <x v="5"/>
    <n v="9.5"/>
    <n v="47"/>
    <n v="19"/>
    <n v="18.399999999999999"/>
    <x v="5"/>
    <n v="0"/>
    <n v="6"/>
    <x v="0"/>
    <x v="1"/>
    <x v="6"/>
    <x v="3"/>
    <x v="0"/>
    <x v="2"/>
  </r>
  <r>
    <s v="T01972"/>
    <d v="2023-01-21T00:00:00"/>
    <d v="1899-12-30T18:00:00"/>
    <x v="0"/>
    <x v="3"/>
    <s v="Station_2"/>
    <s v="Station_4"/>
    <d v="1899-12-30T18:03:00"/>
    <d v="1899-12-30T18:28:00"/>
    <n v="17"/>
    <n v="25"/>
    <x v="0"/>
    <n v="18.2"/>
    <n v="92"/>
    <n v="55"/>
    <n v="8.1"/>
    <x v="1"/>
    <n v="0"/>
    <n v="86"/>
    <x v="0"/>
    <x v="1"/>
    <x v="6"/>
    <x v="0"/>
    <x v="1"/>
    <x v="0"/>
  </r>
  <r>
    <s v="T01973"/>
    <d v="2023-01-21T00:00:00"/>
    <d v="1899-12-30T18:15:00"/>
    <x v="1"/>
    <x v="5"/>
    <s v="Station_8"/>
    <s v="Station_40"/>
    <d v="1899-12-30T18:17:00"/>
    <d v="1899-12-30T18:44:00"/>
    <n v="6"/>
    <n v="0"/>
    <x v="5"/>
    <n v="2.7"/>
    <n v="78"/>
    <n v="29"/>
    <n v="11.8"/>
    <x v="1"/>
    <n v="500"/>
    <n v="87"/>
    <x v="0"/>
    <x v="1"/>
    <x v="6"/>
    <x v="1"/>
    <x v="0"/>
    <x v="0"/>
  </r>
  <r>
    <s v="T01974"/>
    <d v="2023-01-21T00:00:00"/>
    <d v="1899-12-30T18:30:00"/>
    <x v="3"/>
    <x v="11"/>
    <s v="Station_7"/>
    <s v="Station_16"/>
    <d v="1899-12-30T18:30:00"/>
    <d v="1899-12-30T19:06:00"/>
    <n v="1"/>
    <n v="8"/>
    <x v="0"/>
    <n v="27.1"/>
    <n v="85"/>
    <n v="4"/>
    <n v="17.7"/>
    <x v="0"/>
    <n v="2000"/>
    <n v="28"/>
    <x v="0"/>
    <x v="1"/>
    <x v="6"/>
    <x v="1"/>
    <x v="1"/>
    <x v="2"/>
  </r>
  <r>
    <s v="T01975"/>
    <d v="2023-01-21T00:00:00"/>
    <d v="1899-12-30T18:45:00"/>
    <x v="2"/>
    <x v="11"/>
    <s v="Station_44"/>
    <s v="Station_31"/>
    <d v="1899-12-30T18:49:00"/>
    <d v="1899-12-30T19:16:00"/>
    <n v="18"/>
    <n v="22"/>
    <x v="4"/>
    <n v="25.1"/>
    <n v="87"/>
    <n v="2"/>
    <n v="8"/>
    <x v="0"/>
    <n v="2000"/>
    <n v="4"/>
    <x v="0"/>
    <x v="1"/>
    <x v="6"/>
    <x v="0"/>
    <x v="1"/>
    <x v="2"/>
  </r>
  <r>
    <s v="T01976"/>
    <d v="2023-01-21T00:00:00"/>
    <d v="1899-12-30T19:00:00"/>
    <x v="0"/>
    <x v="18"/>
    <s v="Station_39"/>
    <s v="Station_42"/>
    <d v="1899-12-30T19:00:00"/>
    <d v="1899-12-30T19:25:00"/>
    <n v="5"/>
    <n v="24"/>
    <x v="5"/>
    <n v="22.8"/>
    <n v="56"/>
    <n v="31"/>
    <n v="16.399999999999999"/>
    <x v="3"/>
    <n v="10000"/>
    <n v="34"/>
    <x v="0"/>
    <x v="1"/>
    <x v="6"/>
    <x v="2"/>
    <x v="1"/>
    <x v="1"/>
  </r>
  <r>
    <s v="T01977"/>
    <d v="2023-01-21T00:00:00"/>
    <d v="1899-12-30T19:15:00"/>
    <x v="0"/>
    <x v="4"/>
    <s v="Station_42"/>
    <s v="Station_25"/>
    <d v="1899-12-30T19:16:00"/>
    <d v="1899-12-30T19:53:00"/>
    <n v="-2"/>
    <n v="-1"/>
    <x v="5"/>
    <n v="14.5"/>
    <n v="84"/>
    <n v="16"/>
    <n v="18.3"/>
    <x v="0"/>
    <n v="0"/>
    <n v="64"/>
    <x v="0"/>
    <x v="1"/>
    <x v="6"/>
    <x v="1"/>
    <x v="0"/>
    <x v="1"/>
  </r>
  <r>
    <s v="T01978"/>
    <d v="2023-01-21T00:00:00"/>
    <d v="1899-12-30T19:30:00"/>
    <x v="0"/>
    <x v="14"/>
    <s v="Station_16"/>
    <s v="Station_44"/>
    <d v="1899-12-30T19:30:00"/>
    <d v="1899-12-30T20:18:00"/>
    <n v="14"/>
    <n v="16"/>
    <x v="5"/>
    <n v="9.6"/>
    <n v="48"/>
    <n v="41"/>
    <n v="3.5"/>
    <x v="0"/>
    <n v="0"/>
    <n v="99"/>
    <x v="0"/>
    <x v="0"/>
    <x v="6"/>
    <x v="2"/>
    <x v="1"/>
    <x v="0"/>
  </r>
  <r>
    <s v="T01979"/>
    <d v="2023-01-21T00:00:00"/>
    <d v="1899-12-30T19:45:00"/>
    <x v="3"/>
    <x v="14"/>
    <s v="Station_35"/>
    <s v="Station_12"/>
    <d v="1899-12-30T19:48:00"/>
    <d v="1899-12-30T20:10:00"/>
    <n v="6"/>
    <n v="6"/>
    <x v="1"/>
    <n v="10"/>
    <n v="52"/>
    <n v="4"/>
    <n v="17.8"/>
    <x v="0"/>
    <n v="0"/>
    <n v="81"/>
    <x v="0"/>
    <x v="1"/>
    <x v="6"/>
    <x v="1"/>
    <x v="1"/>
    <x v="0"/>
  </r>
  <r>
    <s v="T01980"/>
    <d v="2023-01-21T00:00:00"/>
    <d v="1899-12-30T20:00:00"/>
    <x v="2"/>
    <x v="8"/>
    <s v="Station_30"/>
    <s v="Station_26"/>
    <d v="1899-12-30T20:00:00"/>
    <d v="1899-12-30T20:44:00"/>
    <n v="17"/>
    <n v="14"/>
    <x v="3"/>
    <n v="15.1"/>
    <n v="76"/>
    <n v="10"/>
    <n v="2.4"/>
    <x v="5"/>
    <n v="10000"/>
    <n v="69"/>
    <x v="1"/>
    <x v="0"/>
    <x v="6"/>
    <x v="3"/>
    <x v="1"/>
    <x v="0"/>
  </r>
  <r>
    <s v="T01981"/>
    <d v="2023-01-21T00:00:00"/>
    <d v="1899-12-30T20:15:00"/>
    <x v="1"/>
    <x v="13"/>
    <s v="Station_10"/>
    <s v="Station_37"/>
    <d v="1899-12-30T20:17:00"/>
    <d v="1899-12-30T20:58:00"/>
    <n v="10"/>
    <n v="23"/>
    <x v="0"/>
    <n v="-1.9"/>
    <n v="95"/>
    <n v="37"/>
    <n v="5.5"/>
    <x v="0"/>
    <n v="0"/>
    <n v="86"/>
    <x v="0"/>
    <x v="1"/>
    <x v="6"/>
    <x v="1"/>
    <x v="1"/>
    <x v="0"/>
  </r>
  <r>
    <s v="T01982"/>
    <d v="2023-01-21T00:00:00"/>
    <d v="1899-12-30T20:30:00"/>
    <x v="1"/>
    <x v="8"/>
    <s v="Station_38"/>
    <s v="Station_48"/>
    <d v="1899-12-30T20:30:00"/>
    <d v="1899-12-30T21:14:00"/>
    <n v="-1"/>
    <n v="27"/>
    <x v="0"/>
    <n v="22.3"/>
    <n v="80"/>
    <n v="3"/>
    <n v="16.2"/>
    <x v="5"/>
    <n v="0"/>
    <n v="73"/>
    <x v="0"/>
    <x v="1"/>
    <x v="6"/>
    <x v="2"/>
    <x v="1"/>
    <x v="0"/>
  </r>
  <r>
    <s v="T01983"/>
    <d v="2023-01-21T00:00:00"/>
    <d v="1899-12-30T20:45:00"/>
    <x v="0"/>
    <x v="13"/>
    <s v="Station_18"/>
    <s v="Station_33"/>
    <d v="1899-12-30T20:46:00"/>
    <d v="1899-12-30T21:20:00"/>
    <n v="10"/>
    <n v="23"/>
    <x v="5"/>
    <n v="9.1"/>
    <n v="57"/>
    <n v="38"/>
    <n v="18"/>
    <x v="0"/>
    <n v="2000"/>
    <n v="6"/>
    <x v="0"/>
    <x v="1"/>
    <x v="6"/>
    <x v="3"/>
    <x v="1"/>
    <x v="2"/>
  </r>
  <r>
    <s v="T01984"/>
    <d v="2023-01-21T00:00:00"/>
    <d v="1899-12-30T21:00:00"/>
    <x v="3"/>
    <x v="14"/>
    <s v="Station_50"/>
    <s v="Station_28"/>
    <d v="1899-12-30T21:00:00"/>
    <d v="1899-12-30T21:35:00"/>
    <n v="6"/>
    <n v="-3"/>
    <x v="1"/>
    <n v="4"/>
    <n v="86"/>
    <n v="18"/>
    <n v="13.7"/>
    <x v="0"/>
    <n v="0"/>
    <n v="43"/>
    <x v="0"/>
    <x v="0"/>
    <x v="6"/>
    <x v="1"/>
    <x v="0"/>
    <x v="1"/>
  </r>
  <r>
    <s v="T01985"/>
    <d v="2023-01-21T00:00:00"/>
    <d v="1899-12-30T21:15:00"/>
    <x v="3"/>
    <x v="0"/>
    <s v="Station_5"/>
    <s v="Station_9"/>
    <d v="1899-12-30T21:18:00"/>
    <d v="1899-12-30T21:40:00"/>
    <n v="17"/>
    <n v="2"/>
    <x v="5"/>
    <n v="6.1"/>
    <n v="87"/>
    <n v="38"/>
    <n v="2.1"/>
    <x v="0"/>
    <n v="0"/>
    <n v="71"/>
    <x v="0"/>
    <x v="1"/>
    <x v="6"/>
    <x v="3"/>
    <x v="0"/>
    <x v="0"/>
  </r>
  <r>
    <s v="T01986"/>
    <d v="2023-01-21T00:00:00"/>
    <d v="1899-12-30T21:30:00"/>
    <x v="3"/>
    <x v="18"/>
    <s v="Station_29"/>
    <s v="Station_12"/>
    <d v="1899-12-30T21:34:00"/>
    <d v="1899-12-30T22:26:00"/>
    <n v="3"/>
    <n v="7"/>
    <x v="0"/>
    <n v="2.2000000000000002"/>
    <n v="44"/>
    <n v="45"/>
    <n v="10.5"/>
    <x v="4"/>
    <n v="0"/>
    <n v="12"/>
    <x v="0"/>
    <x v="1"/>
    <x v="6"/>
    <x v="3"/>
    <x v="1"/>
    <x v="2"/>
  </r>
  <r>
    <s v="T01987"/>
    <d v="2023-01-21T00:00:00"/>
    <d v="1899-12-30T21:45:00"/>
    <x v="1"/>
    <x v="10"/>
    <s v="Station_39"/>
    <s v="Station_5"/>
    <d v="1899-12-30T21:45:00"/>
    <d v="1899-12-30T22:25:00"/>
    <n v="-2"/>
    <n v="16"/>
    <x v="3"/>
    <n v="31.1"/>
    <n v="45"/>
    <n v="48"/>
    <n v="11.5"/>
    <x v="0"/>
    <n v="0"/>
    <n v="93"/>
    <x v="1"/>
    <x v="1"/>
    <x v="6"/>
    <x v="1"/>
    <x v="1"/>
    <x v="0"/>
  </r>
  <r>
    <s v="T01988"/>
    <d v="2023-01-21T00:00:00"/>
    <d v="1899-12-30T22:00:00"/>
    <x v="0"/>
    <x v="4"/>
    <s v="Station_34"/>
    <s v="Station_28"/>
    <d v="1899-12-30T22:00:00"/>
    <d v="1899-12-30T22:23:00"/>
    <n v="2"/>
    <n v="17"/>
    <x v="3"/>
    <n v="1.8"/>
    <n v="76"/>
    <n v="22"/>
    <n v="5.6"/>
    <x v="0"/>
    <n v="0"/>
    <n v="81"/>
    <x v="0"/>
    <x v="1"/>
    <x v="6"/>
    <x v="0"/>
    <x v="1"/>
    <x v="0"/>
  </r>
  <r>
    <s v="T01989"/>
    <d v="2023-01-21T00:00:00"/>
    <d v="1899-12-30T22:15:00"/>
    <x v="2"/>
    <x v="8"/>
    <s v="Station_43"/>
    <s v="Station_35"/>
    <d v="1899-12-30T22:17:00"/>
    <d v="1899-12-30T23:08:00"/>
    <n v="0"/>
    <n v="17"/>
    <x v="4"/>
    <n v="30.3"/>
    <n v="92"/>
    <n v="16"/>
    <n v="19.8"/>
    <x v="0"/>
    <n v="0"/>
    <n v="77"/>
    <x v="0"/>
    <x v="1"/>
    <x v="6"/>
    <x v="0"/>
    <x v="1"/>
    <x v="0"/>
  </r>
  <r>
    <s v="T01990"/>
    <d v="2023-01-21T00:00:00"/>
    <d v="1899-12-30T22:30:00"/>
    <x v="1"/>
    <x v="1"/>
    <s v="Station_45"/>
    <s v="Station_5"/>
    <d v="1899-12-30T22:33:00"/>
    <d v="1899-12-30T23:17:00"/>
    <n v="1"/>
    <n v="14"/>
    <x v="1"/>
    <n v="17.899999999999999"/>
    <n v="41"/>
    <n v="12"/>
    <n v="6.7"/>
    <x v="0"/>
    <n v="2000"/>
    <n v="74"/>
    <x v="0"/>
    <x v="1"/>
    <x v="6"/>
    <x v="2"/>
    <x v="1"/>
    <x v="0"/>
  </r>
  <r>
    <s v="T01991"/>
    <d v="2023-01-21T00:00:00"/>
    <d v="1899-12-30T22:45:00"/>
    <x v="0"/>
    <x v="13"/>
    <s v="Station_23"/>
    <s v="Station_34"/>
    <d v="1899-12-30T22:49:00"/>
    <d v="1899-12-30T23:42:00"/>
    <n v="-2"/>
    <n v="17"/>
    <x v="3"/>
    <n v="29.7"/>
    <n v="72"/>
    <n v="26"/>
    <n v="4.2"/>
    <x v="4"/>
    <n v="10000"/>
    <n v="37"/>
    <x v="0"/>
    <x v="1"/>
    <x v="6"/>
    <x v="2"/>
    <x v="1"/>
    <x v="1"/>
  </r>
  <r>
    <s v="T01992"/>
    <d v="2023-01-21T00:00:00"/>
    <d v="1899-12-30T23:00:00"/>
    <x v="0"/>
    <x v="16"/>
    <s v="Station_5"/>
    <s v="Station_46"/>
    <d v="1899-12-30T23:01:00"/>
    <d v="1899-12-30T23:47:00"/>
    <n v="11"/>
    <n v="15"/>
    <x v="1"/>
    <n v="14"/>
    <n v="58"/>
    <n v="0"/>
    <n v="2.2000000000000002"/>
    <x v="0"/>
    <n v="500"/>
    <n v="12"/>
    <x v="0"/>
    <x v="1"/>
    <x v="6"/>
    <x v="1"/>
    <x v="1"/>
    <x v="2"/>
  </r>
  <r>
    <s v="T01993"/>
    <d v="2023-01-21T00:00:00"/>
    <d v="1899-12-30T23:15:00"/>
    <x v="2"/>
    <x v="8"/>
    <s v="Station_30"/>
    <s v="Station_34"/>
    <d v="1899-12-30T23:15:00"/>
    <d v="1899-12-30T23:51:00"/>
    <n v="6"/>
    <n v="0"/>
    <x v="5"/>
    <n v="32.1"/>
    <n v="78"/>
    <n v="1"/>
    <n v="7.6"/>
    <x v="0"/>
    <n v="500"/>
    <n v="53"/>
    <x v="0"/>
    <x v="0"/>
    <x v="6"/>
    <x v="3"/>
    <x v="0"/>
    <x v="1"/>
  </r>
  <r>
    <s v="T01994"/>
    <d v="2023-01-21T00:00:00"/>
    <d v="1899-12-30T23:30:00"/>
    <x v="2"/>
    <x v="16"/>
    <s v="Station_6"/>
    <s v="Station_13"/>
    <d v="1899-12-30T23:34:00"/>
    <d v="1899-12-30T00:03:00"/>
    <n v="1"/>
    <n v="9"/>
    <x v="4"/>
    <n v="3.5"/>
    <n v="32"/>
    <n v="17"/>
    <n v="13.9"/>
    <x v="0"/>
    <n v="0"/>
    <n v="43"/>
    <x v="1"/>
    <x v="1"/>
    <x v="6"/>
    <x v="3"/>
    <x v="1"/>
    <x v="1"/>
  </r>
  <r>
    <s v="T01995"/>
    <d v="2023-01-21T00:00:00"/>
    <d v="1899-12-30T23:45:00"/>
    <x v="2"/>
    <x v="17"/>
    <s v="Station_46"/>
    <s v="Station_39"/>
    <d v="1899-12-30T23:46:00"/>
    <d v="1899-12-30T00:11:00"/>
    <n v="15"/>
    <n v="14"/>
    <x v="0"/>
    <n v="17.2"/>
    <n v="98"/>
    <n v="35"/>
    <n v="4.5999999999999996"/>
    <x v="0"/>
    <n v="0"/>
    <n v="96"/>
    <x v="0"/>
    <x v="1"/>
    <x v="6"/>
    <x v="0"/>
    <x v="1"/>
    <x v="0"/>
  </r>
  <r>
    <s v="T01996"/>
    <d v="2023-01-22T00:00:00"/>
    <d v="1899-12-30T00:00:00"/>
    <x v="3"/>
    <x v="9"/>
    <s v="Station_44"/>
    <s v="Station_42"/>
    <d v="1899-12-30T00:03:00"/>
    <d v="1899-12-30T00:41:00"/>
    <n v="11"/>
    <n v="25"/>
    <x v="3"/>
    <n v="0"/>
    <n v="89"/>
    <n v="44"/>
    <n v="15.4"/>
    <x v="5"/>
    <n v="0"/>
    <n v="12"/>
    <x v="0"/>
    <x v="0"/>
    <x v="0"/>
    <x v="0"/>
    <x v="1"/>
    <x v="2"/>
  </r>
  <r>
    <s v="T01997"/>
    <d v="2023-01-22T00:00:00"/>
    <d v="1899-12-30T00:15:00"/>
    <x v="2"/>
    <x v="1"/>
    <s v="Station_4"/>
    <s v="Station_45"/>
    <d v="1899-12-30T00:18:00"/>
    <d v="1899-12-30T00:35:00"/>
    <n v="1"/>
    <n v="21"/>
    <x v="3"/>
    <n v="12.9"/>
    <n v="95"/>
    <n v="32"/>
    <n v="2.7"/>
    <x v="0"/>
    <n v="0"/>
    <n v="24"/>
    <x v="1"/>
    <x v="1"/>
    <x v="0"/>
    <x v="3"/>
    <x v="1"/>
    <x v="2"/>
  </r>
  <r>
    <s v="T01998"/>
    <d v="2023-01-22T00:00:00"/>
    <d v="1899-12-30T00:30:00"/>
    <x v="0"/>
    <x v="5"/>
    <s v="Station_29"/>
    <s v="Station_48"/>
    <d v="1899-12-30T00:34:00"/>
    <d v="1899-12-30T01:18:00"/>
    <n v="7"/>
    <n v="9"/>
    <x v="2"/>
    <n v="17.8"/>
    <n v="55"/>
    <n v="35"/>
    <n v="8.8000000000000007"/>
    <x v="0"/>
    <n v="2000"/>
    <n v="23"/>
    <x v="0"/>
    <x v="1"/>
    <x v="0"/>
    <x v="3"/>
    <x v="1"/>
    <x v="2"/>
  </r>
  <r>
    <s v="T01999"/>
    <d v="2023-01-22T00:00:00"/>
    <d v="1899-12-30T00:45:00"/>
    <x v="2"/>
    <x v="0"/>
    <s v="Station_23"/>
    <s v="Station_14"/>
    <d v="1899-12-30T00:46:00"/>
    <d v="1899-12-30T01:35:00"/>
    <n v="0"/>
    <n v="23"/>
    <x v="0"/>
    <n v="19.2"/>
    <n v="98"/>
    <n v="1"/>
    <n v="14"/>
    <x v="0"/>
    <n v="50000"/>
    <n v="28"/>
    <x v="0"/>
    <x v="1"/>
    <x v="0"/>
    <x v="2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F948E-1015-485D-9686-89E2E452071C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5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5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5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C622F-4593-4788-B3FD-A53E00414E0E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2DAA5-6ECC-4EBB-B511-56B5031318A7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FDBAF-EE7B-4209-AA51-BC44127E6935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7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FAB78-CFAD-4327-A9B5-34E51FB8BBEA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1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1"/>
        <item x="2"/>
        <item x="3"/>
        <item x="4"/>
        <item x="5"/>
        <item x="6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9968F-496A-423D-8A93-68314B4253BB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2BA8B-9E86-4BA9-A788-61B26A4E536D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316DE-EDF9-43E2-919B-FE5F8CD3386E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5"/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7BD83-3069-4BD5-B2DE-24E93AFA0505}" name="PivotTable2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6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measureFilter="1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 v="16"/>
    </i>
    <i>
      <x v="10"/>
    </i>
    <i>
      <x v="13"/>
    </i>
    <i>
      <x v="4"/>
    </i>
    <i>
      <x v="3"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5BC34-D435-4B9A-9D1F-1E1E4FF98032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0159D-2962-4F81-9C62-CA596F11BE6E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F1682-577A-471D-A226-1909CD4B54DB}" name="PivotTable5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391BC-2209-4099-81AD-4EB6BEB18288}" name="PivotTable1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B23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20">
    <i>
      <x v="16"/>
    </i>
    <i>
      <x v="10"/>
    </i>
    <i>
      <x v="13"/>
    </i>
    <i>
      <x v="4"/>
    </i>
    <i>
      <x v="3"/>
    </i>
    <i>
      <x v="2"/>
    </i>
    <i>
      <x v="14"/>
    </i>
    <i>
      <x v="11"/>
    </i>
    <i>
      <x v="7"/>
    </i>
    <i>
      <x v="19"/>
    </i>
    <i>
      <x v="9"/>
    </i>
    <i>
      <x v="17"/>
    </i>
    <i>
      <x v="1"/>
    </i>
    <i>
      <x v="8"/>
    </i>
    <i>
      <x v="12"/>
    </i>
    <i>
      <x v="6"/>
    </i>
    <i>
      <x/>
    </i>
    <i>
      <x v="5"/>
    </i>
    <i>
      <x v="15"/>
    </i>
    <i>
      <x v="18"/>
    </i>
  </rowItems>
  <colItems count="1">
    <i/>
  </colItems>
  <dataFields count="1">
    <dataField name="Average of actual_arrival_delay_min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ransport_type" xr10:uid="{09D3EA50-C9A3-4A2A-A932-EDB556AD20E4}" sourceName="transport_type">
  <pivotTables>
    <pivotTable tabId="2" name="PivotTable1"/>
  </pivotTables>
  <data>
    <tabular pivotCacheId="297029519">
      <items count="4">
        <i x="2" s="1"/>
        <i x="1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ather_condition" xr10:uid="{187597E0-4949-43CB-A185-B7CB84333957}" sourceName="weather_condition">
  <pivotTables>
    <pivotTable tabId="3" name="PivotTable2"/>
  </pivotTables>
  <data>
    <tabular pivotCacheId="297029519">
      <items count="6">
        <i x="2" s="1"/>
        <i x="5" s="1"/>
        <i x="4" s="1"/>
        <i x="1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ngestion_level" xr10:uid="{5BC70A79-DCF5-4AC7-AFA1-9F6D1602EF53}" sourceName="congestion_level">
  <pivotTables>
    <pivotTable tabId="5" name="PivotTable4"/>
  </pivotTables>
  <data>
    <tabular pivotCacheId="297029519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ason" xr10:uid="{F1487A06-3458-4525-846F-D8E2D9EC9EF8}" sourceName="season">
  <pivotTables>
    <pivotTable tabId="7" name="PivotTable2"/>
  </pivotTables>
  <data>
    <tabular pivotCacheId="297029519">
      <items count="4">
        <i x="1" s="1"/>
        <i x="2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nsport_type" xr10:uid="{28900826-A2D3-4098-BD99-BAC51FCD02C0}" cache="Slicer_transport_type" caption="transport_typ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eather_condition" xr10:uid="{817F941B-22BB-46F6-A1F1-CA73C68D3C65}" cache="Slicer_weather_condition" caption="weather_condition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gestion_level" xr10:uid="{DB636B8D-B617-4BDB-B6EA-C908EE2C519A}" cache="Slicer_congestion_level" caption="congestion_level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ason" xr10:uid="{6766A2FB-07FC-4B78-A04B-C38C6F6B3BD0}" cache="Slicer_season" caption="seas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CCAF2-228B-486E-BD57-E99D64794730}" name="Table1" displayName="Table1" ref="A1:Y2001" totalsRowShown="0">
  <autoFilter ref="A1:Y2001" xr:uid="{F0ECCAF2-228B-486E-BD57-E99D64794730}"/>
  <tableColumns count="25">
    <tableColumn id="1" xr3:uid="{16C97559-48DE-41A7-9093-9D89A07007AF}" name="trip_id"/>
    <tableColumn id="2" xr3:uid="{BAC1711C-39CC-44FA-BCCF-01671E9DEDDE}" name="date" dataDxfId="4"/>
    <tableColumn id="3" xr3:uid="{FBE97FB4-BF0A-4821-B077-A2731C267E59}" name="time" dataDxfId="3"/>
    <tableColumn id="4" xr3:uid="{3F006263-701C-4F4E-9758-EA228F80F03A}" name="transport_type"/>
    <tableColumn id="5" xr3:uid="{056552E7-4269-4B8F-82D0-7901E34EFAEC}" name="route_id"/>
    <tableColumn id="6" xr3:uid="{D68DD298-215A-4E94-8F27-88C83793C413}" name="origin_station"/>
    <tableColumn id="7" xr3:uid="{E984A0E1-1ADA-4146-946D-86FE8CB78C12}" name="destination_station"/>
    <tableColumn id="8" xr3:uid="{545B8019-992A-4F1E-89BE-A1A78A4EF6FF}" name="scheduled_departure" dataDxfId="2"/>
    <tableColumn id="9" xr3:uid="{F8CA6C2F-E9E8-4F19-BF11-EC0A8D09F355}" name="scheduled_arrival" dataDxfId="1"/>
    <tableColumn id="10" xr3:uid="{69FB7D0C-3A3D-42E3-A598-82C312FD5F08}" name="actual_departure_delay_min"/>
    <tableColumn id="11" xr3:uid="{5FBE4262-C5CD-469A-8EB9-8042D0FDD85B}" name="actual_arrival_delay_min"/>
    <tableColumn id="12" xr3:uid="{F2261C6C-D676-4716-87E6-5BB61A659568}" name="weather_condition"/>
    <tableColumn id="13" xr3:uid="{7D9DECAB-6FBA-427E-AE2A-3F1E371E5104}" name="temperature_C"/>
    <tableColumn id="14" xr3:uid="{3074488B-74C8-4780-B072-E32102AEDC92}" name="humidity_percent"/>
    <tableColumn id="15" xr3:uid="{221118C5-D2DE-4DE2-A6FF-219D17F274AC}" name="wind_speed_kmh"/>
    <tableColumn id="16" xr3:uid="{5994C8CE-2E0D-4504-9892-E2463662626D}" name="precipitation_mm"/>
    <tableColumn id="17" xr3:uid="{4355EEC1-BE8F-4A19-AC21-B3117720A500}" name="event_type"/>
    <tableColumn id="18" xr3:uid="{87CE7072-B18F-436C-8E09-44E83D899AFD}" name="event_attendance_est"/>
    <tableColumn id="19" xr3:uid="{D0E75DDC-3DDC-4C6F-A1DE-4D97C28470BE}" name="traffic_congestion_index"/>
    <tableColumn id="20" xr3:uid="{F8325E27-9055-45EA-9A7D-B56396877270}" name="holiday"/>
    <tableColumn id="21" xr3:uid="{19A88799-3DBB-47B7-9EAE-E07AC5620B8A}" name="peak_hour"/>
    <tableColumn id="22" xr3:uid="{51B53BE6-1187-4738-BDBB-BC8CBCEC8EDD}" name="weekday"/>
    <tableColumn id="23" xr3:uid="{4FACEEBA-5338-4D81-91C7-6ACA4D26A24E}" name="season"/>
    <tableColumn id="24" xr3:uid="{370D2C65-4E7F-43D1-91AA-6E3E56EACE81}" name="delayed"/>
    <tableColumn id="25" xr3:uid="{B059BFD0-1FBC-4972-8B6A-C9D7C2FB2944}" name="congestion_level" dataDxfId="0">
      <calculatedColumnFormula>IF(S2&lt;=33,"Low",IF(S2&lt;=66,"Medium","High"))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BA2-39EF-426D-9B7B-B0C080A1F57C}">
  <dimension ref="A1:Y2001"/>
  <sheetViews>
    <sheetView workbookViewId="0">
      <pane ySplit="1" topLeftCell="A2" activePane="bottomLeft" state="frozen"/>
      <selection pane="bottomLeft" activeCell="F15" sqref="F15"/>
    </sheetView>
  </sheetViews>
  <sheetFormatPr defaultRowHeight="15"/>
  <cols>
    <col min="1" max="1" width="9.28515625" bestFit="1" customWidth="1"/>
    <col min="2" max="2" width="9.85546875" bestFit="1" customWidth="1"/>
    <col min="4" max="4" width="17" bestFit="1" customWidth="1"/>
    <col min="5" max="5" width="11" bestFit="1" customWidth="1"/>
    <col min="6" max="6" width="16" bestFit="1" customWidth="1"/>
    <col min="7" max="7" width="21.140625" bestFit="1" customWidth="1"/>
    <col min="8" max="8" width="22.7109375" bestFit="1" customWidth="1"/>
    <col min="9" max="9" width="19.42578125" bestFit="1" customWidth="1"/>
    <col min="10" max="10" width="29.85546875" bestFit="1" customWidth="1"/>
    <col min="11" max="11" width="26.42578125" bestFit="1" customWidth="1"/>
    <col min="12" max="12" width="20.7109375" bestFit="1" customWidth="1"/>
    <col min="13" max="13" width="17.140625" bestFit="1" customWidth="1"/>
    <col min="14" max="14" width="19.7109375" bestFit="1" customWidth="1"/>
    <col min="15" max="15" width="19.42578125" bestFit="1" customWidth="1"/>
    <col min="16" max="16" width="19.7109375" bestFit="1" customWidth="1"/>
    <col min="17" max="17" width="13.5703125" bestFit="1" customWidth="1"/>
    <col min="18" max="18" width="23.85546875" bestFit="1" customWidth="1"/>
    <col min="19" max="19" width="26" bestFit="1" customWidth="1"/>
    <col min="20" max="20" width="10" bestFit="1" customWidth="1"/>
    <col min="21" max="21" width="13" bestFit="1" customWidth="1"/>
    <col min="22" max="22" width="11.42578125" bestFit="1" customWidth="1"/>
    <col min="23" max="23" width="9.5703125" bestFit="1" customWidth="1"/>
    <col min="24" max="24" width="10.42578125" bestFit="1" customWidth="1"/>
    <col min="25" max="25" width="20.5703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s="1">
        <v>44927</v>
      </c>
      <c r="C2" s="2">
        <v>0.20833333333333334</v>
      </c>
      <c r="D2" t="s">
        <v>26</v>
      </c>
      <c r="E2" t="s">
        <v>27</v>
      </c>
      <c r="F2" t="s">
        <v>28</v>
      </c>
      <c r="G2" t="s">
        <v>29</v>
      </c>
      <c r="H2" s="2">
        <v>0.20972222222222223</v>
      </c>
      <c r="I2" s="2">
        <v>0.24652777777777779</v>
      </c>
      <c r="J2">
        <v>12</v>
      </c>
      <c r="K2">
        <v>3</v>
      </c>
      <c r="L2" t="s">
        <v>30</v>
      </c>
      <c r="M2">
        <v>5.0999999999999996</v>
      </c>
      <c r="N2">
        <v>52</v>
      </c>
      <c r="O2">
        <v>46</v>
      </c>
      <c r="P2">
        <v>13</v>
      </c>
      <c r="Q2" t="s">
        <v>31</v>
      </c>
      <c r="R2">
        <v>500</v>
      </c>
      <c r="S2">
        <v>81</v>
      </c>
      <c r="T2">
        <v>0</v>
      </c>
      <c r="U2">
        <v>1</v>
      </c>
      <c r="V2">
        <v>6</v>
      </c>
      <c r="W2" t="s">
        <v>32</v>
      </c>
      <c r="X2">
        <v>0</v>
      </c>
      <c r="Y2" t="str">
        <f t="shared" ref="Y2:Y65" si="0">IF(S2&lt;=33,"Low",IF(S2&lt;=66,"Medium","High"))</f>
        <v>High</v>
      </c>
    </row>
    <row r="3" spans="1:25">
      <c r="A3" t="s">
        <v>33</v>
      </c>
      <c r="B3" s="1">
        <v>44927</v>
      </c>
      <c r="C3" s="2">
        <v>0.21875</v>
      </c>
      <c r="D3" t="s">
        <v>34</v>
      </c>
      <c r="E3" t="s">
        <v>35</v>
      </c>
      <c r="F3" t="s">
        <v>36</v>
      </c>
      <c r="G3" t="s">
        <v>37</v>
      </c>
      <c r="H3" s="2">
        <v>0.21944444444444444</v>
      </c>
      <c r="I3" s="2">
        <v>0.24652777777777779</v>
      </c>
      <c r="J3">
        <v>15</v>
      </c>
      <c r="K3">
        <v>9</v>
      </c>
      <c r="L3" t="s">
        <v>38</v>
      </c>
      <c r="M3">
        <v>34</v>
      </c>
      <c r="N3">
        <v>64</v>
      </c>
      <c r="O3">
        <v>11</v>
      </c>
      <c r="P3">
        <v>11.4</v>
      </c>
      <c r="Q3" t="s">
        <v>31</v>
      </c>
      <c r="R3">
        <v>0</v>
      </c>
      <c r="S3">
        <v>53</v>
      </c>
      <c r="T3">
        <v>0</v>
      </c>
      <c r="U3">
        <v>0</v>
      </c>
      <c r="V3">
        <v>6</v>
      </c>
      <c r="W3" t="s">
        <v>39</v>
      </c>
      <c r="X3">
        <v>1</v>
      </c>
      <c r="Y3" t="str">
        <f t="shared" si="0"/>
        <v>Medium</v>
      </c>
    </row>
    <row r="4" spans="1:25">
      <c r="A4" t="s">
        <v>40</v>
      </c>
      <c r="B4" s="1">
        <v>44927</v>
      </c>
      <c r="C4" s="2">
        <v>0.22916666666666666</v>
      </c>
      <c r="D4" t="s">
        <v>41</v>
      </c>
      <c r="E4" t="s">
        <v>42</v>
      </c>
      <c r="F4" t="s">
        <v>43</v>
      </c>
      <c r="G4" t="s">
        <v>44</v>
      </c>
      <c r="H4" s="2">
        <v>0.23125000000000001</v>
      </c>
      <c r="I4" s="2">
        <v>0.26180555555555557</v>
      </c>
      <c r="J4">
        <v>0</v>
      </c>
      <c r="K4">
        <v>0</v>
      </c>
      <c r="L4" t="s">
        <v>45</v>
      </c>
      <c r="M4">
        <v>29.5</v>
      </c>
      <c r="N4">
        <v>35</v>
      </c>
      <c r="O4">
        <v>31</v>
      </c>
      <c r="P4">
        <v>14.1</v>
      </c>
      <c r="Q4" t="s">
        <v>46</v>
      </c>
      <c r="R4">
        <v>0</v>
      </c>
      <c r="S4">
        <v>67</v>
      </c>
      <c r="T4">
        <v>1</v>
      </c>
      <c r="U4">
        <v>0</v>
      </c>
      <c r="V4">
        <v>6</v>
      </c>
      <c r="W4" t="s">
        <v>39</v>
      </c>
      <c r="X4">
        <v>0</v>
      </c>
      <c r="Y4" t="str">
        <f t="shared" si="0"/>
        <v>High</v>
      </c>
    </row>
    <row r="5" spans="1:25">
      <c r="A5" t="s">
        <v>47</v>
      </c>
      <c r="B5" s="1">
        <v>44927</v>
      </c>
      <c r="C5" s="2">
        <v>0.23958333333333334</v>
      </c>
      <c r="D5" t="s">
        <v>26</v>
      </c>
      <c r="E5" t="s">
        <v>48</v>
      </c>
      <c r="F5" t="s">
        <v>49</v>
      </c>
      <c r="G5" t="s">
        <v>50</v>
      </c>
      <c r="H5" s="2">
        <v>0.24236111111111111</v>
      </c>
      <c r="I5" s="2">
        <v>0.25555555555555554</v>
      </c>
      <c r="J5">
        <v>15</v>
      </c>
      <c r="K5">
        <v>10</v>
      </c>
      <c r="L5" t="s">
        <v>45</v>
      </c>
      <c r="M5">
        <v>27.4</v>
      </c>
      <c r="N5">
        <v>55</v>
      </c>
      <c r="O5">
        <v>41</v>
      </c>
      <c r="P5">
        <v>6.4</v>
      </c>
      <c r="Q5" t="s">
        <v>31</v>
      </c>
      <c r="R5">
        <v>500</v>
      </c>
      <c r="S5">
        <v>84</v>
      </c>
      <c r="T5">
        <v>0</v>
      </c>
      <c r="U5">
        <v>0</v>
      </c>
      <c r="V5">
        <v>6</v>
      </c>
      <c r="W5" t="s">
        <v>32</v>
      </c>
      <c r="X5">
        <v>1</v>
      </c>
      <c r="Y5" t="str">
        <f t="shared" si="0"/>
        <v>High</v>
      </c>
    </row>
    <row r="6" spans="1:25">
      <c r="A6" t="s">
        <v>51</v>
      </c>
      <c r="B6" s="1">
        <v>44927</v>
      </c>
      <c r="C6" s="2">
        <v>0.25</v>
      </c>
      <c r="D6" t="s">
        <v>26</v>
      </c>
      <c r="E6" t="s">
        <v>52</v>
      </c>
      <c r="F6" t="s">
        <v>50</v>
      </c>
      <c r="G6" t="s">
        <v>53</v>
      </c>
      <c r="H6" s="2">
        <v>0.25</v>
      </c>
      <c r="I6" s="2">
        <v>0.27430555555555558</v>
      </c>
      <c r="J6">
        <v>-1</v>
      </c>
      <c r="K6">
        <v>14</v>
      </c>
      <c r="L6" t="s">
        <v>54</v>
      </c>
      <c r="M6">
        <v>0.1</v>
      </c>
      <c r="N6">
        <v>90</v>
      </c>
      <c r="O6">
        <v>30</v>
      </c>
      <c r="P6">
        <v>18.5</v>
      </c>
      <c r="Q6" t="s">
        <v>31</v>
      </c>
      <c r="R6">
        <v>500</v>
      </c>
      <c r="S6">
        <v>46</v>
      </c>
      <c r="T6">
        <v>0</v>
      </c>
      <c r="U6">
        <v>0</v>
      </c>
      <c r="V6">
        <v>6</v>
      </c>
      <c r="W6" t="s">
        <v>55</v>
      </c>
      <c r="X6">
        <v>1</v>
      </c>
      <c r="Y6" t="str">
        <f t="shared" si="0"/>
        <v>Medium</v>
      </c>
    </row>
    <row r="7" spans="1:25">
      <c r="A7" t="s">
        <v>56</v>
      </c>
      <c r="B7" s="1">
        <v>44927</v>
      </c>
      <c r="C7" s="2">
        <v>0.26041666666666669</v>
      </c>
      <c r="D7" t="s">
        <v>34</v>
      </c>
      <c r="E7" t="s">
        <v>57</v>
      </c>
      <c r="F7" t="s">
        <v>37</v>
      </c>
      <c r="G7" t="s">
        <v>58</v>
      </c>
      <c r="H7" s="2">
        <v>0.26041666666666669</v>
      </c>
      <c r="I7" s="2">
        <v>0.28888888888888886</v>
      </c>
      <c r="J7">
        <v>7</v>
      </c>
      <c r="K7">
        <v>4</v>
      </c>
      <c r="L7" t="s">
        <v>38</v>
      </c>
      <c r="M7">
        <v>25.2</v>
      </c>
      <c r="N7">
        <v>44</v>
      </c>
      <c r="O7">
        <v>21</v>
      </c>
      <c r="P7">
        <v>2.2999999999999998</v>
      </c>
      <c r="Q7" t="s">
        <v>59</v>
      </c>
      <c r="R7">
        <v>0</v>
      </c>
      <c r="S7">
        <v>41</v>
      </c>
      <c r="T7">
        <v>0</v>
      </c>
      <c r="U7">
        <v>0</v>
      </c>
      <c r="V7">
        <v>6</v>
      </c>
      <c r="W7" t="s">
        <v>55</v>
      </c>
      <c r="X7">
        <v>0</v>
      </c>
      <c r="Y7" t="str">
        <f t="shared" si="0"/>
        <v>Medium</v>
      </c>
    </row>
    <row r="8" spans="1:25">
      <c r="A8" t="s">
        <v>60</v>
      </c>
      <c r="B8" s="1">
        <v>44927</v>
      </c>
      <c r="C8" s="2">
        <v>0.27083333333333331</v>
      </c>
      <c r="D8" t="s">
        <v>41</v>
      </c>
      <c r="E8" t="s">
        <v>61</v>
      </c>
      <c r="F8" t="s">
        <v>62</v>
      </c>
      <c r="G8" t="s">
        <v>37</v>
      </c>
      <c r="H8" s="2">
        <v>0.27361111111111114</v>
      </c>
      <c r="I8" s="2">
        <v>0.29236111111111113</v>
      </c>
      <c r="J8">
        <v>8</v>
      </c>
      <c r="K8">
        <v>28</v>
      </c>
      <c r="L8" t="s">
        <v>30</v>
      </c>
      <c r="M8">
        <v>3.6</v>
      </c>
      <c r="N8">
        <v>61</v>
      </c>
      <c r="O8">
        <v>16</v>
      </c>
      <c r="P8">
        <v>6.4</v>
      </c>
      <c r="Q8" t="s">
        <v>63</v>
      </c>
      <c r="R8">
        <v>0</v>
      </c>
      <c r="S8">
        <v>22</v>
      </c>
      <c r="T8">
        <v>1</v>
      </c>
      <c r="U8">
        <v>1</v>
      </c>
      <c r="V8">
        <v>6</v>
      </c>
      <c r="W8" t="s">
        <v>55</v>
      </c>
      <c r="X8">
        <v>1</v>
      </c>
      <c r="Y8" t="str">
        <f t="shared" si="0"/>
        <v>Low</v>
      </c>
    </row>
    <row r="9" spans="1:25">
      <c r="A9" t="s">
        <v>64</v>
      </c>
      <c r="B9" s="1">
        <v>44927</v>
      </c>
      <c r="C9" s="2">
        <v>0.28125</v>
      </c>
      <c r="D9" t="s">
        <v>41</v>
      </c>
      <c r="E9" t="s">
        <v>42</v>
      </c>
      <c r="F9" t="s">
        <v>65</v>
      </c>
      <c r="G9" t="s">
        <v>66</v>
      </c>
      <c r="H9" s="2">
        <v>0.28263888888888888</v>
      </c>
      <c r="I9" s="2">
        <v>0.30555555555555558</v>
      </c>
      <c r="J9">
        <v>0</v>
      </c>
      <c r="K9">
        <v>23</v>
      </c>
      <c r="L9" t="s">
        <v>45</v>
      </c>
      <c r="M9">
        <v>34.1</v>
      </c>
      <c r="N9">
        <v>41</v>
      </c>
      <c r="O9">
        <v>19</v>
      </c>
      <c r="P9">
        <v>0.6</v>
      </c>
      <c r="Q9" t="s">
        <v>31</v>
      </c>
      <c r="R9">
        <v>0</v>
      </c>
      <c r="S9">
        <v>85</v>
      </c>
      <c r="T9">
        <v>0</v>
      </c>
      <c r="U9">
        <v>0</v>
      </c>
      <c r="V9">
        <v>6</v>
      </c>
      <c r="W9" t="s">
        <v>55</v>
      </c>
      <c r="X9">
        <v>1</v>
      </c>
      <c r="Y9" t="str">
        <f t="shared" si="0"/>
        <v>High</v>
      </c>
    </row>
    <row r="10" spans="1:25">
      <c r="A10" t="s">
        <v>67</v>
      </c>
      <c r="B10" s="1">
        <v>44927</v>
      </c>
      <c r="C10" s="2">
        <v>0.29166666666666669</v>
      </c>
      <c r="D10" t="s">
        <v>26</v>
      </c>
      <c r="E10" t="s">
        <v>68</v>
      </c>
      <c r="F10" t="s">
        <v>69</v>
      </c>
      <c r="G10" t="s">
        <v>70</v>
      </c>
      <c r="H10" s="2">
        <v>0.29236111111111113</v>
      </c>
      <c r="I10" s="2">
        <v>0.33263888888888887</v>
      </c>
      <c r="J10">
        <v>4</v>
      </c>
      <c r="K10">
        <v>19</v>
      </c>
      <c r="L10" t="s">
        <v>45</v>
      </c>
      <c r="M10">
        <v>-2.9</v>
      </c>
      <c r="N10">
        <v>34</v>
      </c>
      <c r="O10">
        <v>19</v>
      </c>
      <c r="P10">
        <v>5.4</v>
      </c>
      <c r="Q10" t="s">
        <v>71</v>
      </c>
      <c r="R10">
        <v>500</v>
      </c>
      <c r="S10">
        <v>64</v>
      </c>
      <c r="T10">
        <v>0</v>
      </c>
      <c r="U10">
        <v>0</v>
      </c>
      <c r="V10">
        <v>6</v>
      </c>
      <c r="W10" t="s">
        <v>72</v>
      </c>
      <c r="X10">
        <v>1</v>
      </c>
      <c r="Y10" t="str">
        <f t="shared" si="0"/>
        <v>Medium</v>
      </c>
    </row>
    <row r="11" spans="1:25">
      <c r="A11" t="s">
        <v>73</v>
      </c>
      <c r="B11" s="1">
        <v>44927</v>
      </c>
      <c r="C11" s="2">
        <v>0.30208333333333331</v>
      </c>
      <c r="D11" t="s">
        <v>74</v>
      </c>
      <c r="E11" t="s">
        <v>52</v>
      </c>
      <c r="F11" t="s">
        <v>75</v>
      </c>
      <c r="G11" t="s">
        <v>76</v>
      </c>
      <c r="H11" s="2">
        <v>0.3034722222222222</v>
      </c>
      <c r="I11" s="2">
        <v>0.34166666666666667</v>
      </c>
      <c r="J11">
        <v>5</v>
      </c>
      <c r="K11">
        <v>3</v>
      </c>
      <c r="L11" t="s">
        <v>77</v>
      </c>
      <c r="M11">
        <v>9.1</v>
      </c>
      <c r="N11">
        <v>93</v>
      </c>
      <c r="O11">
        <v>42</v>
      </c>
      <c r="P11">
        <v>4.4000000000000004</v>
      </c>
      <c r="Q11" t="s">
        <v>31</v>
      </c>
      <c r="R11">
        <v>50000</v>
      </c>
      <c r="S11">
        <v>88</v>
      </c>
      <c r="T11">
        <v>0</v>
      </c>
      <c r="U11">
        <v>0</v>
      </c>
      <c r="V11">
        <v>6</v>
      </c>
      <c r="W11" t="s">
        <v>72</v>
      </c>
      <c r="X11">
        <v>0</v>
      </c>
      <c r="Y11" t="str">
        <f t="shared" si="0"/>
        <v>High</v>
      </c>
    </row>
    <row r="12" spans="1:25">
      <c r="A12" t="s">
        <v>78</v>
      </c>
      <c r="B12" s="1">
        <v>44927</v>
      </c>
      <c r="C12" s="2">
        <v>0.3125</v>
      </c>
      <c r="D12" t="s">
        <v>26</v>
      </c>
      <c r="E12" t="s">
        <v>79</v>
      </c>
      <c r="F12" t="s">
        <v>80</v>
      </c>
      <c r="G12" t="s">
        <v>81</v>
      </c>
      <c r="H12" s="2">
        <v>0.3125</v>
      </c>
      <c r="I12" s="2">
        <v>0.35138888888888886</v>
      </c>
      <c r="J12">
        <v>16</v>
      </c>
      <c r="K12">
        <v>8</v>
      </c>
      <c r="L12" t="s">
        <v>54</v>
      </c>
      <c r="M12">
        <v>12.1</v>
      </c>
      <c r="N12">
        <v>56</v>
      </c>
      <c r="O12">
        <v>7</v>
      </c>
      <c r="P12">
        <v>1</v>
      </c>
      <c r="Q12" t="s">
        <v>31</v>
      </c>
      <c r="R12">
        <v>0</v>
      </c>
      <c r="S12">
        <v>53</v>
      </c>
      <c r="T12">
        <v>0</v>
      </c>
      <c r="U12">
        <v>0</v>
      </c>
      <c r="V12">
        <v>6</v>
      </c>
      <c r="W12" t="s">
        <v>32</v>
      </c>
      <c r="X12">
        <v>1</v>
      </c>
      <c r="Y12" t="str">
        <f t="shared" si="0"/>
        <v>Medium</v>
      </c>
    </row>
    <row r="13" spans="1:25">
      <c r="A13" t="s">
        <v>82</v>
      </c>
      <c r="B13" s="1">
        <v>44927</v>
      </c>
      <c r="C13" s="2">
        <v>0.32291666666666669</v>
      </c>
      <c r="D13" t="s">
        <v>26</v>
      </c>
      <c r="E13" t="s">
        <v>35</v>
      </c>
      <c r="F13" t="s">
        <v>83</v>
      </c>
      <c r="G13" t="s">
        <v>29</v>
      </c>
      <c r="H13" s="2">
        <v>0.32569444444444445</v>
      </c>
      <c r="I13" s="2">
        <v>0.35625000000000001</v>
      </c>
      <c r="J13">
        <v>15</v>
      </c>
      <c r="K13">
        <v>21</v>
      </c>
      <c r="L13" t="s">
        <v>84</v>
      </c>
      <c r="M13">
        <v>28</v>
      </c>
      <c r="N13">
        <v>74</v>
      </c>
      <c r="O13">
        <v>46</v>
      </c>
      <c r="P13">
        <v>9.8000000000000007</v>
      </c>
      <c r="Q13" t="s">
        <v>31</v>
      </c>
      <c r="R13">
        <v>2000</v>
      </c>
      <c r="S13">
        <v>91</v>
      </c>
      <c r="T13">
        <v>0</v>
      </c>
      <c r="U13">
        <v>0</v>
      </c>
      <c r="V13">
        <v>6</v>
      </c>
      <c r="W13" t="s">
        <v>72</v>
      </c>
      <c r="X13">
        <v>1</v>
      </c>
      <c r="Y13" t="str">
        <f t="shared" si="0"/>
        <v>High</v>
      </c>
    </row>
    <row r="14" spans="1:25">
      <c r="A14" t="s">
        <v>85</v>
      </c>
      <c r="B14" s="1">
        <v>44927</v>
      </c>
      <c r="C14" s="2">
        <v>0.33333333333333331</v>
      </c>
      <c r="D14" t="s">
        <v>26</v>
      </c>
      <c r="E14" t="s">
        <v>27</v>
      </c>
      <c r="F14" t="s">
        <v>86</v>
      </c>
      <c r="G14" t="s">
        <v>87</v>
      </c>
      <c r="H14" s="2">
        <v>0.33611111111111114</v>
      </c>
      <c r="I14" s="2">
        <v>0.35902777777777778</v>
      </c>
      <c r="J14">
        <v>10</v>
      </c>
      <c r="K14">
        <v>-1</v>
      </c>
      <c r="L14" t="s">
        <v>45</v>
      </c>
      <c r="M14">
        <v>25.6</v>
      </c>
      <c r="N14">
        <v>64</v>
      </c>
      <c r="O14">
        <v>33</v>
      </c>
      <c r="P14">
        <v>9.4</v>
      </c>
      <c r="Q14" t="s">
        <v>63</v>
      </c>
      <c r="R14">
        <v>0</v>
      </c>
      <c r="S14">
        <v>10</v>
      </c>
      <c r="T14">
        <v>0</v>
      </c>
      <c r="U14">
        <v>0</v>
      </c>
      <c r="V14">
        <v>6</v>
      </c>
      <c r="W14" t="s">
        <v>72</v>
      </c>
      <c r="X14">
        <v>0</v>
      </c>
      <c r="Y14" t="str">
        <f t="shared" si="0"/>
        <v>Low</v>
      </c>
    </row>
    <row r="15" spans="1:25">
      <c r="A15" t="s">
        <v>88</v>
      </c>
      <c r="B15" s="1">
        <v>44927</v>
      </c>
      <c r="C15" s="2">
        <v>0.34375</v>
      </c>
      <c r="D15" t="s">
        <v>26</v>
      </c>
      <c r="E15" t="s">
        <v>89</v>
      </c>
      <c r="F15" t="s">
        <v>90</v>
      </c>
      <c r="G15" t="s">
        <v>91</v>
      </c>
      <c r="H15" s="2">
        <v>0.34513888888888888</v>
      </c>
      <c r="I15" s="2">
        <v>0.36388888888888887</v>
      </c>
      <c r="J15">
        <v>10</v>
      </c>
      <c r="K15">
        <v>22</v>
      </c>
      <c r="L15" t="s">
        <v>30</v>
      </c>
      <c r="M15">
        <v>10</v>
      </c>
      <c r="N15">
        <v>55</v>
      </c>
      <c r="O15">
        <v>48</v>
      </c>
      <c r="P15">
        <v>1.6</v>
      </c>
      <c r="Q15" t="s">
        <v>31</v>
      </c>
      <c r="R15">
        <v>10000</v>
      </c>
      <c r="S15">
        <v>62</v>
      </c>
      <c r="T15">
        <v>0</v>
      </c>
      <c r="U15">
        <v>1</v>
      </c>
      <c r="V15">
        <v>6</v>
      </c>
      <c r="W15" t="s">
        <v>72</v>
      </c>
      <c r="X15">
        <v>1</v>
      </c>
      <c r="Y15" t="str">
        <f t="shared" si="0"/>
        <v>Medium</v>
      </c>
    </row>
    <row r="16" spans="1:25">
      <c r="A16" t="s">
        <v>92</v>
      </c>
      <c r="B16" s="1">
        <v>44927</v>
      </c>
      <c r="C16" s="2">
        <v>0.35416666666666669</v>
      </c>
      <c r="D16" t="s">
        <v>34</v>
      </c>
      <c r="E16" t="s">
        <v>93</v>
      </c>
      <c r="F16" t="s">
        <v>29</v>
      </c>
      <c r="G16" t="s">
        <v>44</v>
      </c>
      <c r="H16" s="2">
        <v>0.35555555555555557</v>
      </c>
      <c r="I16" s="2">
        <v>0.39444444444444443</v>
      </c>
      <c r="J16">
        <v>16</v>
      </c>
      <c r="K16">
        <v>0</v>
      </c>
      <c r="L16" t="s">
        <v>30</v>
      </c>
      <c r="M16">
        <v>17.600000000000001</v>
      </c>
      <c r="N16">
        <v>52</v>
      </c>
      <c r="O16">
        <v>22</v>
      </c>
      <c r="P16">
        <v>5.2</v>
      </c>
      <c r="Q16" t="s">
        <v>31</v>
      </c>
      <c r="R16">
        <v>500</v>
      </c>
      <c r="S16">
        <v>21</v>
      </c>
      <c r="T16">
        <v>0</v>
      </c>
      <c r="U16">
        <v>0</v>
      </c>
      <c r="V16">
        <v>6</v>
      </c>
      <c r="W16" t="s">
        <v>32</v>
      </c>
      <c r="X16">
        <v>0</v>
      </c>
      <c r="Y16" t="str">
        <f t="shared" si="0"/>
        <v>Low</v>
      </c>
    </row>
    <row r="17" spans="1:25">
      <c r="A17" t="s">
        <v>94</v>
      </c>
      <c r="B17" s="1">
        <v>44927</v>
      </c>
      <c r="C17" s="2">
        <v>0.36458333333333331</v>
      </c>
      <c r="D17" t="s">
        <v>41</v>
      </c>
      <c r="E17" t="s">
        <v>27</v>
      </c>
      <c r="F17" t="s">
        <v>95</v>
      </c>
      <c r="G17" t="s">
        <v>96</v>
      </c>
      <c r="H17" s="2">
        <v>0.36527777777777776</v>
      </c>
      <c r="I17" s="2">
        <v>0.39027777777777778</v>
      </c>
      <c r="J17">
        <v>9</v>
      </c>
      <c r="K17">
        <v>11</v>
      </c>
      <c r="L17" t="s">
        <v>77</v>
      </c>
      <c r="M17">
        <v>28.4</v>
      </c>
      <c r="N17">
        <v>42</v>
      </c>
      <c r="O17">
        <v>37</v>
      </c>
      <c r="P17">
        <v>19.100000000000001</v>
      </c>
      <c r="Q17" t="s">
        <v>31</v>
      </c>
      <c r="R17">
        <v>500</v>
      </c>
      <c r="S17">
        <v>53</v>
      </c>
      <c r="T17">
        <v>0</v>
      </c>
      <c r="U17">
        <v>0</v>
      </c>
      <c r="V17">
        <v>6</v>
      </c>
      <c r="W17" t="s">
        <v>72</v>
      </c>
      <c r="X17">
        <v>1</v>
      </c>
      <c r="Y17" t="str">
        <f t="shared" si="0"/>
        <v>Medium</v>
      </c>
    </row>
    <row r="18" spans="1:25">
      <c r="A18" t="s">
        <v>97</v>
      </c>
      <c r="B18" s="1">
        <v>44927</v>
      </c>
      <c r="C18" s="2">
        <v>0.375</v>
      </c>
      <c r="D18" t="s">
        <v>34</v>
      </c>
      <c r="E18" t="s">
        <v>98</v>
      </c>
      <c r="F18" t="s">
        <v>99</v>
      </c>
      <c r="G18" t="s">
        <v>100</v>
      </c>
      <c r="H18" s="2">
        <v>0.37708333333333333</v>
      </c>
      <c r="I18" s="2">
        <v>0.3888888888888889</v>
      </c>
      <c r="J18">
        <v>14</v>
      </c>
      <c r="K18">
        <v>28</v>
      </c>
      <c r="L18" t="s">
        <v>30</v>
      </c>
      <c r="M18">
        <v>-4.3</v>
      </c>
      <c r="N18">
        <v>32</v>
      </c>
      <c r="O18">
        <v>52</v>
      </c>
      <c r="P18">
        <v>2.2000000000000002</v>
      </c>
      <c r="Q18" t="s">
        <v>101</v>
      </c>
      <c r="R18">
        <v>0</v>
      </c>
      <c r="S18">
        <v>88</v>
      </c>
      <c r="T18">
        <v>0</v>
      </c>
      <c r="U18">
        <v>0</v>
      </c>
      <c r="V18">
        <v>6</v>
      </c>
      <c r="W18" t="s">
        <v>55</v>
      </c>
      <c r="X18">
        <v>1</v>
      </c>
      <c r="Y18" t="str">
        <f t="shared" si="0"/>
        <v>High</v>
      </c>
    </row>
    <row r="19" spans="1:25">
      <c r="A19" t="s">
        <v>102</v>
      </c>
      <c r="B19" s="1">
        <v>44927</v>
      </c>
      <c r="C19" s="2">
        <v>0.38541666666666669</v>
      </c>
      <c r="D19" t="s">
        <v>34</v>
      </c>
      <c r="E19" t="s">
        <v>42</v>
      </c>
      <c r="F19" t="s">
        <v>43</v>
      </c>
      <c r="G19" t="s">
        <v>69</v>
      </c>
      <c r="H19" s="2">
        <v>0.38750000000000001</v>
      </c>
      <c r="I19" s="2">
        <v>0.42569444444444443</v>
      </c>
      <c r="J19">
        <v>19</v>
      </c>
      <c r="K19">
        <v>25</v>
      </c>
      <c r="L19" t="s">
        <v>77</v>
      </c>
      <c r="M19">
        <v>27.1</v>
      </c>
      <c r="N19">
        <v>58</v>
      </c>
      <c r="O19">
        <v>27</v>
      </c>
      <c r="P19">
        <v>6.1</v>
      </c>
      <c r="Q19" t="s">
        <v>31</v>
      </c>
      <c r="R19">
        <v>0</v>
      </c>
      <c r="S19">
        <v>84</v>
      </c>
      <c r="T19">
        <v>0</v>
      </c>
      <c r="U19">
        <v>0</v>
      </c>
      <c r="V19">
        <v>6</v>
      </c>
      <c r="W19" t="s">
        <v>55</v>
      </c>
      <c r="X19">
        <v>1</v>
      </c>
      <c r="Y19" t="str">
        <f t="shared" si="0"/>
        <v>High</v>
      </c>
    </row>
    <row r="20" spans="1:25">
      <c r="A20" t="s">
        <v>103</v>
      </c>
      <c r="B20" s="1">
        <v>44927</v>
      </c>
      <c r="C20" s="2">
        <v>0.39583333333333331</v>
      </c>
      <c r="D20" t="s">
        <v>34</v>
      </c>
      <c r="E20" t="s">
        <v>104</v>
      </c>
      <c r="F20" t="s">
        <v>105</v>
      </c>
      <c r="G20" t="s">
        <v>37</v>
      </c>
      <c r="H20" s="2">
        <v>0.39652777777777776</v>
      </c>
      <c r="I20" s="2">
        <v>0.4236111111111111</v>
      </c>
      <c r="J20">
        <v>9</v>
      </c>
      <c r="K20">
        <v>6</v>
      </c>
      <c r="L20" t="s">
        <v>45</v>
      </c>
      <c r="M20">
        <v>32.9</v>
      </c>
      <c r="N20">
        <v>95</v>
      </c>
      <c r="O20">
        <v>12</v>
      </c>
      <c r="P20">
        <v>0.7</v>
      </c>
      <c r="Q20" t="s">
        <v>31</v>
      </c>
      <c r="R20">
        <v>2000</v>
      </c>
      <c r="S20">
        <v>35</v>
      </c>
      <c r="T20">
        <v>0</v>
      </c>
      <c r="U20">
        <v>1</v>
      </c>
      <c r="V20">
        <v>6</v>
      </c>
      <c r="W20" t="s">
        <v>32</v>
      </c>
      <c r="X20">
        <v>1</v>
      </c>
      <c r="Y20" t="str">
        <f t="shared" si="0"/>
        <v>Medium</v>
      </c>
    </row>
    <row r="21" spans="1:25">
      <c r="A21" t="s">
        <v>106</v>
      </c>
      <c r="B21" s="1">
        <v>44927</v>
      </c>
      <c r="C21" s="2">
        <v>0.40625</v>
      </c>
      <c r="D21" t="s">
        <v>26</v>
      </c>
      <c r="E21" t="s">
        <v>57</v>
      </c>
      <c r="F21" t="s">
        <v>96</v>
      </c>
      <c r="G21" t="s">
        <v>107</v>
      </c>
      <c r="H21" s="2">
        <v>0.40833333333333333</v>
      </c>
      <c r="I21" s="2">
        <v>0.4201388888888889</v>
      </c>
      <c r="J21">
        <v>10</v>
      </c>
      <c r="K21">
        <v>17</v>
      </c>
      <c r="L21" t="s">
        <v>45</v>
      </c>
      <c r="M21">
        <v>-3.7</v>
      </c>
      <c r="N21">
        <v>93</v>
      </c>
      <c r="O21">
        <v>28</v>
      </c>
      <c r="P21">
        <v>3</v>
      </c>
      <c r="Q21" t="s">
        <v>101</v>
      </c>
      <c r="R21">
        <v>0</v>
      </c>
      <c r="S21">
        <v>57</v>
      </c>
      <c r="T21">
        <v>0</v>
      </c>
      <c r="U21">
        <v>0</v>
      </c>
      <c r="V21">
        <v>6</v>
      </c>
      <c r="W21" t="s">
        <v>32</v>
      </c>
      <c r="X21">
        <v>1</v>
      </c>
      <c r="Y21" t="str">
        <f t="shared" si="0"/>
        <v>Medium</v>
      </c>
    </row>
    <row r="22" spans="1:25">
      <c r="A22" t="s">
        <v>108</v>
      </c>
      <c r="B22" s="1">
        <v>44927</v>
      </c>
      <c r="C22" s="2">
        <v>0.41666666666666669</v>
      </c>
      <c r="D22" t="s">
        <v>74</v>
      </c>
      <c r="E22" t="s">
        <v>104</v>
      </c>
      <c r="F22" t="s">
        <v>109</v>
      </c>
      <c r="G22" t="s">
        <v>107</v>
      </c>
      <c r="H22" s="2">
        <v>0.41666666666666669</v>
      </c>
      <c r="I22" s="2">
        <v>0.44027777777777777</v>
      </c>
      <c r="J22">
        <v>9</v>
      </c>
      <c r="K22">
        <v>12</v>
      </c>
      <c r="L22" t="s">
        <v>45</v>
      </c>
      <c r="M22">
        <v>-3.2</v>
      </c>
      <c r="N22">
        <v>57</v>
      </c>
      <c r="O22">
        <v>7</v>
      </c>
      <c r="P22">
        <v>14</v>
      </c>
      <c r="Q22" t="s">
        <v>71</v>
      </c>
      <c r="R22">
        <v>0</v>
      </c>
      <c r="S22">
        <v>19</v>
      </c>
      <c r="T22">
        <v>0</v>
      </c>
      <c r="U22">
        <v>0</v>
      </c>
      <c r="V22">
        <v>6</v>
      </c>
      <c r="W22" t="s">
        <v>32</v>
      </c>
      <c r="X22">
        <v>1</v>
      </c>
      <c r="Y22" t="str">
        <f t="shared" si="0"/>
        <v>Low</v>
      </c>
    </row>
    <row r="23" spans="1:25">
      <c r="A23" t="s">
        <v>110</v>
      </c>
      <c r="B23" s="1">
        <v>44927</v>
      </c>
      <c r="C23" s="2">
        <v>0.42708333333333331</v>
      </c>
      <c r="D23" t="s">
        <v>41</v>
      </c>
      <c r="E23" t="s">
        <v>111</v>
      </c>
      <c r="F23" t="s">
        <v>100</v>
      </c>
      <c r="G23" t="s">
        <v>69</v>
      </c>
      <c r="H23" s="2">
        <v>0.42916666666666664</v>
      </c>
      <c r="I23" s="2">
        <v>0.44305555555555554</v>
      </c>
      <c r="J23">
        <v>16</v>
      </c>
      <c r="K23">
        <v>15</v>
      </c>
      <c r="L23" t="s">
        <v>45</v>
      </c>
      <c r="M23">
        <v>8.8000000000000007</v>
      </c>
      <c r="N23">
        <v>65</v>
      </c>
      <c r="O23">
        <v>10</v>
      </c>
      <c r="P23">
        <v>7.3</v>
      </c>
      <c r="Q23" t="s">
        <v>31</v>
      </c>
      <c r="R23">
        <v>0</v>
      </c>
      <c r="S23">
        <v>15</v>
      </c>
      <c r="T23">
        <v>0</v>
      </c>
      <c r="U23">
        <v>0</v>
      </c>
      <c r="V23">
        <v>6</v>
      </c>
      <c r="W23" t="s">
        <v>39</v>
      </c>
      <c r="X23">
        <v>1</v>
      </c>
      <c r="Y23" t="str">
        <f t="shared" si="0"/>
        <v>Low</v>
      </c>
    </row>
    <row r="24" spans="1:25">
      <c r="A24" t="s">
        <v>112</v>
      </c>
      <c r="B24" s="1">
        <v>44927</v>
      </c>
      <c r="C24" s="2">
        <v>0.4375</v>
      </c>
      <c r="D24" t="s">
        <v>74</v>
      </c>
      <c r="E24" t="s">
        <v>27</v>
      </c>
      <c r="F24" t="s">
        <v>113</v>
      </c>
      <c r="G24" t="s">
        <v>90</v>
      </c>
      <c r="H24" s="2">
        <v>0.43819444444444444</v>
      </c>
      <c r="I24" s="2">
        <v>0.46458333333333335</v>
      </c>
      <c r="J24">
        <v>11</v>
      </c>
      <c r="K24">
        <v>25</v>
      </c>
      <c r="L24" t="s">
        <v>84</v>
      </c>
      <c r="M24">
        <v>-1.5</v>
      </c>
      <c r="N24">
        <v>35</v>
      </c>
      <c r="O24">
        <v>46</v>
      </c>
      <c r="P24">
        <v>9</v>
      </c>
      <c r="Q24" t="s">
        <v>31</v>
      </c>
      <c r="R24">
        <v>0</v>
      </c>
      <c r="S24">
        <v>91</v>
      </c>
      <c r="T24">
        <v>0</v>
      </c>
      <c r="U24">
        <v>0</v>
      </c>
      <c r="V24">
        <v>6</v>
      </c>
      <c r="W24" t="s">
        <v>72</v>
      </c>
      <c r="X24">
        <v>1</v>
      </c>
      <c r="Y24" t="str">
        <f t="shared" si="0"/>
        <v>High</v>
      </c>
    </row>
    <row r="25" spans="1:25">
      <c r="A25" t="s">
        <v>114</v>
      </c>
      <c r="B25" s="1">
        <v>44927</v>
      </c>
      <c r="C25" s="2">
        <v>0.44791666666666669</v>
      </c>
      <c r="D25" t="s">
        <v>34</v>
      </c>
      <c r="E25" t="s">
        <v>104</v>
      </c>
      <c r="F25" t="s">
        <v>66</v>
      </c>
      <c r="G25" t="s">
        <v>113</v>
      </c>
      <c r="H25" s="2">
        <v>0.45</v>
      </c>
      <c r="I25" s="2">
        <v>0.46805555555555556</v>
      </c>
      <c r="J25">
        <v>4</v>
      </c>
      <c r="K25">
        <v>14</v>
      </c>
      <c r="L25" t="s">
        <v>54</v>
      </c>
      <c r="M25">
        <v>14.2</v>
      </c>
      <c r="N25">
        <v>40</v>
      </c>
      <c r="O25">
        <v>44</v>
      </c>
      <c r="P25">
        <v>3.1</v>
      </c>
      <c r="Q25" t="s">
        <v>101</v>
      </c>
      <c r="R25">
        <v>500</v>
      </c>
      <c r="S25">
        <v>55</v>
      </c>
      <c r="T25">
        <v>0</v>
      </c>
      <c r="U25">
        <v>1</v>
      </c>
      <c r="V25">
        <v>6</v>
      </c>
      <c r="W25" t="s">
        <v>32</v>
      </c>
      <c r="X25">
        <v>1</v>
      </c>
      <c r="Y25" t="str">
        <f t="shared" si="0"/>
        <v>Medium</v>
      </c>
    </row>
    <row r="26" spans="1:25">
      <c r="A26" t="s">
        <v>115</v>
      </c>
      <c r="B26" s="1">
        <v>44927</v>
      </c>
      <c r="C26" s="2">
        <v>0.45833333333333331</v>
      </c>
      <c r="D26" t="s">
        <v>34</v>
      </c>
      <c r="E26" t="s">
        <v>89</v>
      </c>
      <c r="F26" t="s">
        <v>116</v>
      </c>
      <c r="G26" t="s">
        <v>95</v>
      </c>
      <c r="H26" s="2">
        <v>0.46111111111111114</v>
      </c>
      <c r="I26" s="2">
        <v>0.48749999999999999</v>
      </c>
      <c r="J26">
        <v>10</v>
      </c>
      <c r="K26">
        <v>12</v>
      </c>
      <c r="L26" t="s">
        <v>54</v>
      </c>
      <c r="M26">
        <v>24.1</v>
      </c>
      <c r="N26">
        <v>67</v>
      </c>
      <c r="O26">
        <v>17</v>
      </c>
      <c r="P26">
        <v>13.6</v>
      </c>
      <c r="Q26" t="s">
        <v>101</v>
      </c>
      <c r="R26">
        <v>0</v>
      </c>
      <c r="S26">
        <v>92</v>
      </c>
      <c r="T26">
        <v>0</v>
      </c>
      <c r="U26">
        <v>0</v>
      </c>
      <c r="V26">
        <v>6</v>
      </c>
      <c r="W26" t="s">
        <v>32</v>
      </c>
      <c r="X26">
        <v>1</v>
      </c>
      <c r="Y26" t="str">
        <f t="shared" si="0"/>
        <v>High</v>
      </c>
    </row>
    <row r="27" spans="1:25">
      <c r="A27" t="s">
        <v>117</v>
      </c>
      <c r="B27" s="1">
        <v>44927</v>
      </c>
      <c r="C27" s="2">
        <v>0.46875</v>
      </c>
      <c r="D27" t="s">
        <v>74</v>
      </c>
      <c r="E27" t="s">
        <v>48</v>
      </c>
      <c r="F27" t="s">
        <v>118</v>
      </c>
      <c r="G27" t="s">
        <v>37</v>
      </c>
      <c r="H27" s="2">
        <v>0.47013888888888888</v>
      </c>
      <c r="I27" s="2">
        <v>0.50555555555555554</v>
      </c>
      <c r="J27">
        <v>3</v>
      </c>
      <c r="K27">
        <v>-3</v>
      </c>
      <c r="L27" t="s">
        <v>84</v>
      </c>
      <c r="M27">
        <v>17.7</v>
      </c>
      <c r="N27">
        <v>63</v>
      </c>
      <c r="O27">
        <v>49</v>
      </c>
      <c r="P27">
        <v>15</v>
      </c>
      <c r="Q27" t="s">
        <v>31</v>
      </c>
      <c r="R27">
        <v>0</v>
      </c>
      <c r="S27">
        <v>49</v>
      </c>
      <c r="T27">
        <v>0</v>
      </c>
      <c r="U27">
        <v>0</v>
      </c>
      <c r="V27">
        <v>6</v>
      </c>
      <c r="W27" t="s">
        <v>32</v>
      </c>
      <c r="X27">
        <v>0</v>
      </c>
      <c r="Y27" t="str">
        <f t="shared" si="0"/>
        <v>Medium</v>
      </c>
    </row>
    <row r="28" spans="1:25">
      <c r="A28" t="s">
        <v>119</v>
      </c>
      <c r="B28" s="1">
        <v>44927</v>
      </c>
      <c r="C28" s="2">
        <v>0.47916666666666669</v>
      </c>
      <c r="D28" t="s">
        <v>74</v>
      </c>
      <c r="E28" t="s">
        <v>42</v>
      </c>
      <c r="F28" t="s">
        <v>99</v>
      </c>
      <c r="G28" t="s">
        <v>62</v>
      </c>
      <c r="H28" s="2">
        <v>0.47916666666666669</v>
      </c>
      <c r="I28" s="2">
        <v>0.51527777777777772</v>
      </c>
      <c r="J28">
        <v>16</v>
      </c>
      <c r="K28">
        <v>-2</v>
      </c>
      <c r="L28" t="s">
        <v>45</v>
      </c>
      <c r="M28">
        <v>2.9</v>
      </c>
      <c r="N28">
        <v>96</v>
      </c>
      <c r="O28">
        <v>24</v>
      </c>
      <c r="P28">
        <v>3.6</v>
      </c>
      <c r="Q28" t="s">
        <v>31</v>
      </c>
      <c r="R28">
        <v>0</v>
      </c>
      <c r="S28">
        <v>89</v>
      </c>
      <c r="T28">
        <v>1</v>
      </c>
      <c r="U28">
        <v>0</v>
      </c>
      <c r="V28">
        <v>6</v>
      </c>
      <c r="W28" t="s">
        <v>55</v>
      </c>
      <c r="X28">
        <v>0</v>
      </c>
      <c r="Y28" t="str">
        <f t="shared" si="0"/>
        <v>High</v>
      </c>
    </row>
    <row r="29" spans="1:25">
      <c r="A29" t="s">
        <v>120</v>
      </c>
      <c r="B29" s="1">
        <v>44927</v>
      </c>
      <c r="C29" s="2">
        <v>0.48958333333333331</v>
      </c>
      <c r="D29" t="s">
        <v>74</v>
      </c>
      <c r="E29" t="s">
        <v>52</v>
      </c>
      <c r="F29" t="s">
        <v>107</v>
      </c>
      <c r="G29" t="s">
        <v>29</v>
      </c>
      <c r="H29" s="2">
        <v>0.49236111111111114</v>
      </c>
      <c r="I29" s="2">
        <v>0.52638888888888891</v>
      </c>
      <c r="J29">
        <v>16</v>
      </c>
      <c r="K29">
        <v>11</v>
      </c>
      <c r="L29" t="s">
        <v>30</v>
      </c>
      <c r="M29">
        <v>21.2</v>
      </c>
      <c r="N29">
        <v>75</v>
      </c>
      <c r="O29">
        <v>48</v>
      </c>
      <c r="P29">
        <v>0.9</v>
      </c>
      <c r="Q29" t="s">
        <v>31</v>
      </c>
      <c r="R29">
        <v>10000</v>
      </c>
      <c r="S29">
        <v>65</v>
      </c>
      <c r="T29">
        <v>0</v>
      </c>
      <c r="U29">
        <v>0</v>
      </c>
      <c r="V29">
        <v>6</v>
      </c>
      <c r="W29" t="s">
        <v>32</v>
      </c>
      <c r="X29">
        <v>1</v>
      </c>
      <c r="Y29" t="str">
        <f t="shared" si="0"/>
        <v>Medium</v>
      </c>
    </row>
    <row r="30" spans="1:25">
      <c r="A30" t="s">
        <v>121</v>
      </c>
      <c r="B30" s="1">
        <v>44927</v>
      </c>
      <c r="C30" s="2">
        <v>0.5</v>
      </c>
      <c r="D30" t="s">
        <v>34</v>
      </c>
      <c r="E30" t="s">
        <v>79</v>
      </c>
      <c r="F30" t="s">
        <v>122</v>
      </c>
      <c r="G30" t="s">
        <v>123</v>
      </c>
      <c r="H30" s="2">
        <v>0.50277777777777777</v>
      </c>
      <c r="I30" s="2">
        <v>0.54027777777777775</v>
      </c>
      <c r="J30">
        <v>1</v>
      </c>
      <c r="K30">
        <v>24</v>
      </c>
      <c r="L30" t="s">
        <v>77</v>
      </c>
      <c r="M30">
        <v>22.4</v>
      </c>
      <c r="N30">
        <v>58</v>
      </c>
      <c r="O30">
        <v>21</v>
      </c>
      <c r="P30">
        <v>1.6</v>
      </c>
      <c r="Q30" t="s">
        <v>31</v>
      </c>
      <c r="R30">
        <v>50000</v>
      </c>
      <c r="S30">
        <v>73</v>
      </c>
      <c r="T30">
        <v>0</v>
      </c>
      <c r="U30">
        <v>0</v>
      </c>
      <c r="V30">
        <v>6</v>
      </c>
      <c r="W30" t="s">
        <v>55</v>
      </c>
      <c r="X30">
        <v>1</v>
      </c>
      <c r="Y30" t="str">
        <f t="shared" si="0"/>
        <v>High</v>
      </c>
    </row>
    <row r="31" spans="1:25">
      <c r="A31" t="s">
        <v>124</v>
      </c>
      <c r="B31" s="1">
        <v>44927</v>
      </c>
      <c r="C31" s="2">
        <v>0.51041666666666663</v>
      </c>
      <c r="D31" t="s">
        <v>34</v>
      </c>
      <c r="E31" t="s">
        <v>79</v>
      </c>
      <c r="F31" t="s">
        <v>50</v>
      </c>
      <c r="G31" t="s">
        <v>62</v>
      </c>
      <c r="H31" s="2">
        <v>0.51111111111111107</v>
      </c>
      <c r="I31" s="2">
        <v>0.53055555555555556</v>
      </c>
      <c r="J31">
        <v>16</v>
      </c>
      <c r="K31">
        <v>-3</v>
      </c>
      <c r="L31" t="s">
        <v>54</v>
      </c>
      <c r="M31">
        <v>32.299999999999997</v>
      </c>
      <c r="N31">
        <v>89</v>
      </c>
      <c r="O31">
        <v>44</v>
      </c>
      <c r="P31">
        <v>13.1</v>
      </c>
      <c r="Q31" t="s">
        <v>46</v>
      </c>
      <c r="R31">
        <v>0</v>
      </c>
      <c r="S31">
        <v>12</v>
      </c>
      <c r="T31">
        <v>0</v>
      </c>
      <c r="U31">
        <v>1</v>
      </c>
      <c r="V31">
        <v>6</v>
      </c>
      <c r="W31" t="s">
        <v>55</v>
      </c>
      <c r="X31">
        <v>0</v>
      </c>
      <c r="Y31" t="str">
        <f t="shared" si="0"/>
        <v>Low</v>
      </c>
    </row>
    <row r="32" spans="1:25">
      <c r="A32" t="s">
        <v>125</v>
      </c>
      <c r="B32" s="1">
        <v>44927</v>
      </c>
      <c r="C32" s="2">
        <v>0.52083333333333337</v>
      </c>
      <c r="D32" t="s">
        <v>41</v>
      </c>
      <c r="E32" t="s">
        <v>126</v>
      </c>
      <c r="F32" t="s">
        <v>53</v>
      </c>
      <c r="G32" t="s">
        <v>109</v>
      </c>
      <c r="H32" s="2">
        <v>0.52222222222222225</v>
      </c>
      <c r="I32" s="2">
        <v>0.54791666666666672</v>
      </c>
      <c r="J32">
        <v>6</v>
      </c>
      <c r="K32">
        <v>1</v>
      </c>
      <c r="L32" t="s">
        <v>38</v>
      </c>
      <c r="M32">
        <v>0.9</v>
      </c>
      <c r="N32">
        <v>83</v>
      </c>
      <c r="O32">
        <v>34</v>
      </c>
      <c r="P32">
        <v>2.7</v>
      </c>
      <c r="Q32" t="s">
        <v>31</v>
      </c>
      <c r="R32">
        <v>0</v>
      </c>
      <c r="S32">
        <v>14</v>
      </c>
      <c r="T32">
        <v>0</v>
      </c>
      <c r="U32">
        <v>0</v>
      </c>
      <c r="V32">
        <v>6</v>
      </c>
      <c r="W32" t="s">
        <v>39</v>
      </c>
      <c r="X32">
        <v>0</v>
      </c>
      <c r="Y32" t="str">
        <f t="shared" si="0"/>
        <v>Low</v>
      </c>
    </row>
    <row r="33" spans="1:25">
      <c r="A33" t="s">
        <v>127</v>
      </c>
      <c r="B33" s="1">
        <v>44927</v>
      </c>
      <c r="C33" s="2">
        <v>0.53125</v>
      </c>
      <c r="D33" t="s">
        <v>41</v>
      </c>
      <c r="E33" t="s">
        <v>104</v>
      </c>
      <c r="F33" t="s">
        <v>128</v>
      </c>
      <c r="G33" t="s">
        <v>81</v>
      </c>
      <c r="H33" s="2">
        <v>0.53263888888888888</v>
      </c>
      <c r="I33" s="2">
        <v>0.54513888888888884</v>
      </c>
      <c r="J33">
        <v>13</v>
      </c>
      <c r="K33">
        <v>18</v>
      </c>
      <c r="L33" t="s">
        <v>77</v>
      </c>
      <c r="M33">
        <v>22.7</v>
      </c>
      <c r="N33">
        <v>98</v>
      </c>
      <c r="O33">
        <v>28</v>
      </c>
      <c r="P33">
        <v>9.9</v>
      </c>
      <c r="Q33" t="s">
        <v>46</v>
      </c>
      <c r="R33">
        <v>0</v>
      </c>
      <c r="S33">
        <v>72</v>
      </c>
      <c r="T33">
        <v>0</v>
      </c>
      <c r="U33">
        <v>1</v>
      </c>
      <c r="V33">
        <v>6</v>
      </c>
      <c r="W33" t="s">
        <v>32</v>
      </c>
      <c r="X33">
        <v>1</v>
      </c>
      <c r="Y33" t="str">
        <f t="shared" si="0"/>
        <v>High</v>
      </c>
    </row>
    <row r="34" spans="1:25">
      <c r="A34" t="s">
        <v>129</v>
      </c>
      <c r="B34" s="1">
        <v>44927</v>
      </c>
      <c r="C34" s="2">
        <v>0.54166666666666663</v>
      </c>
      <c r="D34" t="s">
        <v>34</v>
      </c>
      <c r="E34" t="s">
        <v>130</v>
      </c>
      <c r="F34" t="s">
        <v>113</v>
      </c>
      <c r="G34" t="s">
        <v>62</v>
      </c>
      <c r="H34" s="2">
        <v>0.54166666666666663</v>
      </c>
      <c r="I34" s="2">
        <v>0.56388888888888888</v>
      </c>
      <c r="J34">
        <v>1</v>
      </c>
      <c r="K34">
        <v>9</v>
      </c>
      <c r="L34" t="s">
        <v>38</v>
      </c>
      <c r="M34">
        <v>31.5</v>
      </c>
      <c r="N34">
        <v>38</v>
      </c>
      <c r="O34">
        <v>20</v>
      </c>
      <c r="P34">
        <v>3.1</v>
      </c>
      <c r="Q34" t="s">
        <v>71</v>
      </c>
      <c r="R34">
        <v>0</v>
      </c>
      <c r="S34">
        <v>26</v>
      </c>
      <c r="T34">
        <v>0</v>
      </c>
      <c r="U34">
        <v>0</v>
      </c>
      <c r="V34">
        <v>6</v>
      </c>
      <c r="W34" t="s">
        <v>39</v>
      </c>
      <c r="X34">
        <v>1</v>
      </c>
      <c r="Y34" t="str">
        <f t="shared" si="0"/>
        <v>Low</v>
      </c>
    </row>
    <row r="35" spans="1:25">
      <c r="A35" t="s">
        <v>131</v>
      </c>
      <c r="B35" s="1">
        <v>44927</v>
      </c>
      <c r="C35" s="2">
        <v>0.55208333333333337</v>
      </c>
      <c r="D35" t="s">
        <v>74</v>
      </c>
      <c r="E35" t="s">
        <v>79</v>
      </c>
      <c r="F35" t="s">
        <v>36</v>
      </c>
      <c r="G35" t="s">
        <v>87</v>
      </c>
      <c r="H35" s="2">
        <v>0.55277777777777781</v>
      </c>
      <c r="I35" s="2">
        <v>0.56597222222222221</v>
      </c>
      <c r="J35">
        <v>3</v>
      </c>
      <c r="K35">
        <v>-3</v>
      </c>
      <c r="L35" t="s">
        <v>38</v>
      </c>
      <c r="M35">
        <v>15.1</v>
      </c>
      <c r="N35">
        <v>39</v>
      </c>
      <c r="O35">
        <v>55</v>
      </c>
      <c r="P35">
        <v>3.4</v>
      </c>
      <c r="Q35" t="s">
        <v>46</v>
      </c>
      <c r="R35">
        <v>2000</v>
      </c>
      <c r="S35">
        <v>7</v>
      </c>
      <c r="T35">
        <v>0</v>
      </c>
      <c r="U35">
        <v>1</v>
      </c>
      <c r="V35">
        <v>6</v>
      </c>
      <c r="W35" t="s">
        <v>32</v>
      </c>
      <c r="X35">
        <v>0</v>
      </c>
      <c r="Y35" t="str">
        <f t="shared" si="0"/>
        <v>Low</v>
      </c>
    </row>
    <row r="36" spans="1:25">
      <c r="A36" t="s">
        <v>132</v>
      </c>
      <c r="B36" s="1">
        <v>44927</v>
      </c>
      <c r="C36" s="2">
        <v>0.5625</v>
      </c>
      <c r="D36" t="s">
        <v>74</v>
      </c>
      <c r="E36" t="s">
        <v>98</v>
      </c>
      <c r="F36" t="s">
        <v>29</v>
      </c>
      <c r="G36" t="s">
        <v>96</v>
      </c>
      <c r="H36" s="2">
        <v>0.5625</v>
      </c>
      <c r="I36" s="2">
        <v>0.57916666666666672</v>
      </c>
      <c r="J36">
        <v>5</v>
      </c>
      <c r="K36">
        <v>12</v>
      </c>
      <c r="L36" t="s">
        <v>45</v>
      </c>
      <c r="M36">
        <v>9.5</v>
      </c>
      <c r="N36">
        <v>97</v>
      </c>
      <c r="O36">
        <v>6</v>
      </c>
      <c r="P36">
        <v>0.1</v>
      </c>
      <c r="Q36" t="s">
        <v>101</v>
      </c>
      <c r="R36">
        <v>0</v>
      </c>
      <c r="S36">
        <v>69</v>
      </c>
      <c r="T36">
        <v>0</v>
      </c>
      <c r="U36">
        <v>0</v>
      </c>
      <c r="V36">
        <v>6</v>
      </c>
      <c r="W36" t="s">
        <v>72</v>
      </c>
      <c r="X36">
        <v>1</v>
      </c>
      <c r="Y36" t="str">
        <f t="shared" si="0"/>
        <v>High</v>
      </c>
    </row>
    <row r="37" spans="1:25">
      <c r="A37" t="s">
        <v>133</v>
      </c>
      <c r="B37" s="1">
        <v>44927</v>
      </c>
      <c r="C37" s="2">
        <v>0.57291666666666663</v>
      </c>
      <c r="D37" t="s">
        <v>41</v>
      </c>
      <c r="E37" t="s">
        <v>104</v>
      </c>
      <c r="F37" t="s">
        <v>87</v>
      </c>
      <c r="G37" t="s">
        <v>128</v>
      </c>
      <c r="H37" s="2">
        <v>0.57499999999999996</v>
      </c>
      <c r="I37" s="2">
        <v>0.59722222222222221</v>
      </c>
      <c r="J37">
        <v>13</v>
      </c>
      <c r="K37">
        <v>18</v>
      </c>
      <c r="L37" t="s">
        <v>38</v>
      </c>
      <c r="M37">
        <v>1.8</v>
      </c>
      <c r="N37">
        <v>87</v>
      </c>
      <c r="O37">
        <v>11</v>
      </c>
      <c r="P37">
        <v>6.4</v>
      </c>
      <c r="Q37" t="s">
        <v>31</v>
      </c>
      <c r="R37">
        <v>0</v>
      </c>
      <c r="S37">
        <v>99</v>
      </c>
      <c r="T37">
        <v>0</v>
      </c>
      <c r="U37">
        <v>0</v>
      </c>
      <c r="V37">
        <v>6</v>
      </c>
      <c r="W37" t="s">
        <v>32</v>
      </c>
      <c r="X37">
        <v>1</v>
      </c>
      <c r="Y37" t="str">
        <f t="shared" si="0"/>
        <v>High</v>
      </c>
    </row>
    <row r="38" spans="1:25">
      <c r="A38" t="s">
        <v>134</v>
      </c>
      <c r="B38" s="1">
        <v>44927</v>
      </c>
      <c r="C38" s="2">
        <v>0.58333333333333337</v>
      </c>
      <c r="D38" t="s">
        <v>34</v>
      </c>
      <c r="E38" t="s">
        <v>57</v>
      </c>
      <c r="F38" t="s">
        <v>135</v>
      </c>
      <c r="G38" t="s">
        <v>44</v>
      </c>
      <c r="H38" s="2">
        <v>0.58611111111111114</v>
      </c>
      <c r="I38" s="2">
        <v>0.6069444444444444</v>
      </c>
      <c r="J38">
        <v>2</v>
      </c>
      <c r="K38">
        <v>28</v>
      </c>
      <c r="L38" t="s">
        <v>45</v>
      </c>
      <c r="M38">
        <v>29.7</v>
      </c>
      <c r="N38">
        <v>81</v>
      </c>
      <c r="O38">
        <v>35</v>
      </c>
      <c r="P38">
        <v>1.8</v>
      </c>
      <c r="Q38" t="s">
        <v>31</v>
      </c>
      <c r="R38">
        <v>0</v>
      </c>
      <c r="S38">
        <v>49</v>
      </c>
      <c r="T38">
        <v>0</v>
      </c>
      <c r="U38">
        <v>1</v>
      </c>
      <c r="V38">
        <v>6</v>
      </c>
      <c r="W38" t="s">
        <v>32</v>
      </c>
      <c r="X38">
        <v>1</v>
      </c>
      <c r="Y38" t="str">
        <f t="shared" si="0"/>
        <v>Medium</v>
      </c>
    </row>
    <row r="39" spans="1:25">
      <c r="A39" t="s">
        <v>136</v>
      </c>
      <c r="B39" s="1">
        <v>44927</v>
      </c>
      <c r="C39" s="2">
        <v>0.59375</v>
      </c>
      <c r="D39" t="s">
        <v>41</v>
      </c>
      <c r="E39" t="s">
        <v>111</v>
      </c>
      <c r="F39" t="s">
        <v>70</v>
      </c>
      <c r="G39" t="s">
        <v>91</v>
      </c>
      <c r="H39" s="2">
        <v>0.59375</v>
      </c>
      <c r="I39" s="2">
        <v>0.62638888888888888</v>
      </c>
      <c r="J39">
        <v>18</v>
      </c>
      <c r="K39">
        <v>12</v>
      </c>
      <c r="L39" t="s">
        <v>84</v>
      </c>
      <c r="M39">
        <v>10.8</v>
      </c>
      <c r="N39">
        <v>63</v>
      </c>
      <c r="O39">
        <v>23</v>
      </c>
      <c r="P39">
        <v>7.9</v>
      </c>
      <c r="Q39" t="s">
        <v>71</v>
      </c>
      <c r="R39">
        <v>50000</v>
      </c>
      <c r="S39">
        <v>87</v>
      </c>
      <c r="T39">
        <v>0</v>
      </c>
      <c r="U39">
        <v>0</v>
      </c>
      <c r="V39">
        <v>6</v>
      </c>
      <c r="W39" t="s">
        <v>32</v>
      </c>
      <c r="X39">
        <v>1</v>
      </c>
      <c r="Y39" t="str">
        <f t="shared" si="0"/>
        <v>High</v>
      </c>
    </row>
    <row r="40" spans="1:25">
      <c r="A40" t="s">
        <v>137</v>
      </c>
      <c r="B40" s="1">
        <v>44927</v>
      </c>
      <c r="C40" s="2">
        <v>0.60416666666666663</v>
      </c>
      <c r="D40" t="s">
        <v>41</v>
      </c>
      <c r="E40" t="s">
        <v>130</v>
      </c>
      <c r="F40" t="s">
        <v>69</v>
      </c>
      <c r="G40" t="s">
        <v>66</v>
      </c>
      <c r="H40" s="2">
        <v>0.6069444444444444</v>
      </c>
      <c r="I40" s="2">
        <v>0.63888888888888884</v>
      </c>
      <c r="J40">
        <v>19</v>
      </c>
      <c r="K40">
        <v>11</v>
      </c>
      <c r="L40" t="s">
        <v>30</v>
      </c>
      <c r="M40">
        <v>32</v>
      </c>
      <c r="N40">
        <v>64</v>
      </c>
      <c r="O40">
        <v>31</v>
      </c>
      <c r="P40">
        <v>12</v>
      </c>
      <c r="Q40" t="s">
        <v>59</v>
      </c>
      <c r="R40">
        <v>10000</v>
      </c>
      <c r="S40">
        <v>66</v>
      </c>
      <c r="T40">
        <v>0</v>
      </c>
      <c r="U40">
        <v>0</v>
      </c>
      <c r="V40">
        <v>6</v>
      </c>
      <c r="W40" t="s">
        <v>32</v>
      </c>
      <c r="X40">
        <v>1</v>
      </c>
      <c r="Y40" t="str">
        <f t="shared" si="0"/>
        <v>Medium</v>
      </c>
    </row>
    <row r="41" spans="1:25">
      <c r="A41" t="s">
        <v>138</v>
      </c>
      <c r="B41" s="1">
        <v>44927</v>
      </c>
      <c r="C41" s="2">
        <v>0.61458333333333337</v>
      </c>
      <c r="D41" t="s">
        <v>26</v>
      </c>
      <c r="E41" t="s">
        <v>35</v>
      </c>
      <c r="F41" t="s">
        <v>75</v>
      </c>
      <c r="G41" t="s">
        <v>135</v>
      </c>
      <c r="H41" s="2">
        <v>0.61527777777777781</v>
      </c>
      <c r="I41" s="2">
        <v>0.64375000000000004</v>
      </c>
      <c r="J41">
        <v>7</v>
      </c>
      <c r="K41">
        <v>8</v>
      </c>
      <c r="L41" t="s">
        <v>38</v>
      </c>
      <c r="M41">
        <v>28.9</v>
      </c>
      <c r="N41">
        <v>62</v>
      </c>
      <c r="O41">
        <v>26</v>
      </c>
      <c r="P41">
        <v>7.4</v>
      </c>
      <c r="Q41" t="s">
        <v>31</v>
      </c>
      <c r="R41">
        <v>2000</v>
      </c>
      <c r="S41">
        <v>25</v>
      </c>
      <c r="T41">
        <v>0</v>
      </c>
      <c r="U41">
        <v>1</v>
      </c>
      <c r="V41">
        <v>6</v>
      </c>
      <c r="W41" t="s">
        <v>32</v>
      </c>
      <c r="X41">
        <v>1</v>
      </c>
      <c r="Y41" t="str">
        <f t="shared" si="0"/>
        <v>Low</v>
      </c>
    </row>
    <row r="42" spans="1:25">
      <c r="A42" t="s">
        <v>139</v>
      </c>
      <c r="B42" s="1">
        <v>44927</v>
      </c>
      <c r="C42" s="2">
        <v>0.625</v>
      </c>
      <c r="D42" t="s">
        <v>26</v>
      </c>
      <c r="E42" t="s">
        <v>93</v>
      </c>
      <c r="F42" t="s">
        <v>49</v>
      </c>
      <c r="G42" t="s">
        <v>75</v>
      </c>
      <c r="H42" s="2">
        <v>0.62708333333333333</v>
      </c>
      <c r="I42" s="2">
        <v>0.65</v>
      </c>
      <c r="J42">
        <v>10</v>
      </c>
      <c r="K42">
        <v>-3</v>
      </c>
      <c r="L42" t="s">
        <v>30</v>
      </c>
      <c r="M42">
        <v>10.1</v>
      </c>
      <c r="N42">
        <v>61</v>
      </c>
      <c r="O42">
        <v>31</v>
      </c>
      <c r="P42">
        <v>14.1</v>
      </c>
      <c r="Q42" t="s">
        <v>59</v>
      </c>
      <c r="R42">
        <v>0</v>
      </c>
      <c r="S42">
        <v>35</v>
      </c>
      <c r="T42">
        <v>0</v>
      </c>
      <c r="U42">
        <v>0</v>
      </c>
      <c r="V42">
        <v>6</v>
      </c>
      <c r="W42" t="s">
        <v>32</v>
      </c>
      <c r="X42">
        <v>0</v>
      </c>
      <c r="Y42" t="str">
        <f t="shared" si="0"/>
        <v>Medium</v>
      </c>
    </row>
    <row r="43" spans="1:25">
      <c r="A43" t="s">
        <v>140</v>
      </c>
      <c r="B43" s="1">
        <v>44927</v>
      </c>
      <c r="C43" s="2">
        <v>0.63541666666666663</v>
      </c>
      <c r="D43" t="s">
        <v>26</v>
      </c>
      <c r="E43" t="s">
        <v>141</v>
      </c>
      <c r="F43" t="s">
        <v>43</v>
      </c>
      <c r="G43" t="s">
        <v>142</v>
      </c>
      <c r="H43" s="2">
        <v>0.63611111111111107</v>
      </c>
      <c r="I43" s="2">
        <v>0.67222222222222228</v>
      </c>
      <c r="J43">
        <v>11</v>
      </c>
      <c r="K43">
        <v>13</v>
      </c>
      <c r="L43" t="s">
        <v>45</v>
      </c>
      <c r="M43">
        <v>18</v>
      </c>
      <c r="N43">
        <v>84</v>
      </c>
      <c r="O43">
        <v>58</v>
      </c>
      <c r="P43">
        <v>14.8</v>
      </c>
      <c r="Q43" t="s">
        <v>31</v>
      </c>
      <c r="R43">
        <v>0</v>
      </c>
      <c r="S43">
        <v>20</v>
      </c>
      <c r="T43">
        <v>0</v>
      </c>
      <c r="U43">
        <v>0</v>
      </c>
      <c r="V43">
        <v>6</v>
      </c>
      <c r="W43" t="s">
        <v>39</v>
      </c>
      <c r="X43">
        <v>1</v>
      </c>
      <c r="Y43" t="str">
        <f t="shared" si="0"/>
        <v>Low</v>
      </c>
    </row>
    <row r="44" spans="1:25">
      <c r="A44" t="s">
        <v>143</v>
      </c>
      <c r="B44" s="1">
        <v>44927</v>
      </c>
      <c r="C44" s="2">
        <v>0.64583333333333337</v>
      </c>
      <c r="D44" t="s">
        <v>74</v>
      </c>
      <c r="E44" t="s">
        <v>130</v>
      </c>
      <c r="F44" t="s">
        <v>144</v>
      </c>
      <c r="G44" t="s">
        <v>144</v>
      </c>
      <c r="H44" s="2">
        <v>0.6479166666666667</v>
      </c>
      <c r="I44" s="2">
        <v>0.66805555555555551</v>
      </c>
      <c r="J44">
        <v>4</v>
      </c>
      <c r="K44">
        <v>24</v>
      </c>
      <c r="L44" t="s">
        <v>38</v>
      </c>
      <c r="M44">
        <v>-3.9</v>
      </c>
      <c r="N44">
        <v>37</v>
      </c>
      <c r="O44">
        <v>31</v>
      </c>
      <c r="P44">
        <v>13.9</v>
      </c>
      <c r="Q44" t="s">
        <v>31</v>
      </c>
      <c r="R44">
        <v>10000</v>
      </c>
      <c r="S44">
        <v>76</v>
      </c>
      <c r="T44">
        <v>0</v>
      </c>
      <c r="U44">
        <v>1</v>
      </c>
      <c r="V44">
        <v>6</v>
      </c>
      <c r="W44" t="s">
        <v>72</v>
      </c>
      <c r="X44">
        <v>1</v>
      </c>
      <c r="Y44" t="str">
        <f t="shared" si="0"/>
        <v>High</v>
      </c>
    </row>
    <row r="45" spans="1:25">
      <c r="A45" t="s">
        <v>145</v>
      </c>
      <c r="B45" s="1">
        <v>44927</v>
      </c>
      <c r="C45" s="2">
        <v>0.65625</v>
      </c>
      <c r="D45" t="s">
        <v>34</v>
      </c>
      <c r="E45" t="s">
        <v>61</v>
      </c>
      <c r="F45" t="s">
        <v>116</v>
      </c>
      <c r="G45" t="s">
        <v>50</v>
      </c>
      <c r="H45" s="2">
        <v>0.65833333333333333</v>
      </c>
      <c r="I45" s="2">
        <v>0.6791666666666667</v>
      </c>
      <c r="J45">
        <v>17</v>
      </c>
      <c r="K45">
        <v>3</v>
      </c>
      <c r="L45" t="s">
        <v>77</v>
      </c>
      <c r="M45">
        <v>5.5</v>
      </c>
      <c r="N45">
        <v>75</v>
      </c>
      <c r="O45">
        <v>31</v>
      </c>
      <c r="P45">
        <v>18.7</v>
      </c>
      <c r="Q45" t="s">
        <v>31</v>
      </c>
      <c r="R45">
        <v>0</v>
      </c>
      <c r="S45">
        <v>51</v>
      </c>
      <c r="T45">
        <v>0</v>
      </c>
      <c r="U45">
        <v>1</v>
      </c>
      <c r="V45">
        <v>6</v>
      </c>
      <c r="W45" t="s">
        <v>39</v>
      </c>
      <c r="X45">
        <v>0</v>
      </c>
      <c r="Y45" t="str">
        <f t="shared" si="0"/>
        <v>Medium</v>
      </c>
    </row>
    <row r="46" spans="1:25">
      <c r="A46" t="s">
        <v>146</v>
      </c>
      <c r="B46" s="1">
        <v>44927</v>
      </c>
      <c r="C46" s="2">
        <v>0.66666666666666663</v>
      </c>
      <c r="D46" t="s">
        <v>34</v>
      </c>
      <c r="E46" t="s">
        <v>147</v>
      </c>
      <c r="F46" t="s">
        <v>148</v>
      </c>
      <c r="G46" t="s">
        <v>36</v>
      </c>
      <c r="H46" s="2">
        <v>0.6694444444444444</v>
      </c>
      <c r="I46" s="2">
        <v>0.6875</v>
      </c>
      <c r="J46">
        <v>3</v>
      </c>
      <c r="K46">
        <v>5</v>
      </c>
      <c r="L46" t="s">
        <v>84</v>
      </c>
      <c r="M46">
        <v>23.4</v>
      </c>
      <c r="N46">
        <v>43</v>
      </c>
      <c r="O46">
        <v>25</v>
      </c>
      <c r="P46">
        <v>4.7</v>
      </c>
      <c r="Q46" t="s">
        <v>63</v>
      </c>
      <c r="R46">
        <v>500</v>
      </c>
      <c r="S46">
        <v>10</v>
      </c>
      <c r="T46">
        <v>0</v>
      </c>
      <c r="U46">
        <v>1</v>
      </c>
      <c r="V46">
        <v>6</v>
      </c>
      <c r="W46" t="s">
        <v>72</v>
      </c>
      <c r="X46">
        <v>0</v>
      </c>
      <c r="Y46" t="str">
        <f t="shared" si="0"/>
        <v>Low</v>
      </c>
    </row>
    <row r="47" spans="1:25">
      <c r="A47" t="s">
        <v>149</v>
      </c>
      <c r="B47" s="1">
        <v>44927</v>
      </c>
      <c r="C47" s="2">
        <v>0.67708333333333337</v>
      </c>
      <c r="D47" t="s">
        <v>34</v>
      </c>
      <c r="E47" t="s">
        <v>52</v>
      </c>
      <c r="F47" t="s">
        <v>76</v>
      </c>
      <c r="G47" t="s">
        <v>90</v>
      </c>
      <c r="H47" s="2">
        <v>0.67777777777777781</v>
      </c>
      <c r="I47" s="2">
        <v>0.70972222222222225</v>
      </c>
      <c r="J47">
        <v>4</v>
      </c>
      <c r="K47">
        <v>18</v>
      </c>
      <c r="L47" t="s">
        <v>54</v>
      </c>
      <c r="M47">
        <v>22.1</v>
      </c>
      <c r="N47">
        <v>37</v>
      </c>
      <c r="O47">
        <v>10</v>
      </c>
      <c r="P47">
        <v>3.8</v>
      </c>
      <c r="Q47" t="s">
        <v>31</v>
      </c>
      <c r="R47">
        <v>0</v>
      </c>
      <c r="S47">
        <v>7</v>
      </c>
      <c r="T47">
        <v>0</v>
      </c>
      <c r="U47">
        <v>0</v>
      </c>
      <c r="V47">
        <v>6</v>
      </c>
      <c r="W47" t="s">
        <v>39</v>
      </c>
      <c r="X47">
        <v>1</v>
      </c>
      <c r="Y47" t="str">
        <f t="shared" si="0"/>
        <v>Low</v>
      </c>
    </row>
    <row r="48" spans="1:25">
      <c r="A48" t="s">
        <v>150</v>
      </c>
      <c r="B48" s="1">
        <v>44927</v>
      </c>
      <c r="C48" s="2">
        <v>0.6875</v>
      </c>
      <c r="D48" t="s">
        <v>34</v>
      </c>
      <c r="E48" t="s">
        <v>35</v>
      </c>
      <c r="F48" t="s">
        <v>151</v>
      </c>
      <c r="G48" t="s">
        <v>66</v>
      </c>
      <c r="H48" s="2">
        <v>0.68819444444444444</v>
      </c>
      <c r="I48" s="2">
        <v>0.72291666666666665</v>
      </c>
      <c r="J48">
        <v>2</v>
      </c>
      <c r="K48">
        <v>22</v>
      </c>
      <c r="L48" t="s">
        <v>84</v>
      </c>
      <c r="M48">
        <v>9.1</v>
      </c>
      <c r="N48">
        <v>83</v>
      </c>
      <c r="O48">
        <v>45</v>
      </c>
      <c r="P48">
        <v>12.2</v>
      </c>
      <c r="Q48" t="s">
        <v>31</v>
      </c>
      <c r="R48">
        <v>0</v>
      </c>
      <c r="S48">
        <v>56</v>
      </c>
      <c r="T48">
        <v>0</v>
      </c>
      <c r="U48">
        <v>0</v>
      </c>
      <c r="V48">
        <v>6</v>
      </c>
      <c r="W48" t="s">
        <v>39</v>
      </c>
      <c r="X48">
        <v>1</v>
      </c>
      <c r="Y48" t="str">
        <f t="shared" si="0"/>
        <v>Medium</v>
      </c>
    </row>
    <row r="49" spans="1:25">
      <c r="A49" t="s">
        <v>152</v>
      </c>
      <c r="B49" s="1">
        <v>44927</v>
      </c>
      <c r="C49" s="2">
        <v>0.69791666666666663</v>
      </c>
      <c r="D49" t="s">
        <v>26</v>
      </c>
      <c r="E49" t="s">
        <v>104</v>
      </c>
      <c r="F49" t="s">
        <v>75</v>
      </c>
      <c r="G49" t="s">
        <v>75</v>
      </c>
      <c r="H49" s="2">
        <v>0.69791666666666663</v>
      </c>
      <c r="I49" s="2">
        <v>0.73541666666666672</v>
      </c>
      <c r="J49">
        <v>18</v>
      </c>
      <c r="K49">
        <v>8</v>
      </c>
      <c r="L49" t="s">
        <v>38</v>
      </c>
      <c r="M49">
        <v>27.3</v>
      </c>
      <c r="N49">
        <v>50</v>
      </c>
      <c r="O49">
        <v>17</v>
      </c>
      <c r="P49">
        <v>11.9</v>
      </c>
      <c r="Q49" t="s">
        <v>63</v>
      </c>
      <c r="R49">
        <v>0</v>
      </c>
      <c r="S49">
        <v>45</v>
      </c>
      <c r="T49">
        <v>0</v>
      </c>
      <c r="U49">
        <v>1</v>
      </c>
      <c r="V49">
        <v>6</v>
      </c>
      <c r="W49" t="s">
        <v>32</v>
      </c>
      <c r="X49">
        <v>1</v>
      </c>
      <c r="Y49" t="str">
        <f t="shared" si="0"/>
        <v>Medium</v>
      </c>
    </row>
    <row r="50" spans="1:25">
      <c r="A50" t="s">
        <v>153</v>
      </c>
      <c r="B50" s="1">
        <v>44927</v>
      </c>
      <c r="C50" s="2">
        <v>0.70833333333333337</v>
      </c>
      <c r="D50" t="s">
        <v>74</v>
      </c>
      <c r="E50" t="s">
        <v>27</v>
      </c>
      <c r="F50" t="s">
        <v>154</v>
      </c>
      <c r="G50" t="s">
        <v>76</v>
      </c>
      <c r="H50" s="2">
        <v>0.70902777777777781</v>
      </c>
      <c r="I50" s="2">
        <v>0.74305555555555558</v>
      </c>
      <c r="J50">
        <v>15</v>
      </c>
      <c r="K50">
        <v>3</v>
      </c>
      <c r="L50" t="s">
        <v>84</v>
      </c>
      <c r="M50">
        <v>4.4000000000000004</v>
      </c>
      <c r="N50">
        <v>43</v>
      </c>
      <c r="O50">
        <v>38</v>
      </c>
      <c r="P50">
        <v>10.199999999999999</v>
      </c>
      <c r="Q50" t="s">
        <v>46</v>
      </c>
      <c r="R50">
        <v>10000</v>
      </c>
      <c r="S50">
        <v>77</v>
      </c>
      <c r="T50">
        <v>0</v>
      </c>
      <c r="U50">
        <v>0</v>
      </c>
      <c r="V50">
        <v>6</v>
      </c>
      <c r="W50" t="s">
        <v>39</v>
      </c>
      <c r="X50">
        <v>0</v>
      </c>
      <c r="Y50" t="str">
        <f t="shared" si="0"/>
        <v>High</v>
      </c>
    </row>
    <row r="51" spans="1:25">
      <c r="A51" t="s">
        <v>155</v>
      </c>
      <c r="B51" s="1">
        <v>44927</v>
      </c>
      <c r="C51" s="2">
        <v>0.71875</v>
      </c>
      <c r="D51" t="s">
        <v>74</v>
      </c>
      <c r="E51" t="s">
        <v>57</v>
      </c>
      <c r="F51" t="s">
        <v>154</v>
      </c>
      <c r="G51" t="s">
        <v>113</v>
      </c>
      <c r="H51" s="2">
        <v>0.71875</v>
      </c>
      <c r="I51" s="2">
        <v>0.74375000000000002</v>
      </c>
      <c r="J51">
        <v>9</v>
      </c>
      <c r="K51">
        <v>11</v>
      </c>
      <c r="L51" t="s">
        <v>54</v>
      </c>
      <c r="M51">
        <v>13.5</v>
      </c>
      <c r="N51">
        <v>31</v>
      </c>
      <c r="O51">
        <v>4</v>
      </c>
      <c r="P51">
        <v>0.1</v>
      </c>
      <c r="Q51" t="s">
        <v>59</v>
      </c>
      <c r="R51">
        <v>0</v>
      </c>
      <c r="S51">
        <v>96</v>
      </c>
      <c r="T51">
        <v>0</v>
      </c>
      <c r="U51">
        <v>1</v>
      </c>
      <c r="V51">
        <v>6</v>
      </c>
      <c r="W51" t="s">
        <v>72</v>
      </c>
      <c r="X51">
        <v>1</v>
      </c>
      <c r="Y51" t="str">
        <f t="shared" si="0"/>
        <v>High</v>
      </c>
    </row>
    <row r="52" spans="1:25">
      <c r="A52" t="s">
        <v>156</v>
      </c>
      <c r="B52" s="1">
        <v>44927</v>
      </c>
      <c r="C52" s="2">
        <v>0.72916666666666663</v>
      </c>
      <c r="D52" t="s">
        <v>26</v>
      </c>
      <c r="E52" t="s">
        <v>157</v>
      </c>
      <c r="F52" t="s">
        <v>100</v>
      </c>
      <c r="G52" t="s">
        <v>151</v>
      </c>
      <c r="H52" s="2">
        <v>0.73055555555555551</v>
      </c>
      <c r="I52" s="2">
        <v>0.74861111111111112</v>
      </c>
      <c r="J52">
        <v>3</v>
      </c>
      <c r="K52">
        <v>17</v>
      </c>
      <c r="L52" t="s">
        <v>77</v>
      </c>
      <c r="M52">
        <v>13.9</v>
      </c>
      <c r="N52">
        <v>90</v>
      </c>
      <c r="O52">
        <v>15</v>
      </c>
      <c r="P52">
        <v>11.1</v>
      </c>
      <c r="Q52" t="s">
        <v>31</v>
      </c>
      <c r="R52">
        <v>2000</v>
      </c>
      <c r="S52">
        <v>1</v>
      </c>
      <c r="T52">
        <v>0</v>
      </c>
      <c r="U52">
        <v>0</v>
      </c>
      <c r="V52">
        <v>6</v>
      </c>
      <c r="W52" t="s">
        <v>55</v>
      </c>
      <c r="X52">
        <v>1</v>
      </c>
      <c r="Y52" t="str">
        <f t="shared" si="0"/>
        <v>Low</v>
      </c>
    </row>
    <row r="53" spans="1:25">
      <c r="A53" t="s">
        <v>158</v>
      </c>
      <c r="B53" s="1">
        <v>44927</v>
      </c>
      <c r="C53" s="2">
        <v>0.73958333333333337</v>
      </c>
      <c r="D53" t="s">
        <v>74</v>
      </c>
      <c r="E53" t="s">
        <v>93</v>
      </c>
      <c r="F53" t="s">
        <v>128</v>
      </c>
      <c r="G53" t="s">
        <v>95</v>
      </c>
      <c r="H53" s="2">
        <v>0.74097222222222225</v>
      </c>
      <c r="I53" s="2">
        <v>0.75972222222222219</v>
      </c>
      <c r="J53">
        <v>-2</v>
      </c>
      <c r="K53">
        <v>10</v>
      </c>
      <c r="L53" t="s">
        <v>30</v>
      </c>
      <c r="M53">
        <v>8.6</v>
      </c>
      <c r="N53">
        <v>46</v>
      </c>
      <c r="O53">
        <v>10</v>
      </c>
      <c r="P53">
        <v>18.7</v>
      </c>
      <c r="Q53" t="s">
        <v>31</v>
      </c>
      <c r="R53">
        <v>10000</v>
      </c>
      <c r="S53">
        <v>63</v>
      </c>
      <c r="T53">
        <v>0</v>
      </c>
      <c r="U53">
        <v>0</v>
      </c>
      <c r="V53">
        <v>6</v>
      </c>
      <c r="W53" t="s">
        <v>72</v>
      </c>
      <c r="X53">
        <v>1</v>
      </c>
      <c r="Y53" t="str">
        <f t="shared" si="0"/>
        <v>Medium</v>
      </c>
    </row>
    <row r="54" spans="1:25">
      <c r="A54" t="s">
        <v>159</v>
      </c>
      <c r="B54" s="1">
        <v>44927</v>
      </c>
      <c r="C54" s="2">
        <v>0.75</v>
      </c>
      <c r="D54" t="s">
        <v>26</v>
      </c>
      <c r="E54" t="s">
        <v>79</v>
      </c>
      <c r="F54" t="s">
        <v>70</v>
      </c>
      <c r="G54" t="s">
        <v>151</v>
      </c>
      <c r="H54" s="2">
        <v>0.75138888888888888</v>
      </c>
      <c r="I54" s="2">
        <v>0.76875000000000004</v>
      </c>
      <c r="J54">
        <v>1</v>
      </c>
      <c r="K54">
        <v>-2</v>
      </c>
      <c r="L54" t="s">
        <v>77</v>
      </c>
      <c r="M54">
        <v>33.200000000000003</v>
      </c>
      <c r="N54">
        <v>77</v>
      </c>
      <c r="O54">
        <v>53</v>
      </c>
      <c r="P54">
        <v>6.7</v>
      </c>
      <c r="Q54" t="s">
        <v>31</v>
      </c>
      <c r="R54">
        <v>50000</v>
      </c>
      <c r="S54">
        <v>51</v>
      </c>
      <c r="T54">
        <v>0</v>
      </c>
      <c r="U54">
        <v>0</v>
      </c>
      <c r="V54">
        <v>6</v>
      </c>
      <c r="W54" t="s">
        <v>39</v>
      </c>
      <c r="X54">
        <v>0</v>
      </c>
      <c r="Y54" t="str">
        <f t="shared" si="0"/>
        <v>Medium</v>
      </c>
    </row>
    <row r="55" spans="1:25">
      <c r="A55" t="s">
        <v>160</v>
      </c>
      <c r="B55" s="1">
        <v>44927</v>
      </c>
      <c r="C55" s="2">
        <v>0.76041666666666663</v>
      </c>
      <c r="D55" t="s">
        <v>34</v>
      </c>
      <c r="E55" t="s">
        <v>161</v>
      </c>
      <c r="F55" t="s">
        <v>144</v>
      </c>
      <c r="G55" t="s">
        <v>75</v>
      </c>
      <c r="H55" s="2">
        <v>0.76111111111111107</v>
      </c>
      <c r="I55" s="2">
        <v>0.78819444444444442</v>
      </c>
      <c r="J55">
        <v>16</v>
      </c>
      <c r="K55">
        <v>4</v>
      </c>
      <c r="L55" t="s">
        <v>84</v>
      </c>
      <c r="M55">
        <v>22.9</v>
      </c>
      <c r="N55">
        <v>37</v>
      </c>
      <c r="O55">
        <v>34</v>
      </c>
      <c r="P55">
        <v>19.399999999999999</v>
      </c>
      <c r="Q55" t="s">
        <v>46</v>
      </c>
      <c r="R55">
        <v>0</v>
      </c>
      <c r="S55">
        <v>64</v>
      </c>
      <c r="T55">
        <v>0</v>
      </c>
      <c r="U55">
        <v>1</v>
      </c>
      <c r="V55">
        <v>6</v>
      </c>
      <c r="W55" t="s">
        <v>55</v>
      </c>
      <c r="X55">
        <v>0</v>
      </c>
      <c r="Y55" t="str">
        <f t="shared" si="0"/>
        <v>Medium</v>
      </c>
    </row>
    <row r="56" spans="1:25">
      <c r="A56" t="s">
        <v>162</v>
      </c>
      <c r="B56" s="1">
        <v>44927</v>
      </c>
      <c r="C56" s="2">
        <v>0.77083333333333337</v>
      </c>
      <c r="D56" t="s">
        <v>26</v>
      </c>
      <c r="E56" t="s">
        <v>42</v>
      </c>
      <c r="F56" t="s">
        <v>80</v>
      </c>
      <c r="G56" t="s">
        <v>163</v>
      </c>
      <c r="H56" s="2">
        <v>0.77152777777777781</v>
      </c>
      <c r="I56" s="2">
        <v>0.79305555555555551</v>
      </c>
      <c r="J56">
        <v>9</v>
      </c>
      <c r="K56">
        <v>2</v>
      </c>
      <c r="L56" t="s">
        <v>54</v>
      </c>
      <c r="M56">
        <v>16.600000000000001</v>
      </c>
      <c r="N56">
        <v>85</v>
      </c>
      <c r="O56">
        <v>47</v>
      </c>
      <c r="P56">
        <v>7.1</v>
      </c>
      <c r="Q56" t="s">
        <v>71</v>
      </c>
      <c r="R56">
        <v>0</v>
      </c>
      <c r="S56">
        <v>10</v>
      </c>
      <c r="T56">
        <v>0</v>
      </c>
      <c r="U56">
        <v>0</v>
      </c>
      <c r="V56">
        <v>6</v>
      </c>
      <c r="W56" t="s">
        <v>32</v>
      </c>
      <c r="X56">
        <v>0</v>
      </c>
      <c r="Y56" t="str">
        <f t="shared" si="0"/>
        <v>Low</v>
      </c>
    </row>
    <row r="57" spans="1:25">
      <c r="A57" t="s">
        <v>164</v>
      </c>
      <c r="B57" s="1">
        <v>44927</v>
      </c>
      <c r="C57" s="2">
        <v>0.78125</v>
      </c>
      <c r="D57" t="s">
        <v>34</v>
      </c>
      <c r="E57" t="s">
        <v>93</v>
      </c>
      <c r="F57" t="s">
        <v>99</v>
      </c>
      <c r="G57" t="s">
        <v>148</v>
      </c>
      <c r="H57" s="2">
        <v>0.78125</v>
      </c>
      <c r="I57" s="2">
        <v>0.79791666666666672</v>
      </c>
      <c r="J57">
        <v>12</v>
      </c>
      <c r="K57">
        <v>29</v>
      </c>
      <c r="L57" t="s">
        <v>30</v>
      </c>
      <c r="M57">
        <v>15.4</v>
      </c>
      <c r="N57">
        <v>46</v>
      </c>
      <c r="O57">
        <v>10</v>
      </c>
      <c r="P57">
        <v>2.8</v>
      </c>
      <c r="Q57" t="s">
        <v>71</v>
      </c>
      <c r="R57">
        <v>50000</v>
      </c>
      <c r="S57">
        <v>5</v>
      </c>
      <c r="T57">
        <v>0</v>
      </c>
      <c r="U57">
        <v>1</v>
      </c>
      <c r="V57">
        <v>6</v>
      </c>
      <c r="W57" t="s">
        <v>55</v>
      </c>
      <c r="X57">
        <v>1</v>
      </c>
      <c r="Y57" t="str">
        <f t="shared" si="0"/>
        <v>Low</v>
      </c>
    </row>
    <row r="58" spans="1:25">
      <c r="A58" t="s">
        <v>165</v>
      </c>
      <c r="B58" s="1">
        <v>44927</v>
      </c>
      <c r="C58" s="2">
        <v>0.79166666666666663</v>
      </c>
      <c r="D58" t="s">
        <v>34</v>
      </c>
      <c r="E58" t="s">
        <v>98</v>
      </c>
      <c r="F58" t="s">
        <v>96</v>
      </c>
      <c r="G58" t="s">
        <v>105</v>
      </c>
      <c r="H58" s="2">
        <v>0.79374999999999996</v>
      </c>
      <c r="I58" s="2">
        <v>0.80902777777777779</v>
      </c>
      <c r="J58">
        <v>0</v>
      </c>
      <c r="K58">
        <v>2</v>
      </c>
      <c r="L58" t="s">
        <v>54</v>
      </c>
      <c r="M58">
        <v>1.4</v>
      </c>
      <c r="N58">
        <v>98</v>
      </c>
      <c r="O58">
        <v>41</v>
      </c>
      <c r="P58">
        <v>8</v>
      </c>
      <c r="Q58" t="s">
        <v>46</v>
      </c>
      <c r="R58">
        <v>0</v>
      </c>
      <c r="S58">
        <v>95</v>
      </c>
      <c r="T58">
        <v>0</v>
      </c>
      <c r="U58">
        <v>1</v>
      </c>
      <c r="V58">
        <v>6</v>
      </c>
      <c r="W58" t="s">
        <v>32</v>
      </c>
      <c r="X58">
        <v>0</v>
      </c>
      <c r="Y58" t="str">
        <f t="shared" si="0"/>
        <v>High</v>
      </c>
    </row>
    <row r="59" spans="1:25">
      <c r="A59" t="s">
        <v>166</v>
      </c>
      <c r="B59" s="1">
        <v>44927</v>
      </c>
      <c r="C59" s="2">
        <v>0.80208333333333337</v>
      </c>
      <c r="D59" t="s">
        <v>41</v>
      </c>
      <c r="E59" t="s">
        <v>35</v>
      </c>
      <c r="F59" t="s">
        <v>69</v>
      </c>
      <c r="G59" t="s">
        <v>118</v>
      </c>
      <c r="H59" s="2">
        <v>0.80208333333333337</v>
      </c>
      <c r="I59" s="2">
        <v>0.83611111111111114</v>
      </c>
      <c r="J59">
        <v>17</v>
      </c>
      <c r="K59">
        <v>22</v>
      </c>
      <c r="L59" t="s">
        <v>77</v>
      </c>
      <c r="M59">
        <v>9.9</v>
      </c>
      <c r="N59">
        <v>41</v>
      </c>
      <c r="O59">
        <v>22</v>
      </c>
      <c r="P59">
        <v>9.9</v>
      </c>
      <c r="Q59" t="s">
        <v>31</v>
      </c>
      <c r="R59">
        <v>0</v>
      </c>
      <c r="S59">
        <v>78</v>
      </c>
      <c r="T59">
        <v>0</v>
      </c>
      <c r="U59">
        <v>1</v>
      </c>
      <c r="V59">
        <v>6</v>
      </c>
      <c r="W59" t="s">
        <v>72</v>
      </c>
      <c r="X59">
        <v>1</v>
      </c>
      <c r="Y59" t="str">
        <f t="shared" si="0"/>
        <v>High</v>
      </c>
    </row>
    <row r="60" spans="1:25">
      <c r="A60" t="s">
        <v>167</v>
      </c>
      <c r="B60" s="1">
        <v>44927</v>
      </c>
      <c r="C60" s="2">
        <v>0.8125</v>
      </c>
      <c r="D60" t="s">
        <v>26</v>
      </c>
      <c r="E60" t="s">
        <v>141</v>
      </c>
      <c r="F60" t="s">
        <v>107</v>
      </c>
      <c r="G60" t="s">
        <v>168</v>
      </c>
      <c r="H60" s="2">
        <v>0.81388888888888888</v>
      </c>
      <c r="I60" s="2">
        <v>0.84722222222222221</v>
      </c>
      <c r="J60">
        <v>5</v>
      </c>
      <c r="K60">
        <v>10</v>
      </c>
      <c r="L60" t="s">
        <v>45</v>
      </c>
      <c r="M60">
        <v>21.9</v>
      </c>
      <c r="N60">
        <v>67</v>
      </c>
      <c r="O60">
        <v>54</v>
      </c>
      <c r="P60">
        <v>12.6</v>
      </c>
      <c r="Q60" t="s">
        <v>71</v>
      </c>
      <c r="R60">
        <v>0</v>
      </c>
      <c r="S60">
        <v>75</v>
      </c>
      <c r="T60">
        <v>0</v>
      </c>
      <c r="U60">
        <v>1</v>
      </c>
      <c r="V60">
        <v>6</v>
      </c>
      <c r="W60" t="s">
        <v>55</v>
      </c>
      <c r="X60">
        <v>1</v>
      </c>
      <c r="Y60" t="str">
        <f t="shared" si="0"/>
        <v>High</v>
      </c>
    </row>
    <row r="61" spans="1:25">
      <c r="A61" t="s">
        <v>169</v>
      </c>
      <c r="B61" s="1">
        <v>44927</v>
      </c>
      <c r="C61" s="2">
        <v>0.82291666666666663</v>
      </c>
      <c r="D61" t="s">
        <v>41</v>
      </c>
      <c r="E61" t="s">
        <v>130</v>
      </c>
      <c r="F61" t="s">
        <v>151</v>
      </c>
      <c r="G61" t="s">
        <v>87</v>
      </c>
      <c r="H61" s="2">
        <v>0.82291666666666663</v>
      </c>
      <c r="I61" s="2">
        <v>0.84791666666666665</v>
      </c>
      <c r="J61">
        <v>8</v>
      </c>
      <c r="K61">
        <v>4</v>
      </c>
      <c r="L61" t="s">
        <v>45</v>
      </c>
      <c r="M61">
        <v>32</v>
      </c>
      <c r="N61">
        <v>47</v>
      </c>
      <c r="O61">
        <v>33</v>
      </c>
      <c r="P61">
        <v>10.1</v>
      </c>
      <c r="Q61" t="s">
        <v>31</v>
      </c>
      <c r="R61">
        <v>0</v>
      </c>
      <c r="S61">
        <v>63</v>
      </c>
      <c r="T61">
        <v>0</v>
      </c>
      <c r="U61">
        <v>1</v>
      </c>
      <c r="V61">
        <v>6</v>
      </c>
      <c r="W61" t="s">
        <v>55</v>
      </c>
      <c r="X61">
        <v>0</v>
      </c>
      <c r="Y61" t="str">
        <f t="shared" si="0"/>
        <v>Medium</v>
      </c>
    </row>
    <row r="62" spans="1:25">
      <c r="A62" t="s">
        <v>170</v>
      </c>
      <c r="B62" s="1">
        <v>44927</v>
      </c>
      <c r="C62" s="2">
        <v>0.83333333333333337</v>
      </c>
      <c r="D62" t="s">
        <v>26</v>
      </c>
      <c r="E62" t="s">
        <v>98</v>
      </c>
      <c r="F62" t="s">
        <v>148</v>
      </c>
      <c r="G62" t="s">
        <v>151</v>
      </c>
      <c r="H62" s="2">
        <v>0.8354166666666667</v>
      </c>
      <c r="I62" s="2">
        <v>0.85416666666666663</v>
      </c>
      <c r="J62">
        <v>13</v>
      </c>
      <c r="K62">
        <v>9</v>
      </c>
      <c r="L62" t="s">
        <v>30</v>
      </c>
      <c r="M62">
        <v>27.7</v>
      </c>
      <c r="N62">
        <v>55</v>
      </c>
      <c r="O62">
        <v>47</v>
      </c>
      <c r="P62">
        <v>10.7</v>
      </c>
      <c r="Q62" t="s">
        <v>31</v>
      </c>
      <c r="R62">
        <v>0</v>
      </c>
      <c r="S62">
        <v>92</v>
      </c>
      <c r="T62">
        <v>0</v>
      </c>
      <c r="U62">
        <v>1</v>
      </c>
      <c r="V62">
        <v>6</v>
      </c>
      <c r="W62" t="s">
        <v>55</v>
      </c>
      <c r="X62">
        <v>1</v>
      </c>
      <c r="Y62" t="str">
        <f t="shared" si="0"/>
        <v>High</v>
      </c>
    </row>
    <row r="63" spans="1:25">
      <c r="A63" t="s">
        <v>171</v>
      </c>
      <c r="B63" s="1">
        <v>44927</v>
      </c>
      <c r="C63" s="2">
        <v>0.84375</v>
      </c>
      <c r="D63" t="s">
        <v>26</v>
      </c>
      <c r="E63" t="s">
        <v>141</v>
      </c>
      <c r="F63" t="s">
        <v>163</v>
      </c>
      <c r="G63" t="s">
        <v>148</v>
      </c>
      <c r="H63" s="2">
        <v>0.84444444444444444</v>
      </c>
      <c r="I63" s="2">
        <v>0.87083333333333335</v>
      </c>
      <c r="J63">
        <v>6</v>
      </c>
      <c r="K63">
        <v>9</v>
      </c>
      <c r="L63" t="s">
        <v>30</v>
      </c>
      <c r="M63">
        <v>7</v>
      </c>
      <c r="N63">
        <v>66</v>
      </c>
      <c r="O63">
        <v>16</v>
      </c>
      <c r="P63">
        <v>0.5</v>
      </c>
      <c r="Q63" t="s">
        <v>31</v>
      </c>
      <c r="R63">
        <v>500</v>
      </c>
      <c r="S63">
        <v>54</v>
      </c>
      <c r="T63">
        <v>0</v>
      </c>
      <c r="U63">
        <v>0</v>
      </c>
      <c r="V63">
        <v>6</v>
      </c>
      <c r="W63" t="s">
        <v>32</v>
      </c>
      <c r="X63">
        <v>1</v>
      </c>
      <c r="Y63" t="str">
        <f t="shared" si="0"/>
        <v>Medium</v>
      </c>
    </row>
    <row r="64" spans="1:25">
      <c r="A64" t="s">
        <v>172</v>
      </c>
      <c r="B64" s="1">
        <v>44927</v>
      </c>
      <c r="C64" s="2">
        <v>0.85416666666666663</v>
      </c>
      <c r="D64" t="s">
        <v>41</v>
      </c>
      <c r="E64" t="s">
        <v>93</v>
      </c>
      <c r="F64" t="s">
        <v>66</v>
      </c>
      <c r="G64" t="s">
        <v>76</v>
      </c>
      <c r="H64" s="2">
        <v>0.85416666666666663</v>
      </c>
      <c r="I64" s="2">
        <v>0.87361111111111112</v>
      </c>
      <c r="J64">
        <v>0</v>
      </c>
      <c r="K64">
        <v>24</v>
      </c>
      <c r="L64" t="s">
        <v>30</v>
      </c>
      <c r="M64">
        <v>12.4</v>
      </c>
      <c r="N64">
        <v>99</v>
      </c>
      <c r="O64">
        <v>9</v>
      </c>
      <c r="P64">
        <v>5.0999999999999996</v>
      </c>
      <c r="Q64" t="s">
        <v>46</v>
      </c>
      <c r="R64">
        <v>500</v>
      </c>
      <c r="S64">
        <v>43</v>
      </c>
      <c r="T64">
        <v>0</v>
      </c>
      <c r="U64">
        <v>0</v>
      </c>
      <c r="V64">
        <v>6</v>
      </c>
      <c r="W64" t="s">
        <v>32</v>
      </c>
      <c r="X64">
        <v>1</v>
      </c>
      <c r="Y64" t="str">
        <f t="shared" si="0"/>
        <v>Medium</v>
      </c>
    </row>
    <row r="65" spans="1:25">
      <c r="A65" t="s">
        <v>173</v>
      </c>
      <c r="B65" s="1">
        <v>44927</v>
      </c>
      <c r="C65" s="2">
        <v>0.86458333333333337</v>
      </c>
      <c r="D65" t="s">
        <v>41</v>
      </c>
      <c r="E65" t="s">
        <v>93</v>
      </c>
      <c r="F65" t="s">
        <v>154</v>
      </c>
      <c r="G65" t="s">
        <v>142</v>
      </c>
      <c r="H65" s="2">
        <v>0.86597222222222225</v>
      </c>
      <c r="I65" s="2">
        <v>0.87916666666666665</v>
      </c>
      <c r="J65">
        <v>2</v>
      </c>
      <c r="K65">
        <v>14</v>
      </c>
      <c r="L65" t="s">
        <v>45</v>
      </c>
      <c r="M65">
        <v>-1.7</v>
      </c>
      <c r="N65">
        <v>70</v>
      </c>
      <c r="O65">
        <v>17</v>
      </c>
      <c r="P65">
        <v>6.2</v>
      </c>
      <c r="Q65" t="s">
        <v>101</v>
      </c>
      <c r="R65">
        <v>0</v>
      </c>
      <c r="S65">
        <v>85</v>
      </c>
      <c r="T65">
        <v>0</v>
      </c>
      <c r="U65">
        <v>0</v>
      </c>
      <c r="V65">
        <v>6</v>
      </c>
      <c r="W65" t="s">
        <v>72</v>
      </c>
      <c r="X65">
        <v>1</v>
      </c>
      <c r="Y65" t="str">
        <f t="shared" si="0"/>
        <v>High</v>
      </c>
    </row>
    <row r="66" spans="1:25">
      <c r="A66" t="s">
        <v>174</v>
      </c>
      <c r="B66" s="1">
        <v>44927</v>
      </c>
      <c r="C66" s="2">
        <v>0.875</v>
      </c>
      <c r="D66" t="s">
        <v>26</v>
      </c>
      <c r="E66" t="s">
        <v>79</v>
      </c>
      <c r="F66" t="s">
        <v>81</v>
      </c>
      <c r="G66" t="s">
        <v>44</v>
      </c>
      <c r="H66" s="2">
        <v>0.87638888888888888</v>
      </c>
      <c r="I66" s="2">
        <v>0.91388888888888886</v>
      </c>
      <c r="J66">
        <v>17</v>
      </c>
      <c r="K66">
        <v>15</v>
      </c>
      <c r="L66" t="s">
        <v>77</v>
      </c>
      <c r="M66">
        <v>-0.9</v>
      </c>
      <c r="N66">
        <v>71</v>
      </c>
      <c r="O66">
        <v>43</v>
      </c>
      <c r="P66">
        <v>19.7</v>
      </c>
      <c r="Q66" t="s">
        <v>31</v>
      </c>
      <c r="R66">
        <v>10000</v>
      </c>
      <c r="S66">
        <v>13</v>
      </c>
      <c r="T66">
        <v>1</v>
      </c>
      <c r="U66">
        <v>0</v>
      </c>
      <c r="V66">
        <v>6</v>
      </c>
      <c r="W66" t="s">
        <v>72</v>
      </c>
      <c r="X66">
        <v>1</v>
      </c>
      <c r="Y66" t="str">
        <f t="shared" ref="Y66:Y129" si="1">IF(S66&lt;=33,"Low",IF(S66&lt;=66,"Medium","High"))</f>
        <v>Low</v>
      </c>
    </row>
    <row r="67" spans="1:25">
      <c r="A67" t="s">
        <v>175</v>
      </c>
      <c r="B67" s="1">
        <v>44927</v>
      </c>
      <c r="C67" s="2">
        <v>0.88541666666666663</v>
      </c>
      <c r="D67" t="s">
        <v>74</v>
      </c>
      <c r="E67" t="s">
        <v>130</v>
      </c>
      <c r="F67" t="s">
        <v>113</v>
      </c>
      <c r="G67" t="s">
        <v>176</v>
      </c>
      <c r="H67" s="2">
        <v>0.88611111111111107</v>
      </c>
      <c r="I67" s="2">
        <v>0.89930555555555558</v>
      </c>
      <c r="J67">
        <v>11</v>
      </c>
      <c r="K67">
        <v>28</v>
      </c>
      <c r="L67" t="s">
        <v>30</v>
      </c>
      <c r="M67">
        <v>13.8</v>
      </c>
      <c r="N67">
        <v>70</v>
      </c>
      <c r="O67">
        <v>7</v>
      </c>
      <c r="P67">
        <v>5.9</v>
      </c>
      <c r="Q67" t="s">
        <v>31</v>
      </c>
      <c r="R67">
        <v>0</v>
      </c>
      <c r="S67">
        <v>82</v>
      </c>
      <c r="T67">
        <v>0</v>
      </c>
      <c r="U67">
        <v>0</v>
      </c>
      <c r="V67">
        <v>6</v>
      </c>
      <c r="W67" t="s">
        <v>39</v>
      </c>
      <c r="X67">
        <v>1</v>
      </c>
      <c r="Y67" t="str">
        <f t="shared" si="1"/>
        <v>High</v>
      </c>
    </row>
    <row r="68" spans="1:25">
      <c r="A68" t="s">
        <v>177</v>
      </c>
      <c r="B68" s="1">
        <v>44927</v>
      </c>
      <c r="C68" s="2">
        <v>0.89583333333333337</v>
      </c>
      <c r="D68" t="s">
        <v>34</v>
      </c>
      <c r="E68" t="s">
        <v>104</v>
      </c>
      <c r="F68" t="s">
        <v>113</v>
      </c>
      <c r="G68" t="s">
        <v>163</v>
      </c>
      <c r="H68" s="2">
        <v>0.89583333333333337</v>
      </c>
      <c r="I68" s="2">
        <v>0.91180555555555554</v>
      </c>
      <c r="J68">
        <v>12</v>
      </c>
      <c r="K68">
        <v>18</v>
      </c>
      <c r="L68" t="s">
        <v>45</v>
      </c>
      <c r="M68">
        <v>16.2</v>
      </c>
      <c r="N68">
        <v>76</v>
      </c>
      <c r="O68">
        <v>58</v>
      </c>
      <c r="P68">
        <v>17.899999999999999</v>
      </c>
      <c r="Q68" t="s">
        <v>31</v>
      </c>
      <c r="R68">
        <v>0</v>
      </c>
      <c r="S68">
        <v>4</v>
      </c>
      <c r="T68">
        <v>0</v>
      </c>
      <c r="U68">
        <v>0</v>
      </c>
      <c r="V68">
        <v>6</v>
      </c>
      <c r="W68" t="s">
        <v>32</v>
      </c>
      <c r="X68">
        <v>1</v>
      </c>
      <c r="Y68" t="str">
        <f t="shared" si="1"/>
        <v>Low</v>
      </c>
    </row>
    <row r="69" spans="1:25">
      <c r="A69" t="s">
        <v>178</v>
      </c>
      <c r="B69" s="1">
        <v>44927</v>
      </c>
      <c r="C69" s="2">
        <v>0.90625</v>
      </c>
      <c r="D69" t="s">
        <v>41</v>
      </c>
      <c r="E69" t="s">
        <v>111</v>
      </c>
      <c r="F69" t="s">
        <v>135</v>
      </c>
      <c r="G69" t="s">
        <v>90</v>
      </c>
      <c r="H69" s="2">
        <v>0.90833333333333333</v>
      </c>
      <c r="I69" s="2">
        <v>0.94444444444444442</v>
      </c>
      <c r="J69">
        <v>3</v>
      </c>
      <c r="K69">
        <v>-2</v>
      </c>
      <c r="L69" t="s">
        <v>30</v>
      </c>
      <c r="M69">
        <v>5.6</v>
      </c>
      <c r="N69">
        <v>43</v>
      </c>
      <c r="O69">
        <v>25</v>
      </c>
      <c r="P69">
        <v>6.1</v>
      </c>
      <c r="Q69" t="s">
        <v>101</v>
      </c>
      <c r="R69">
        <v>50000</v>
      </c>
      <c r="S69">
        <v>98</v>
      </c>
      <c r="T69">
        <v>0</v>
      </c>
      <c r="U69">
        <v>1</v>
      </c>
      <c r="V69">
        <v>6</v>
      </c>
      <c r="W69" t="s">
        <v>72</v>
      </c>
      <c r="X69">
        <v>0</v>
      </c>
      <c r="Y69" t="str">
        <f t="shared" si="1"/>
        <v>High</v>
      </c>
    </row>
    <row r="70" spans="1:25">
      <c r="A70" t="s">
        <v>179</v>
      </c>
      <c r="B70" s="1">
        <v>44927</v>
      </c>
      <c r="C70" s="2">
        <v>0.91666666666666663</v>
      </c>
      <c r="D70" t="s">
        <v>34</v>
      </c>
      <c r="E70" t="s">
        <v>126</v>
      </c>
      <c r="F70" t="s">
        <v>70</v>
      </c>
      <c r="G70" t="s">
        <v>148</v>
      </c>
      <c r="H70" s="2">
        <v>0.91736111111111107</v>
      </c>
      <c r="I70" s="2">
        <v>0.94722222222222219</v>
      </c>
      <c r="J70">
        <v>1</v>
      </c>
      <c r="K70">
        <v>9</v>
      </c>
      <c r="L70" t="s">
        <v>30</v>
      </c>
      <c r="M70">
        <v>20.7</v>
      </c>
      <c r="N70">
        <v>30</v>
      </c>
      <c r="O70">
        <v>2</v>
      </c>
      <c r="P70">
        <v>1.9</v>
      </c>
      <c r="Q70" t="s">
        <v>71</v>
      </c>
      <c r="R70">
        <v>0</v>
      </c>
      <c r="S70">
        <v>24</v>
      </c>
      <c r="T70">
        <v>0</v>
      </c>
      <c r="U70">
        <v>0</v>
      </c>
      <c r="V70">
        <v>6</v>
      </c>
      <c r="W70" t="s">
        <v>55</v>
      </c>
      <c r="X70">
        <v>1</v>
      </c>
      <c r="Y70" t="str">
        <f t="shared" si="1"/>
        <v>Low</v>
      </c>
    </row>
    <row r="71" spans="1:25">
      <c r="A71" t="s">
        <v>180</v>
      </c>
      <c r="B71" s="1">
        <v>44927</v>
      </c>
      <c r="C71" s="2">
        <v>0.92708333333333337</v>
      </c>
      <c r="D71" t="s">
        <v>74</v>
      </c>
      <c r="E71" t="s">
        <v>57</v>
      </c>
      <c r="F71" t="s">
        <v>44</v>
      </c>
      <c r="G71" t="s">
        <v>142</v>
      </c>
      <c r="H71" s="2">
        <v>0.92708333333333337</v>
      </c>
      <c r="I71" s="2">
        <v>0.94236111111111109</v>
      </c>
      <c r="J71">
        <v>5</v>
      </c>
      <c r="K71">
        <v>19</v>
      </c>
      <c r="L71" t="s">
        <v>54</v>
      </c>
      <c r="M71">
        <v>23.1</v>
      </c>
      <c r="N71">
        <v>46</v>
      </c>
      <c r="O71">
        <v>58</v>
      </c>
      <c r="P71">
        <v>5</v>
      </c>
      <c r="Q71" t="s">
        <v>63</v>
      </c>
      <c r="R71">
        <v>2000</v>
      </c>
      <c r="S71">
        <v>49</v>
      </c>
      <c r="T71">
        <v>0</v>
      </c>
      <c r="U71">
        <v>0</v>
      </c>
      <c r="V71">
        <v>6</v>
      </c>
      <c r="W71" t="s">
        <v>55</v>
      </c>
      <c r="X71">
        <v>1</v>
      </c>
      <c r="Y71" t="str">
        <f t="shared" si="1"/>
        <v>Medium</v>
      </c>
    </row>
    <row r="72" spans="1:25">
      <c r="A72" t="s">
        <v>181</v>
      </c>
      <c r="B72" s="1">
        <v>44927</v>
      </c>
      <c r="C72" s="2">
        <v>0.9375</v>
      </c>
      <c r="D72" t="s">
        <v>74</v>
      </c>
      <c r="E72" t="s">
        <v>35</v>
      </c>
      <c r="F72" t="s">
        <v>69</v>
      </c>
      <c r="G72" t="s">
        <v>123</v>
      </c>
      <c r="H72" s="2">
        <v>0.94027777777777777</v>
      </c>
      <c r="I72" s="2">
        <v>0.95694444444444449</v>
      </c>
      <c r="J72">
        <v>16</v>
      </c>
      <c r="K72">
        <v>21</v>
      </c>
      <c r="L72" t="s">
        <v>30</v>
      </c>
      <c r="M72">
        <v>7</v>
      </c>
      <c r="N72">
        <v>84</v>
      </c>
      <c r="O72">
        <v>51</v>
      </c>
      <c r="P72">
        <v>5.5</v>
      </c>
      <c r="Q72" t="s">
        <v>101</v>
      </c>
      <c r="R72">
        <v>0</v>
      </c>
      <c r="S72">
        <v>72</v>
      </c>
      <c r="T72">
        <v>0</v>
      </c>
      <c r="U72">
        <v>1</v>
      </c>
      <c r="V72">
        <v>6</v>
      </c>
      <c r="W72" t="s">
        <v>55</v>
      </c>
      <c r="X72">
        <v>1</v>
      </c>
      <c r="Y72" t="str">
        <f t="shared" si="1"/>
        <v>High</v>
      </c>
    </row>
    <row r="73" spans="1:25">
      <c r="A73" t="s">
        <v>182</v>
      </c>
      <c r="B73" s="1">
        <v>44927</v>
      </c>
      <c r="C73" s="2">
        <v>0.94791666666666663</v>
      </c>
      <c r="D73" t="s">
        <v>74</v>
      </c>
      <c r="E73" t="s">
        <v>42</v>
      </c>
      <c r="F73" t="s">
        <v>70</v>
      </c>
      <c r="G73" t="s">
        <v>87</v>
      </c>
      <c r="H73" s="2">
        <v>0.94930555555555551</v>
      </c>
      <c r="I73" s="2">
        <v>0.97638888888888886</v>
      </c>
      <c r="J73">
        <v>2</v>
      </c>
      <c r="K73">
        <v>24</v>
      </c>
      <c r="L73" t="s">
        <v>45</v>
      </c>
      <c r="M73">
        <v>25.3</v>
      </c>
      <c r="N73">
        <v>82</v>
      </c>
      <c r="O73">
        <v>23</v>
      </c>
      <c r="P73">
        <v>19.600000000000001</v>
      </c>
      <c r="Q73" t="s">
        <v>31</v>
      </c>
      <c r="R73">
        <v>2000</v>
      </c>
      <c r="S73">
        <v>70</v>
      </c>
      <c r="T73">
        <v>0</v>
      </c>
      <c r="U73">
        <v>0</v>
      </c>
      <c r="V73">
        <v>6</v>
      </c>
      <c r="W73" t="s">
        <v>72</v>
      </c>
      <c r="X73">
        <v>1</v>
      </c>
      <c r="Y73" t="str">
        <f t="shared" si="1"/>
        <v>High</v>
      </c>
    </row>
    <row r="74" spans="1:25">
      <c r="A74" t="s">
        <v>183</v>
      </c>
      <c r="B74" s="1">
        <v>44927</v>
      </c>
      <c r="C74" s="2">
        <v>0.95833333333333337</v>
      </c>
      <c r="D74" t="s">
        <v>41</v>
      </c>
      <c r="E74" t="s">
        <v>35</v>
      </c>
      <c r="F74" t="s">
        <v>87</v>
      </c>
      <c r="G74" t="s">
        <v>118</v>
      </c>
      <c r="H74" s="2">
        <v>0.9604166666666667</v>
      </c>
      <c r="I74" s="2">
        <v>0.98750000000000004</v>
      </c>
      <c r="J74">
        <v>10</v>
      </c>
      <c r="K74">
        <v>7</v>
      </c>
      <c r="L74" t="s">
        <v>77</v>
      </c>
      <c r="M74">
        <v>3.2</v>
      </c>
      <c r="N74">
        <v>60</v>
      </c>
      <c r="O74">
        <v>2</v>
      </c>
      <c r="P74">
        <v>13.5</v>
      </c>
      <c r="Q74" t="s">
        <v>31</v>
      </c>
      <c r="R74">
        <v>0</v>
      </c>
      <c r="S74">
        <v>81</v>
      </c>
      <c r="T74">
        <v>0</v>
      </c>
      <c r="U74">
        <v>0</v>
      </c>
      <c r="V74">
        <v>6</v>
      </c>
      <c r="W74" t="s">
        <v>55</v>
      </c>
      <c r="X74">
        <v>1</v>
      </c>
      <c r="Y74" t="str">
        <f t="shared" si="1"/>
        <v>High</v>
      </c>
    </row>
    <row r="75" spans="1:25">
      <c r="A75" t="s">
        <v>184</v>
      </c>
      <c r="B75" s="1">
        <v>44927</v>
      </c>
      <c r="C75" s="2">
        <v>0.96875</v>
      </c>
      <c r="D75" t="s">
        <v>74</v>
      </c>
      <c r="E75" t="s">
        <v>27</v>
      </c>
      <c r="F75" t="s">
        <v>185</v>
      </c>
      <c r="G75" t="s">
        <v>76</v>
      </c>
      <c r="H75" s="2">
        <v>0.97083333333333333</v>
      </c>
      <c r="I75" s="2">
        <v>0.99027777777777781</v>
      </c>
      <c r="J75">
        <v>13</v>
      </c>
      <c r="K75">
        <v>29</v>
      </c>
      <c r="L75" t="s">
        <v>45</v>
      </c>
      <c r="M75">
        <v>16.8</v>
      </c>
      <c r="N75">
        <v>91</v>
      </c>
      <c r="O75">
        <v>37</v>
      </c>
      <c r="P75">
        <v>18.600000000000001</v>
      </c>
      <c r="Q75" t="s">
        <v>31</v>
      </c>
      <c r="R75">
        <v>0</v>
      </c>
      <c r="S75">
        <v>1</v>
      </c>
      <c r="T75">
        <v>0</v>
      </c>
      <c r="U75">
        <v>1</v>
      </c>
      <c r="V75">
        <v>6</v>
      </c>
      <c r="W75" t="s">
        <v>55</v>
      </c>
      <c r="X75">
        <v>1</v>
      </c>
      <c r="Y75" t="str">
        <f t="shared" si="1"/>
        <v>Low</v>
      </c>
    </row>
    <row r="76" spans="1:25">
      <c r="A76" t="s">
        <v>186</v>
      </c>
      <c r="B76" s="1">
        <v>44927</v>
      </c>
      <c r="C76" s="2">
        <v>0.97916666666666663</v>
      </c>
      <c r="D76" t="s">
        <v>41</v>
      </c>
      <c r="E76" t="s">
        <v>98</v>
      </c>
      <c r="F76" t="s">
        <v>105</v>
      </c>
      <c r="G76" t="s">
        <v>123</v>
      </c>
      <c r="H76" s="2">
        <v>0.98124999999999996</v>
      </c>
      <c r="I76" s="2">
        <v>0.99930555555555556</v>
      </c>
      <c r="J76">
        <v>-2</v>
      </c>
      <c r="K76">
        <v>20</v>
      </c>
      <c r="L76" t="s">
        <v>45</v>
      </c>
      <c r="M76">
        <v>27.2</v>
      </c>
      <c r="N76">
        <v>37</v>
      </c>
      <c r="O76">
        <v>1</v>
      </c>
      <c r="P76">
        <v>16.7</v>
      </c>
      <c r="Q76" t="s">
        <v>31</v>
      </c>
      <c r="R76">
        <v>0</v>
      </c>
      <c r="S76">
        <v>9</v>
      </c>
      <c r="T76">
        <v>0</v>
      </c>
      <c r="U76">
        <v>0</v>
      </c>
      <c r="V76">
        <v>6</v>
      </c>
      <c r="W76" t="s">
        <v>32</v>
      </c>
      <c r="X76">
        <v>1</v>
      </c>
      <c r="Y76" t="str">
        <f t="shared" si="1"/>
        <v>Low</v>
      </c>
    </row>
    <row r="77" spans="1:25">
      <c r="A77" t="s">
        <v>187</v>
      </c>
      <c r="B77" s="1">
        <v>44927</v>
      </c>
      <c r="C77" s="2">
        <v>0.98958333333333337</v>
      </c>
      <c r="D77" t="s">
        <v>74</v>
      </c>
      <c r="E77" t="s">
        <v>104</v>
      </c>
      <c r="F77" t="s">
        <v>90</v>
      </c>
      <c r="G77" t="s">
        <v>96</v>
      </c>
      <c r="H77" s="2">
        <v>0.99097222222222225</v>
      </c>
      <c r="I77" s="2">
        <v>2.6388888888888889E-2</v>
      </c>
      <c r="J77">
        <v>10</v>
      </c>
      <c r="K77">
        <v>-2</v>
      </c>
      <c r="L77" t="s">
        <v>30</v>
      </c>
      <c r="M77">
        <v>16.5</v>
      </c>
      <c r="N77">
        <v>59</v>
      </c>
      <c r="O77">
        <v>34</v>
      </c>
      <c r="P77">
        <v>11.6</v>
      </c>
      <c r="Q77" t="s">
        <v>31</v>
      </c>
      <c r="R77">
        <v>0</v>
      </c>
      <c r="S77">
        <v>1</v>
      </c>
      <c r="T77">
        <v>0</v>
      </c>
      <c r="U77">
        <v>0</v>
      </c>
      <c r="V77">
        <v>6</v>
      </c>
      <c r="W77" t="s">
        <v>32</v>
      </c>
      <c r="X77">
        <v>0</v>
      </c>
      <c r="Y77" t="str">
        <f t="shared" si="1"/>
        <v>Low</v>
      </c>
    </row>
    <row r="78" spans="1:25">
      <c r="A78" t="s">
        <v>188</v>
      </c>
      <c r="B78" s="1">
        <v>44928</v>
      </c>
      <c r="C78" s="2">
        <v>0</v>
      </c>
      <c r="D78" t="s">
        <v>34</v>
      </c>
      <c r="E78" t="s">
        <v>126</v>
      </c>
      <c r="F78" t="s">
        <v>123</v>
      </c>
      <c r="G78" t="s">
        <v>96</v>
      </c>
      <c r="H78" s="2">
        <v>0</v>
      </c>
      <c r="I78" s="2">
        <v>2.013888888888889E-2</v>
      </c>
      <c r="J78">
        <v>19</v>
      </c>
      <c r="K78">
        <v>26</v>
      </c>
      <c r="L78" t="s">
        <v>54</v>
      </c>
      <c r="M78">
        <v>31.3</v>
      </c>
      <c r="N78">
        <v>95</v>
      </c>
      <c r="O78">
        <v>16</v>
      </c>
      <c r="P78">
        <v>13.5</v>
      </c>
      <c r="Q78" t="s">
        <v>31</v>
      </c>
      <c r="R78">
        <v>0</v>
      </c>
      <c r="S78">
        <v>59</v>
      </c>
      <c r="T78">
        <v>0</v>
      </c>
      <c r="U78">
        <v>0</v>
      </c>
      <c r="V78">
        <v>0</v>
      </c>
      <c r="W78" t="s">
        <v>72</v>
      </c>
      <c r="X78">
        <v>1</v>
      </c>
      <c r="Y78" t="str">
        <f t="shared" si="1"/>
        <v>Medium</v>
      </c>
    </row>
    <row r="79" spans="1:25">
      <c r="A79" t="s">
        <v>189</v>
      </c>
      <c r="B79" s="1">
        <v>44928</v>
      </c>
      <c r="C79" s="2">
        <v>1.0416666666666666E-2</v>
      </c>
      <c r="D79" t="s">
        <v>34</v>
      </c>
      <c r="E79" t="s">
        <v>61</v>
      </c>
      <c r="F79" t="s">
        <v>151</v>
      </c>
      <c r="G79" t="s">
        <v>154</v>
      </c>
      <c r="H79" s="2">
        <v>1.1111111111111112E-2</v>
      </c>
      <c r="I79" s="2">
        <v>4.4444444444444446E-2</v>
      </c>
      <c r="J79">
        <v>8</v>
      </c>
      <c r="K79">
        <v>13</v>
      </c>
      <c r="L79" t="s">
        <v>38</v>
      </c>
      <c r="M79">
        <v>-2.7</v>
      </c>
      <c r="N79">
        <v>74</v>
      </c>
      <c r="O79">
        <v>8</v>
      </c>
      <c r="P79">
        <v>12.5</v>
      </c>
      <c r="Q79" t="s">
        <v>71</v>
      </c>
      <c r="R79">
        <v>10000</v>
      </c>
      <c r="S79">
        <v>44</v>
      </c>
      <c r="T79">
        <v>0</v>
      </c>
      <c r="U79">
        <v>0</v>
      </c>
      <c r="V79">
        <v>0</v>
      </c>
      <c r="W79" t="s">
        <v>32</v>
      </c>
      <c r="X79">
        <v>1</v>
      </c>
      <c r="Y79" t="str">
        <f t="shared" si="1"/>
        <v>Medium</v>
      </c>
    </row>
    <row r="80" spans="1:25">
      <c r="A80" t="s">
        <v>190</v>
      </c>
      <c r="B80" s="1">
        <v>44928</v>
      </c>
      <c r="C80" s="2">
        <v>2.0833333333333332E-2</v>
      </c>
      <c r="D80" t="s">
        <v>26</v>
      </c>
      <c r="E80" t="s">
        <v>161</v>
      </c>
      <c r="F80" t="s">
        <v>87</v>
      </c>
      <c r="G80" t="s">
        <v>154</v>
      </c>
      <c r="H80" s="2">
        <v>2.0833333333333332E-2</v>
      </c>
      <c r="I80" s="2">
        <v>4.9305555555555554E-2</v>
      </c>
      <c r="J80">
        <v>18</v>
      </c>
      <c r="K80">
        <v>18</v>
      </c>
      <c r="L80" t="s">
        <v>38</v>
      </c>
      <c r="M80">
        <v>18.5</v>
      </c>
      <c r="N80">
        <v>47</v>
      </c>
      <c r="O80">
        <v>35</v>
      </c>
      <c r="P80">
        <v>13.3</v>
      </c>
      <c r="Q80" t="s">
        <v>31</v>
      </c>
      <c r="R80">
        <v>0</v>
      </c>
      <c r="S80">
        <v>7</v>
      </c>
      <c r="T80">
        <v>0</v>
      </c>
      <c r="U80">
        <v>1</v>
      </c>
      <c r="V80">
        <v>0</v>
      </c>
      <c r="W80" t="s">
        <v>39</v>
      </c>
      <c r="X80">
        <v>1</v>
      </c>
      <c r="Y80" t="str">
        <f t="shared" si="1"/>
        <v>Low</v>
      </c>
    </row>
    <row r="81" spans="1:25">
      <c r="A81" t="s">
        <v>191</v>
      </c>
      <c r="B81" s="1">
        <v>44928</v>
      </c>
      <c r="C81" s="2">
        <v>3.125E-2</v>
      </c>
      <c r="D81" t="s">
        <v>34</v>
      </c>
      <c r="E81" t="s">
        <v>57</v>
      </c>
      <c r="F81" t="s">
        <v>50</v>
      </c>
      <c r="G81" t="s">
        <v>62</v>
      </c>
      <c r="H81" s="2">
        <v>3.1944444444444442E-2</v>
      </c>
      <c r="I81" s="2">
        <v>4.8611111111111112E-2</v>
      </c>
      <c r="J81">
        <v>5</v>
      </c>
      <c r="K81">
        <v>1</v>
      </c>
      <c r="L81" t="s">
        <v>38</v>
      </c>
      <c r="M81">
        <v>17.5</v>
      </c>
      <c r="N81">
        <v>74</v>
      </c>
      <c r="O81">
        <v>21</v>
      </c>
      <c r="P81">
        <v>5.3</v>
      </c>
      <c r="Q81" t="s">
        <v>31</v>
      </c>
      <c r="R81">
        <v>10000</v>
      </c>
      <c r="S81">
        <v>57</v>
      </c>
      <c r="T81">
        <v>0</v>
      </c>
      <c r="U81">
        <v>0</v>
      </c>
      <c r="V81">
        <v>0</v>
      </c>
      <c r="W81" t="s">
        <v>72</v>
      </c>
      <c r="X81">
        <v>0</v>
      </c>
      <c r="Y81" t="str">
        <f t="shared" si="1"/>
        <v>Medium</v>
      </c>
    </row>
    <row r="82" spans="1:25">
      <c r="A82" t="s">
        <v>192</v>
      </c>
      <c r="B82" s="1">
        <v>44928</v>
      </c>
      <c r="C82" s="2">
        <v>4.1666666666666664E-2</v>
      </c>
      <c r="D82" t="s">
        <v>26</v>
      </c>
      <c r="E82" t="s">
        <v>130</v>
      </c>
      <c r="F82" t="s">
        <v>142</v>
      </c>
      <c r="G82" t="s">
        <v>168</v>
      </c>
      <c r="H82" s="2">
        <v>4.3749999999999997E-2</v>
      </c>
      <c r="I82" s="2">
        <v>5.6250000000000001E-2</v>
      </c>
      <c r="J82">
        <v>5</v>
      </c>
      <c r="K82">
        <v>12</v>
      </c>
      <c r="L82" t="s">
        <v>45</v>
      </c>
      <c r="M82">
        <v>21.4</v>
      </c>
      <c r="N82">
        <v>48</v>
      </c>
      <c r="O82">
        <v>30</v>
      </c>
      <c r="P82">
        <v>8.1999999999999993</v>
      </c>
      <c r="Q82" t="s">
        <v>31</v>
      </c>
      <c r="R82">
        <v>0</v>
      </c>
      <c r="S82">
        <v>6</v>
      </c>
      <c r="T82">
        <v>0</v>
      </c>
      <c r="U82">
        <v>1</v>
      </c>
      <c r="V82">
        <v>0</v>
      </c>
      <c r="W82" t="s">
        <v>39</v>
      </c>
      <c r="X82">
        <v>1</v>
      </c>
      <c r="Y82" t="str">
        <f t="shared" si="1"/>
        <v>Low</v>
      </c>
    </row>
    <row r="83" spans="1:25">
      <c r="A83" t="s">
        <v>193</v>
      </c>
      <c r="B83" s="1">
        <v>44928</v>
      </c>
      <c r="C83" s="2">
        <v>5.2083333333333336E-2</v>
      </c>
      <c r="D83" t="s">
        <v>34</v>
      </c>
      <c r="E83" t="s">
        <v>93</v>
      </c>
      <c r="F83" t="s">
        <v>123</v>
      </c>
      <c r="G83" t="s">
        <v>194</v>
      </c>
      <c r="H83" s="2">
        <v>5.2083333333333336E-2</v>
      </c>
      <c r="I83" s="2">
        <v>8.611111111111111E-2</v>
      </c>
      <c r="J83">
        <v>11</v>
      </c>
      <c r="K83">
        <v>9</v>
      </c>
      <c r="L83" t="s">
        <v>30</v>
      </c>
      <c r="M83">
        <v>28.3</v>
      </c>
      <c r="N83">
        <v>97</v>
      </c>
      <c r="O83">
        <v>54</v>
      </c>
      <c r="P83">
        <v>11.9</v>
      </c>
      <c r="Q83" t="s">
        <v>31</v>
      </c>
      <c r="R83">
        <v>0</v>
      </c>
      <c r="S83">
        <v>98</v>
      </c>
      <c r="T83">
        <v>0</v>
      </c>
      <c r="U83">
        <v>0</v>
      </c>
      <c r="V83">
        <v>0</v>
      </c>
      <c r="W83" t="s">
        <v>39</v>
      </c>
      <c r="X83">
        <v>1</v>
      </c>
      <c r="Y83" t="str">
        <f t="shared" si="1"/>
        <v>High</v>
      </c>
    </row>
    <row r="84" spans="1:25">
      <c r="A84" t="s">
        <v>195</v>
      </c>
      <c r="B84" s="1">
        <v>44928</v>
      </c>
      <c r="C84" s="2">
        <v>6.25E-2</v>
      </c>
      <c r="D84" t="s">
        <v>41</v>
      </c>
      <c r="E84" t="s">
        <v>111</v>
      </c>
      <c r="F84" t="s">
        <v>99</v>
      </c>
      <c r="G84" t="s">
        <v>69</v>
      </c>
      <c r="H84" s="2">
        <v>6.458333333333334E-2</v>
      </c>
      <c r="I84" s="2">
        <v>7.7083333333333337E-2</v>
      </c>
      <c r="J84">
        <v>10</v>
      </c>
      <c r="K84">
        <v>22</v>
      </c>
      <c r="L84" t="s">
        <v>38</v>
      </c>
      <c r="M84">
        <v>24</v>
      </c>
      <c r="N84">
        <v>79</v>
      </c>
      <c r="O84">
        <v>33</v>
      </c>
      <c r="P84">
        <v>0.7</v>
      </c>
      <c r="Q84" t="s">
        <v>46</v>
      </c>
      <c r="R84">
        <v>50000</v>
      </c>
      <c r="S84">
        <v>86</v>
      </c>
      <c r="T84">
        <v>0</v>
      </c>
      <c r="U84">
        <v>0</v>
      </c>
      <c r="V84">
        <v>0</v>
      </c>
      <c r="W84" t="s">
        <v>72</v>
      </c>
      <c r="X84">
        <v>1</v>
      </c>
      <c r="Y84" t="str">
        <f t="shared" si="1"/>
        <v>High</v>
      </c>
    </row>
    <row r="85" spans="1:25">
      <c r="A85" t="s">
        <v>196</v>
      </c>
      <c r="B85" s="1">
        <v>44928</v>
      </c>
      <c r="C85" s="2">
        <v>7.2916666666666671E-2</v>
      </c>
      <c r="D85" t="s">
        <v>34</v>
      </c>
      <c r="E85" t="s">
        <v>79</v>
      </c>
      <c r="F85" t="s">
        <v>90</v>
      </c>
      <c r="G85" t="s">
        <v>197</v>
      </c>
      <c r="H85" s="2">
        <v>7.5694444444444439E-2</v>
      </c>
      <c r="I85" s="2">
        <v>0.10833333333333334</v>
      </c>
      <c r="J85">
        <v>0</v>
      </c>
      <c r="K85">
        <v>27</v>
      </c>
      <c r="L85" t="s">
        <v>84</v>
      </c>
      <c r="M85">
        <v>26.6</v>
      </c>
      <c r="N85">
        <v>54</v>
      </c>
      <c r="O85">
        <v>23</v>
      </c>
      <c r="P85">
        <v>9.6999999999999993</v>
      </c>
      <c r="Q85" t="s">
        <v>46</v>
      </c>
      <c r="R85">
        <v>50000</v>
      </c>
      <c r="S85">
        <v>71</v>
      </c>
      <c r="T85">
        <v>0</v>
      </c>
      <c r="U85">
        <v>1</v>
      </c>
      <c r="V85">
        <v>0</v>
      </c>
      <c r="W85" t="s">
        <v>32</v>
      </c>
      <c r="X85">
        <v>1</v>
      </c>
      <c r="Y85" t="str">
        <f t="shared" si="1"/>
        <v>High</v>
      </c>
    </row>
    <row r="86" spans="1:25">
      <c r="A86" t="s">
        <v>198</v>
      </c>
      <c r="B86" s="1">
        <v>44928</v>
      </c>
      <c r="C86" s="2">
        <v>8.3333333333333329E-2</v>
      </c>
      <c r="D86" t="s">
        <v>26</v>
      </c>
      <c r="E86" t="s">
        <v>157</v>
      </c>
      <c r="F86" t="s">
        <v>194</v>
      </c>
      <c r="G86" t="s">
        <v>135</v>
      </c>
      <c r="H86" s="2">
        <v>8.5416666666666669E-2</v>
      </c>
      <c r="I86" s="2">
        <v>0.1076388888888889</v>
      </c>
      <c r="J86">
        <v>1</v>
      </c>
      <c r="K86">
        <v>19</v>
      </c>
      <c r="L86" t="s">
        <v>84</v>
      </c>
      <c r="M86">
        <v>6.6</v>
      </c>
      <c r="N86">
        <v>67</v>
      </c>
      <c r="O86">
        <v>59</v>
      </c>
      <c r="P86">
        <v>17.2</v>
      </c>
      <c r="Q86" t="s">
        <v>31</v>
      </c>
      <c r="R86">
        <v>0</v>
      </c>
      <c r="S86">
        <v>20</v>
      </c>
      <c r="T86">
        <v>1</v>
      </c>
      <c r="U86">
        <v>1</v>
      </c>
      <c r="V86">
        <v>0</v>
      </c>
      <c r="W86" t="s">
        <v>32</v>
      </c>
      <c r="X86">
        <v>1</v>
      </c>
      <c r="Y86" t="str">
        <f t="shared" si="1"/>
        <v>Low</v>
      </c>
    </row>
    <row r="87" spans="1:25">
      <c r="A87" t="s">
        <v>199</v>
      </c>
      <c r="B87" s="1">
        <v>44928</v>
      </c>
      <c r="C87" s="2">
        <v>9.375E-2</v>
      </c>
      <c r="D87" t="s">
        <v>26</v>
      </c>
      <c r="E87" t="s">
        <v>79</v>
      </c>
      <c r="F87" t="s">
        <v>90</v>
      </c>
      <c r="G87" t="s">
        <v>44</v>
      </c>
      <c r="H87" s="2">
        <v>9.583333333333334E-2</v>
      </c>
      <c r="I87" s="2">
        <v>0.11527777777777778</v>
      </c>
      <c r="J87">
        <v>17</v>
      </c>
      <c r="K87">
        <v>8</v>
      </c>
      <c r="L87" t="s">
        <v>84</v>
      </c>
      <c r="M87">
        <v>10.5</v>
      </c>
      <c r="N87">
        <v>65</v>
      </c>
      <c r="O87">
        <v>8</v>
      </c>
      <c r="P87">
        <v>9.8000000000000007</v>
      </c>
      <c r="Q87" t="s">
        <v>71</v>
      </c>
      <c r="R87">
        <v>10000</v>
      </c>
      <c r="S87">
        <v>96</v>
      </c>
      <c r="T87">
        <v>0</v>
      </c>
      <c r="U87">
        <v>0</v>
      </c>
      <c r="V87">
        <v>0</v>
      </c>
      <c r="W87" t="s">
        <v>72</v>
      </c>
      <c r="X87">
        <v>1</v>
      </c>
      <c r="Y87" t="str">
        <f t="shared" si="1"/>
        <v>High</v>
      </c>
    </row>
    <row r="88" spans="1:25">
      <c r="A88" t="s">
        <v>200</v>
      </c>
      <c r="B88" s="1">
        <v>44928</v>
      </c>
      <c r="C88" s="2">
        <v>0.10416666666666667</v>
      </c>
      <c r="D88" t="s">
        <v>74</v>
      </c>
      <c r="E88" t="s">
        <v>61</v>
      </c>
      <c r="F88" t="s">
        <v>128</v>
      </c>
      <c r="G88" t="s">
        <v>50</v>
      </c>
      <c r="H88" s="2">
        <v>0.10486111111111111</v>
      </c>
      <c r="I88" s="2">
        <v>0.11805555555555555</v>
      </c>
      <c r="J88">
        <v>12</v>
      </c>
      <c r="K88">
        <v>10</v>
      </c>
      <c r="L88" t="s">
        <v>77</v>
      </c>
      <c r="M88">
        <v>20.100000000000001</v>
      </c>
      <c r="N88">
        <v>97</v>
      </c>
      <c r="O88">
        <v>45</v>
      </c>
      <c r="P88">
        <v>11</v>
      </c>
      <c r="Q88" t="s">
        <v>31</v>
      </c>
      <c r="R88">
        <v>0</v>
      </c>
      <c r="S88">
        <v>46</v>
      </c>
      <c r="T88">
        <v>0</v>
      </c>
      <c r="U88">
        <v>0</v>
      </c>
      <c r="V88">
        <v>0</v>
      </c>
      <c r="W88" t="s">
        <v>39</v>
      </c>
      <c r="X88">
        <v>1</v>
      </c>
      <c r="Y88" t="str">
        <f t="shared" si="1"/>
        <v>Medium</v>
      </c>
    </row>
    <row r="89" spans="1:25">
      <c r="A89" t="s">
        <v>201</v>
      </c>
      <c r="B89" s="1">
        <v>44928</v>
      </c>
      <c r="C89" s="2">
        <v>0.11458333333333333</v>
      </c>
      <c r="D89" t="s">
        <v>41</v>
      </c>
      <c r="E89" t="s">
        <v>42</v>
      </c>
      <c r="F89" t="s">
        <v>50</v>
      </c>
      <c r="G89" t="s">
        <v>96</v>
      </c>
      <c r="H89" s="2">
        <v>0.11736111111111111</v>
      </c>
      <c r="I89" s="2">
        <v>0.13333333333333333</v>
      </c>
      <c r="J89">
        <v>12</v>
      </c>
      <c r="K89">
        <v>14</v>
      </c>
      <c r="L89" t="s">
        <v>30</v>
      </c>
      <c r="M89">
        <v>17.100000000000001</v>
      </c>
      <c r="N89">
        <v>85</v>
      </c>
      <c r="O89">
        <v>57</v>
      </c>
      <c r="P89">
        <v>4</v>
      </c>
      <c r="Q89" t="s">
        <v>31</v>
      </c>
      <c r="R89">
        <v>0</v>
      </c>
      <c r="S89">
        <v>0</v>
      </c>
      <c r="T89">
        <v>0</v>
      </c>
      <c r="U89">
        <v>1</v>
      </c>
      <c r="V89">
        <v>0</v>
      </c>
      <c r="W89" t="s">
        <v>72</v>
      </c>
      <c r="X89">
        <v>1</v>
      </c>
      <c r="Y89" t="str">
        <f t="shared" si="1"/>
        <v>Low</v>
      </c>
    </row>
    <row r="90" spans="1:25">
      <c r="A90" t="s">
        <v>202</v>
      </c>
      <c r="B90" s="1">
        <v>44928</v>
      </c>
      <c r="C90" s="2">
        <v>0.125</v>
      </c>
      <c r="D90" t="s">
        <v>34</v>
      </c>
      <c r="E90" t="s">
        <v>161</v>
      </c>
      <c r="F90" t="s">
        <v>70</v>
      </c>
      <c r="G90" t="s">
        <v>203</v>
      </c>
      <c r="H90" s="2">
        <v>0.12708333333333333</v>
      </c>
      <c r="I90" s="2">
        <v>0.14722222222222223</v>
      </c>
      <c r="J90">
        <v>18</v>
      </c>
      <c r="K90">
        <v>23</v>
      </c>
      <c r="L90" t="s">
        <v>45</v>
      </c>
      <c r="M90">
        <v>33.4</v>
      </c>
      <c r="N90">
        <v>68</v>
      </c>
      <c r="O90">
        <v>42</v>
      </c>
      <c r="P90">
        <v>15.9</v>
      </c>
      <c r="Q90" t="s">
        <v>31</v>
      </c>
      <c r="R90">
        <v>0</v>
      </c>
      <c r="S90">
        <v>11</v>
      </c>
      <c r="T90">
        <v>0</v>
      </c>
      <c r="U90">
        <v>0</v>
      </c>
      <c r="V90">
        <v>0</v>
      </c>
      <c r="W90" t="s">
        <v>72</v>
      </c>
      <c r="X90">
        <v>1</v>
      </c>
      <c r="Y90" t="str">
        <f t="shared" si="1"/>
        <v>Low</v>
      </c>
    </row>
    <row r="91" spans="1:25">
      <c r="A91" t="s">
        <v>204</v>
      </c>
      <c r="B91" s="1">
        <v>44928</v>
      </c>
      <c r="C91" s="2">
        <v>0.13541666666666666</v>
      </c>
      <c r="D91" t="s">
        <v>74</v>
      </c>
      <c r="E91" t="s">
        <v>111</v>
      </c>
      <c r="F91" t="s">
        <v>128</v>
      </c>
      <c r="G91" t="s">
        <v>36</v>
      </c>
      <c r="H91" s="2">
        <v>0.13750000000000001</v>
      </c>
      <c r="I91" s="2">
        <v>0.15902777777777777</v>
      </c>
      <c r="J91">
        <v>10</v>
      </c>
      <c r="K91">
        <v>24</v>
      </c>
      <c r="L91" t="s">
        <v>45</v>
      </c>
      <c r="M91">
        <v>2.5</v>
      </c>
      <c r="N91">
        <v>92</v>
      </c>
      <c r="O91">
        <v>1</v>
      </c>
      <c r="P91">
        <v>7.2</v>
      </c>
      <c r="Q91" t="s">
        <v>63</v>
      </c>
      <c r="R91">
        <v>50000</v>
      </c>
      <c r="S91">
        <v>74</v>
      </c>
      <c r="T91">
        <v>0</v>
      </c>
      <c r="U91">
        <v>0</v>
      </c>
      <c r="V91">
        <v>0</v>
      </c>
      <c r="W91" t="s">
        <v>55</v>
      </c>
      <c r="X91">
        <v>1</v>
      </c>
      <c r="Y91" t="str">
        <f t="shared" si="1"/>
        <v>High</v>
      </c>
    </row>
    <row r="92" spans="1:25">
      <c r="A92" t="s">
        <v>205</v>
      </c>
      <c r="B92" s="1">
        <v>44928</v>
      </c>
      <c r="C92" s="2">
        <v>0.14583333333333334</v>
      </c>
      <c r="D92" t="s">
        <v>34</v>
      </c>
      <c r="E92" t="s">
        <v>27</v>
      </c>
      <c r="F92" t="s">
        <v>122</v>
      </c>
      <c r="G92" t="s">
        <v>50</v>
      </c>
      <c r="H92" s="2">
        <v>0.14861111111111111</v>
      </c>
      <c r="I92" s="2">
        <v>0.16458333333333333</v>
      </c>
      <c r="J92">
        <v>6</v>
      </c>
      <c r="K92">
        <v>14</v>
      </c>
      <c r="L92" t="s">
        <v>30</v>
      </c>
      <c r="M92">
        <v>9.1</v>
      </c>
      <c r="N92">
        <v>36</v>
      </c>
      <c r="O92">
        <v>20</v>
      </c>
      <c r="P92">
        <v>19.100000000000001</v>
      </c>
      <c r="Q92" t="s">
        <v>31</v>
      </c>
      <c r="R92">
        <v>50000</v>
      </c>
      <c r="S92">
        <v>47</v>
      </c>
      <c r="T92">
        <v>1</v>
      </c>
      <c r="U92">
        <v>1</v>
      </c>
      <c r="V92">
        <v>0</v>
      </c>
      <c r="W92" t="s">
        <v>55</v>
      </c>
      <c r="X92">
        <v>1</v>
      </c>
      <c r="Y92" t="str">
        <f t="shared" si="1"/>
        <v>Medium</v>
      </c>
    </row>
    <row r="93" spans="1:25">
      <c r="A93" t="s">
        <v>206</v>
      </c>
      <c r="B93" s="1">
        <v>44928</v>
      </c>
      <c r="C93" s="2">
        <v>0.15625</v>
      </c>
      <c r="D93" t="s">
        <v>34</v>
      </c>
      <c r="E93" t="s">
        <v>89</v>
      </c>
      <c r="F93" t="s">
        <v>28</v>
      </c>
      <c r="G93" t="s">
        <v>123</v>
      </c>
      <c r="H93" s="2">
        <v>0.15902777777777777</v>
      </c>
      <c r="I93" s="2">
        <v>0.1763888888888889</v>
      </c>
      <c r="J93">
        <v>7</v>
      </c>
      <c r="K93">
        <v>12</v>
      </c>
      <c r="L93" t="s">
        <v>54</v>
      </c>
      <c r="M93">
        <v>17.899999999999999</v>
      </c>
      <c r="N93">
        <v>87</v>
      </c>
      <c r="O93">
        <v>33</v>
      </c>
      <c r="P93">
        <v>19.899999999999999</v>
      </c>
      <c r="Q93" t="s">
        <v>31</v>
      </c>
      <c r="R93">
        <v>0</v>
      </c>
      <c r="S93">
        <v>93</v>
      </c>
      <c r="T93">
        <v>0</v>
      </c>
      <c r="U93">
        <v>0</v>
      </c>
      <c r="V93">
        <v>0</v>
      </c>
      <c r="W93" t="s">
        <v>39</v>
      </c>
      <c r="X93">
        <v>1</v>
      </c>
      <c r="Y93" t="str">
        <f t="shared" si="1"/>
        <v>High</v>
      </c>
    </row>
    <row r="94" spans="1:25">
      <c r="A94" t="s">
        <v>207</v>
      </c>
      <c r="B94" s="1">
        <v>44928</v>
      </c>
      <c r="C94" s="2">
        <v>0.16666666666666666</v>
      </c>
      <c r="D94" t="s">
        <v>74</v>
      </c>
      <c r="E94" t="s">
        <v>27</v>
      </c>
      <c r="F94" t="s">
        <v>197</v>
      </c>
      <c r="G94" t="s">
        <v>49</v>
      </c>
      <c r="H94" s="2">
        <v>0.16666666666666666</v>
      </c>
      <c r="I94" s="2">
        <v>0.18333333333333332</v>
      </c>
      <c r="J94">
        <v>9</v>
      </c>
      <c r="K94">
        <v>12</v>
      </c>
      <c r="L94" t="s">
        <v>54</v>
      </c>
      <c r="M94">
        <v>29.7</v>
      </c>
      <c r="N94">
        <v>88</v>
      </c>
      <c r="O94">
        <v>26</v>
      </c>
      <c r="P94">
        <v>18.3</v>
      </c>
      <c r="Q94" t="s">
        <v>59</v>
      </c>
      <c r="R94">
        <v>2000</v>
      </c>
      <c r="S94">
        <v>3</v>
      </c>
      <c r="T94">
        <v>0</v>
      </c>
      <c r="U94">
        <v>0</v>
      </c>
      <c r="V94">
        <v>0</v>
      </c>
      <c r="W94" t="s">
        <v>32</v>
      </c>
      <c r="X94">
        <v>1</v>
      </c>
      <c r="Y94" t="str">
        <f t="shared" si="1"/>
        <v>Low</v>
      </c>
    </row>
    <row r="95" spans="1:25">
      <c r="A95" t="s">
        <v>208</v>
      </c>
      <c r="B95" s="1">
        <v>44928</v>
      </c>
      <c r="C95" s="2">
        <v>0.17708333333333334</v>
      </c>
      <c r="D95" t="s">
        <v>74</v>
      </c>
      <c r="E95" t="s">
        <v>57</v>
      </c>
      <c r="F95" t="s">
        <v>203</v>
      </c>
      <c r="G95" t="s">
        <v>203</v>
      </c>
      <c r="H95" s="2">
        <v>0.17777777777777778</v>
      </c>
      <c r="I95" s="2">
        <v>0.20347222222222222</v>
      </c>
      <c r="J95">
        <v>11</v>
      </c>
      <c r="K95">
        <v>9</v>
      </c>
      <c r="L95" t="s">
        <v>77</v>
      </c>
      <c r="M95">
        <v>32.200000000000003</v>
      </c>
      <c r="N95">
        <v>77</v>
      </c>
      <c r="O95">
        <v>36</v>
      </c>
      <c r="P95">
        <v>1.7</v>
      </c>
      <c r="Q95" t="s">
        <v>31</v>
      </c>
      <c r="R95">
        <v>10000</v>
      </c>
      <c r="S95">
        <v>33</v>
      </c>
      <c r="T95">
        <v>0</v>
      </c>
      <c r="U95">
        <v>0</v>
      </c>
      <c r="V95">
        <v>0</v>
      </c>
      <c r="W95" t="s">
        <v>55</v>
      </c>
      <c r="X95">
        <v>1</v>
      </c>
      <c r="Y95" t="str">
        <f t="shared" si="1"/>
        <v>Low</v>
      </c>
    </row>
    <row r="96" spans="1:25">
      <c r="A96" t="s">
        <v>209</v>
      </c>
      <c r="B96" s="1">
        <v>44928</v>
      </c>
      <c r="C96" s="2">
        <v>0.1875</v>
      </c>
      <c r="D96" t="s">
        <v>74</v>
      </c>
      <c r="E96" t="s">
        <v>157</v>
      </c>
      <c r="F96" t="s">
        <v>66</v>
      </c>
      <c r="G96" t="s">
        <v>29</v>
      </c>
      <c r="H96" s="2">
        <v>0.19027777777777777</v>
      </c>
      <c r="I96" s="2">
        <v>0.22708333333333333</v>
      </c>
      <c r="J96">
        <v>-2</v>
      </c>
      <c r="K96">
        <v>25</v>
      </c>
      <c r="L96" t="s">
        <v>30</v>
      </c>
      <c r="M96">
        <v>8.4</v>
      </c>
      <c r="N96">
        <v>34</v>
      </c>
      <c r="O96">
        <v>6</v>
      </c>
      <c r="P96">
        <v>6.7</v>
      </c>
      <c r="Q96" t="s">
        <v>31</v>
      </c>
      <c r="R96">
        <v>0</v>
      </c>
      <c r="S96">
        <v>86</v>
      </c>
      <c r="T96">
        <v>0</v>
      </c>
      <c r="U96">
        <v>1</v>
      </c>
      <c r="V96">
        <v>0</v>
      </c>
      <c r="W96" t="s">
        <v>55</v>
      </c>
      <c r="X96">
        <v>1</v>
      </c>
      <c r="Y96" t="str">
        <f t="shared" si="1"/>
        <v>High</v>
      </c>
    </row>
    <row r="97" spans="1:25">
      <c r="A97" t="s">
        <v>210</v>
      </c>
      <c r="B97" s="1">
        <v>44928</v>
      </c>
      <c r="C97" s="2">
        <v>0.19791666666666666</v>
      </c>
      <c r="D97" t="s">
        <v>74</v>
      </c>
      <c r="E97" t="s">
        <v>35</v>
      </c>
      <c r="F97" t="s">
        <v>66</v>
      </c>
      <c r="G97" t="s">
        <v>99</v>
      </c>
      <c r="H97" s="2">
        <v>0.20069444444444445</v>
      </c>
      <c r="I97" s="2">
        <v>0.21875</v>
      </c>
      <c r="J97">
        <v>11</v>
      </c>
      <c r="K97">
        <v>5</v>
      </c>
      <c r="L97" t="s">
        <v>54</v>
      </c>
      <c r="M97">
        <v>-2.2999999999999998</v>
      </c>
      <c r="N97">
        <v>65</v>
      </c>
      <c r="O97">
        <v>21</v>
      </c>
      <c r="P97">
        <v>18.899999999999999</v>
      </c>
      <c r="Q97" t="s">
        <v>101</v>
      </c>
      <c r="R97">
        <v>500</v>
      </c>
      <c r="S97">
        <v>31</v>
      </c>
      <c r="T97">
        <v>0</v>
      </c>
      <c r="U97">
        <v>0</v>
      </c>
      <c r="V97">
        <v>0</v>
      </c>
      <c r="W97" t="s">
        <v>39</v>
      </c>
      <c r="X97">
        <v>0</v>
      </c>
      <c r="Y97" t="str">
        <f t="shared" si="1"/>
        <v>Low</v>
      </c>
    </row>
    <row r="98" spans="1:25">
      <c r="A98" t="s">
        <v>211</v>
      </c>
      <c r="B98" s="1">
        <v>44928</v>
      </c>
      <c r="C98" s="2">
        <v>0.20833333333333334</v>
      </c>
      <c r="D98" t="s">
        <v>74</v>
      </c>
      <c r="E98" t="s">
        <v>61</v>
      </c>
      <c r="F98" t="s">
        <v>65</v>
      </c>
      <c r="G98" t="s">
        <v>100</v>
      </c>
      <c r="H98" s="2">
        <v>0.20972222222222223</v>
      </c>
      <c r="I98" s="2">
        <v>0.23541666666666666</v>
      </c>
      <c r="J98">
        <v>11</v>
      </c>
      <c r="K98">
        <v>22</v>
      </c>
      <c r="L98" t="s">
        <v>77</v>
      </c>
      <c r="M98">
        <v>11.9</v>
      </c>
      <c r="N98">
        <v>54</v>
      </c>
      <c r="O98">
        <v>3</v>
      </c>
      <c r="P98">
        <v>16.100000000000001</v>
      </c>
      <c r="Q98" t="s">
        <v>31</v>
      </c>
      <c r="R98">
        <v>0</v>
      </c>
      <c r="S98">
        <v>2</v>
      </c>
      <c r="T98">
        <v>0</v>
      </c>
      <c r="U98">
        <v>1</v>
      </c>
      <c r="V98">
        <v>0</v>
      </c>
      <c r="W98" t="s">
        <v>72</v>
      </c>
      <c r="X98">
        <v>1</v>
      </c>
      <c r="Y98" t="str">
        <f t="shared" si="1"/>
        <v>Low</v>
      </c>
    </row>
    <row r="99" spans="1:25">
      <c r="A99" t="s">
        <v>212</v>
      </c>
      <c r="B99" s="1">
        <v>44928</v>
      </c>
      <c r="C99" s="2">
        <v>0.21875</v>
      </c>
      <c r="D99" t="s">
        <v>34</v>
      </c>
      <c r="E99" t="s">
        <v>61</v>
      </c>
      <c r="F99" t="s">
        <v>96</v>
      </c>
      <c r="G99" t="s">
        <v>151</v>
      </c>
      <c r="H99" s="2">
        <v>0.22152777777777777</v>
      </c>
      <c r="I99" s="2">
        <v>0.24583333333333332</v>
      </c>
      <c r="J99">
        <v>5</v>
      </c>
      <c r="K99">
        <v>24</v>
      </c>
      <c r="L99" t="s">
        <v>38</v>
      </c>
      <c r="M99">
        <v>10.8</v>
      </c>
      <c r="N99">
        <v>74</v>
      </c>
      <c r="O99">
        <v>13</v>
      </c>
      <c r="P99">
        <v>18.2</v>
      </c>
      <c r="Q99" t="s">
        <v>71</v>
      </c>
      <c r="R99">
        <v>0</v>
      </c>
      <c r="S99">
        <v>91</v>
      </c>
      <c r="T99">
        <v>0</v>
      </c>
      <c r="U99">
        <v>0</v>
      </c>
      <c r="V99">
        <v>0</v>
      </c>
      <c r="W99" t="s">
        <v>55</v>
      </c>
      <c r="X99">
        <v>1</v>
      </c>
      <c r="Y99" t="str">
        <f t="shared" si="1"/>
        <v>High</v>
      </c>
    </row>
    <row r="100" spans="1:25">
      <c r="A100" t="s">
        <v>213</v>
      </c>
      <c r="B100" s="1">
        <v>44928</v>
      </c>
      <c r="C100" s="2">
        <v>0.22916666666666666</v>
      </c>
      <c r="D100" t="s">
        <v>74</v>
      </c>
      <c r="E100" t="s">
        <v>147</v>
      </c>
      <c r="F100" t="s">
        <v>62</v>
      </c>
      <c r="G100" t="s">
        <v>151</v>
      </c>
      <c r="H100" s="2">
        <v>0.2298611111111111</v>
      </c>
      <c r="I100" s="2">
        <v>0.25694444444444442</v>
      </c>
      <c r="J100">
        <v>13</v>
      </c>
      <c r="K100">
        <v>9</v>
      </c>
      <c r="L100" t="s">
        <v>38</v>
      </c>
      <c r="M100">
        <v>34.5</v>
      </c>
      <c r="N100">
        <v>48</v>
      </c>
      <c r="O100">
        <v>33</v>
      </c>
      <c r="P100">
        <v>11.5</v>
      </c>
      <c r="Q100" t="s">
        <v>46</v>
      </c>
      <c r="R100">
        <v>2000</v>
      </c>
      <c r="S100">
        <v>67</v>
      </c>
      <c r="T100">
        <v>0</v>
      </c>
      <c r="U100">
        <v>0</v>
      </c>
      <c r="V100">
        <v>0</v>
      </c>
      <c r="W100" t="s">
        <v>32</v>
      </c>
      <c r="X100">
        <v>1</v>
      </c>
      <c r="Y100" t="str">
        <f t="shared" si="1"/>
        <v>High</v>
      </c>
    </row>
    <row r="101" spans="1:25">
      <c r="A101" t="s">
        <v>214</v>
      </c>
      <c r="B101" s="1">
        <v>44928</v>
      </c>
      <c r="C101" s="2">
        <v>0.23958333333333334</v>
      </c>
      <c r="D101" t="s">
        <v>41</v>
      </c>
      <c r="E101" t="s">
        <v>68</v>
      </c>
      <c r="F101" t="s">
        <v>144</v>
      </c>
      <c r="G101" t="s">
        <v>87</v>
      </c>
      <c r="H101" s="2">
        <v>0.24166666666666667</v>
      </c>
      <c r="I101" s="2">
        <v>0.26527777777777778</v>
      </c>
      <c r="J101">
        <v>11</v>
      </c>
      <c r="K101">
        <v>5</v>
      </c>
      <c r="L101" t="s">
        <v>77</v>
      </c>
      <c r="M101">
        <v>12.2</v>
      </c>
      <c r="N101">
        <v>36</v>
      </c>
      <c r="O101">
        <v>22</v>
      </c>
      <c r="P101">
        <v>9.6</v>
      </c>
      <c r="Q101" t="s">
        <v>46</v>
      </c>
      <c r="R101">
        <v>0</v>
      </c>
      <c r="S101">
        <v>56</v>
      </c>
      <c r="T101">
        <v>0</v>
      </c>
      <c r="U101">
        <v>0</v>
      </c>
      <c r="V101">
        <v>0</v>
      </c>
      <c r="W101" t="s">
        <v>39</v>
      </c>
      <c r="X101">
        <v>0</v>
      </c>
      <c r="Y101" t="str">
        <f t="shared" si="1"/>
        <v>Medium</v>
      </c>
    </row>
    <row r="102" spans="1:25">
      <c r="A102" t="s">
        <v>215</v>
      </c>
      <c r="B102" s="1">
        <v>44928</v>
      </c>
      <c r="C102" s="2">
        <v>0.25</v>
      </c>
      <c r="D102" t="s">
        <v>26</v>
      </c>
      <c r="E102" t="s">
        <v>104</v>
      </c>
      <c r="F102" t="s">
        <v>122</v>
      </c>
      <c r="G102" t="s">
        <v>44</v>
      </c>
      <c r="H102" s="2">
        <v>0.25208333333333333</v>
      </c>
      <c r="I102" s="2">
        <v>0.27013888888888887</v>
      </c>
      <c r="J102">
        <v>-2</v>
      </c>
      <c r="K102">
        <v>10</v>
      </c>
      <c r="L102" t="s">
        <v>30</v>
      </c>
      <c r="M102">
        <v>7.2</v>
      </c>
      <c r="N102">
        <v>87</v>
      </c>
      <c r="O102">
        <v>43</v>
      </c>
      <c r="P102">
        <v>2.1</v>
      </c>
      <c r="Q102" t="s">
        <v>63</v>
      </c>
      <c r="R102">
        <v>0</v>
      </c>
      <c r="S102">
        <v>75</v>
      </c>
      <c r="T102">
        <v>0</v>
      </c>
      <c r="U102">
        <v>0</v>
      </c>
      <c r="V102">
        <v>0</v>
      </c>
      <c r="W102" t="s">
        <v>55</v>
      </c>
      <c r="X102">
        <v>1</v>
      </c>
      <c r="Y102" t="str">
        <f t="shared" si="1"/>
        <v>High</v>
      </c>
    </row>
    <row r="103" spans="1:25">
      <c r="A103" t="s">
        <v>216</v>
      </c>
      <c r="B103" s="1">
        <v>44928</v>
      </c>
      <c r="C103" s="2">
        <v>0.26041666666666669</v>
      </c>
      <c r="D103" t="s">
        <v>74</v>
      </c>
      <c r="E103" t="s">
        <v>111</v>
      </c>
      <c r="F103" t="s">
        <v>168</v>
      </c>
      <c r="G103" t="s">
        <v>135</v>
      </c>
      <c r="H103" s="2">
        <v>0.26250000000000001</v>
      </c>
      <c r="I103" s="2">
        <v>0.29722222222222222</v>
      </c>
      <c r="J103">
        <v>13</v>
      </c>
      <c r="K103">
        <v>8</v>
      </c>
      <c r="L103" t="s">
        <v>38</v>
      </c>
      <c r="M103">
        <v>9.6</v>
      </c>
      <c r="N103">
        <v>95</v>
      </c>
      <c r="O103">
        <v>41</v>
      </c>
      <c r="P103">
        <v>16.8</v>
      </c>
      <c r="Q103" t="s">
        <v>59</v>
      </c>
      <c r="R103">
        <v>0</v>
      </c>
      <c r="S103">
        <v>23</v>
      </c>
      <c r="T103">
        <v>0</v>
      </c>
      <c r="U103">
        <v>0</v>
      </c>
      <c r="V103">
        <v>0</v>
      </c>
      <c r="W103" t="s">
        <v>39</v>
      </c>
      <c r="X103">
        <v>1</v>
      </c>
      <c r="Y103" t="str">
        <f t="shared" si="1"/>
        <v>Low</v>
      </c>
    </row>
    <row r="104" spans="1:25">
      <c r="A104" t="s">
        <v>217</v>
      </c>
      <c r="B104" s="1">
        <v>44928</v>
      </c>
      <c r="C104" s="2">
        <v>0.27083333333333331</v>
      </c>
      <c r="D104" t="s">
        <v>74</v>
      </c>
      <c r="E104" t="s">
        <v>147</v>
      </c>
      <c r="F104" t="s">
        <v>75</v>
      </c>
      <c r="G104" t="s">
        <v>128</v>
      </c>
      <c r="H104" s="2">
        <v>0.27291666666666664</v>
      </c>
      <c r="I104" s="2">
        <v>0.30208333333333331</v>
      </c>
      <c r="J104">
        <v>15</v>
      </c>
      <c r="K104">
        <v>28</v>
      </c>
      <c r="L104" t="s">
        <v>30</v>
      </c>
      <c r="M104">
        <v>10.9</v>
      </c>
      <c r="N104">
        <v>68</v>
      </c>
      <c r="O104">
        <v>24</v>
      </c>
      <c r="P104">
        <v>14.9</v>
      </c>
      <c r="Q104" t="s">
        <v>71</v>
      </c>
      <c r="R104">
        <v>2000</v>
      </c>
      <c r="S104">
        <v>32</v>
      </c>
      <c r="T104">
        <v>0</v>
      </c>
      <c r="U104">
        <v>0</v>
      </c>
      <c r="V104">
        <v>0</v>
      </c>
      <c r="W104" t="s">
        <v>55</v>
      </c>
      <c r="X104">
        <v>1</v>
      </c>
      <c r="Y104" t="str">
        <f t="shared" si="1"/>
        <v>Low</v>
      </c>
    </row>
    <row r="105" spans="1:25">
      <c r="A105" t="s">
        <v>218</v>
      </c>
      <c r="B105" s="1">
        <v>44928</v>
      </c>
      <c r="C105" s="2">
        <v>0.28125</v>
      </c>
      <c r="D105" t="s">
        <v>34</v>
      </c>
      <c r="E105" t="s">
        <v>93</v>
      </c>
      <c r="F105" t="s">
        <v>168</v>
      </c>
      <c r="G105" t="s">
        <v>107</v>
      </c>
      <c r="H105" s="2">
        <v>0.28263888888888888</v>
      </c>
      <c r="I105" s="2">
        <v>0.31527777777777777</v>
      </c>
      <c r="J105">
        <v>4</v>
      </c>
      <c r="K105">
        <v>-1</v>
      </c>
      <c r="L105" t="s">
        <v>54</v>
      </c>
      <c r="M105">
        <v>27.9</v>
      </c>
      <c r="N105">
        <v>47</v>
      </c>
      <c r="O105">
        <v>0</v>
      </c>
      <c r="P105">
        <v>1.2</v>
      </c>
      <c r="Q105" t="s">
        <v>101</v>
      </c>
      <c r="R105">
        <v>0</v>
      </c>
      <c r="S105">
        <v>2</v>
      </c>
      <c r="T105">
        <v>0</v>
      </c>
      <c r="U105">
        <v>1</v>
      </c>
      <c r="V105">
        <v>0</v>
      </c>
      <c r="W105" t="s">
        <v>55</v>
      </c>
      <c r="X105">
        <v>0</v>
      </c>
      <c r="Y105" t="str">
        <f t="shared" si="1"/>
        <v>Low</v>
      </c>
    </row>
    <row r="106" spans="1:25">
      <c r="A106" t="s">
        <v>219</v>
      </c>
      <c r="B106" s="1">
        <v>44928</v>
      </c>
      <c r="C106" s="2">
        <v>0.29166666666666669</v>
      </c>
      <c r="D106" t="s">
        <v>74</v>
      </c>
      <c r="E106" t="s">
        <v>141</v>
      </c>
      <c r="F106" t="s">
        <v>168</v>
      </c>
      <c r="G106" t="s">
        <v>185</v>
      </c>
      <c r="H106" s="2">
        <v>0.29444444444444445</v>
      </c>
      <c r="I106" s="2">
        <v>0.31111111111111112</v>
      </c>
      <c r="J106">
        <v>12</v>
      </c>
      <c r="K106">
        <v>12</v>
      </c>
      <c r="L106" t="s">
        <v>38</v>
      </c>
      <c r="M106">
        <v>-1.8</v>
      </c>
      <c r="N106">
        <v>30</v>
      </c>
      <c r="O106">
        <v>50</v>
      </c>
      <c r="P106">
        <v>4.2</v>
      </c>
      <c r="Q106" t="s">
        <v>101</v>
      </c>
      <c r="R106">
        <v>0</v>
      </c>
      <c r="S106">
        <v>3</v>
      </c>
      <c r="T106">
        <v>0</v>
      </c>
      <c r="U106">
        <v>1</v>
      </c>
      <c r="V106">
        <v>0</v>
      </c>
      <c r="W106" t="s">
        <v>39</v>
      </c>
      <c r="X106">
        <v>1</v>
      </c>
      <c r="Y106" t="str">
        <f t="shared" si="1"/>
        <v>Low</v>
      </c>
    </row>
    <row r="107" spans="1:25">
      <c r="A107" t="s">
        <v>220</v>
      </c>
      <c r="B107" s="1">
        <v>44928</v>
      </c>
      <c r="C107" s="2">
        <v>0.30208333333333331</v>
      </c>
      <c r="D107" t="s">
        <v>74</v>
      </c>
      <c r="E107" t="s">
        <v>104</v>
      </c>
      <c r="F107" t="s">
        <v>118</v>
      </c>
      <c r="G107" t="s">
        <v>197</v>
      </c>
      <c r="H107" s="2">
        <v>0.30416666666666664</v>
      </c>
      <c r="I107" s="2">
        <v>0.33680555555555558</v>
      </c>
      <c r="J107">
        <v>14</v>
      </c>
      <c r="K107">
        <v>16</v>
      </c>
      <c r="L107" t="s">
        <v>54</v>
      </c>
      <c r="M107">
        <v>7.7</v>
      </c>
      <c r="N107">
        <v>92</v>
      </c>
      <c r="O107">
        <v>54</v>
      </c>
      <c r="P107">
        <v>11.1</v>
      </c>
      <c r="Q107" t="s">
        <v>63</v>
      </c>
      <c r="R107">
        <v>500</v>
      </c>
      <c r="S107">
        <v>29</v>
      </c>
      <c r="T107">
        <v>0</v>
      </c>
      <c r="U107">
        <v>0</v>
      </c>
      <c r="V107">
        <v>0</v>
      </c>
      <c r="W107" t="s">
        <v>32</v>
      </c>
      <c r="X107">
        <v>1</v>
      </c>
      <c r="Y107" t="str">
        <f t="shared" si="1"/>
        <v>Low</v>
      </c>
    </row>
    <row r="108" spans="1:25">
      <c r="A108" t="s">
        <v>221</v>
      </c>
      <c r="B108" s="1">
        <v>44928</v>
      </c>
      <c r="C108" s="2">
        <v>0.3125</v>
      </c>
      <c r="D108" t="s">
        <v>74</v>
      </c>
      <c r="E108" t="s">
        <v>126</v>
      </c>
      <c r="F108" t="s">
        <v>66</v>
      </c>
      <c r="G108" t="s">
        <v>49</v>
      </c>
      <c r="H108" s="2">
        <v>0.3125</v>
      </c>
      <c r="I108" s="2">
        <v>0.32847222222222222</v>
      </c>
      <c r="J108">
        <v>16</v>
      </c>
      <c r="K108">
        <v>28</v>
      </c>
      <c r="L108" t="s">
        <v>30</v>
      </c>
      <c r="M108">
        <v>33.700000000000003</v>
      </c>
      <c r="N108">
        <v>32</v>
      </c>
      <c r="O108">
        <v>47</v>
      </c>
      <c r="P108">
        <v>13.7</v>
      </c>
      <c r="Q108" t="s">
        <v>46</v>
      </c>
      <c r="R108">
        <v>0</v>
      </c>
      <c r="S108">
        <v>69</v>
      </c>
      <c r="T108">
        <v>0</v>
      </c>
      <c r="U108">
        <v>1</v>
      </c>
      <c r="V108">
        <v>0</v>
      </c>
      <c r="W108" t="s">
        <v>32</v>
      </c>
      <c r="X108">
        <v>1</v>
      </c>
      <c r="Y108" t="str">
        <f t="shared" si="1"/>
        <v>High</v>
      </c>
    </row>
    <row r="109" spans="1:25">
      <c r="A109" t="s">
        <v>222</v>
      </c>
      <c r="B109" s="1">
        <v>44928</v>
      </c>
      <c r="C109" s="2">
        <v>0.32291666666666669</v>
      </c>
      <c r="D109" t="s">
        <v>34</v>
      </c>
      <c r="E109" t="s">
        <v>157</v>
      </c>
      <c r="F109" t="s">
        <v>80</v>
      </c>
      <c r="G109" t="s">
        <v>116</v>
      </c>
      <c r="H109" s="2">
        <v>0.32500000000000001</v>
      </c>
      <c r="I109" s="2">
        <v>0.34027777777777779</v>
      </c>
      <c r="J109">
        <v>10</v>
      </c>
      <c r="K109">
        <v>19</v>
      </c>
      <c r="L109" t="s">
        <v>30</v>
      </c>
      <c r="M109">
        <v>1.1000000000000001</v>
      </c>
      <c r="N109">
        <v>50</v>
      </c>
      <c r="O109">
        <v>14</v>
      </c>
      <c r="P109">
        <v>2.8</v>
      </c>
      <c r="Q109" t="s">
        <v>31</v>
      </c>
      <c r="R109">
        <v>10000</v>
      </c>
      <c r="S109">
        <v>48</v>
      </c>
      <c r="T109">
        <v>0</v>
      </c>
      <c r="U109">
        <v>0</v>
      </c>
      <c r="V109">
        <v>0</v>
      </c>
      <c r="W109" t="s">
        <v>72</v>
      </c>
      <c r="X109">
        <v>1</v>
      </c>
      <c r="Y109" t="str">
        <f t="shared" si="1"/>
        <v>Medium</v>
      </c>
    </row>
    <row r="110" spans="1:25">
      <c r="A110" t="s">
        <v>223</v>
      </c>
      <c r="B110" s="1">
        <v>44928</v>
      </c>
      <c r="C110" s="2">
        <v>0.33333333333333331</v>
      </c>
      <c r="D110" t="s">
        <v>74</v>
      </c>
      <c r="E110" t="s">
        <v>52</v>
      </c>
      <c r="F110" t="s">
        <v>86</v>
      </c>
      <c r="G110" t="s">
        <v>116</v>
      </c>
      <c r="H110" s="2">
        <v>0.33611111111111114</v>
      </c>
      <c r="I110" s="2">
        <v>0.35625000000000001</v>
      </c>
      <c r="J110">
        <v>6</v>
      </c>
      <c r="K110">
        <v>13</v>
      </c>
      <c r="L110" t="s">
        <v>84</v>
      </c>
      <c r="M110">
        <v>24.7</v>
      </c>
      <c r="N110">
        <v>59</v>
      </c>
      <c r="O110">
        <v>31</v>
      </c>
      <c r="P110">
        <v>4.9000000000000004</v>
      </c>
      <c r="Q110" t="s">
        <v>46</v>
      </c>
      <c r="R110">
        <v>0</v>
      </c>
      <c r="S110">
        <v>29</v>
      </c>
      <c r="T110">
        <v>0</v>
      </c>
      <c r="U110">
        <v>0</v>
      </c>
      <c r="V110">
        <v>0</v>
      </c>
      <c r="W110" t="s">
        <v>55</v>
      </c>
      <c r="X110">
        <v>1</v>
      </c>
      <c r="Y110" t="str">
        <f t="shared" si="1"/>
        <v>Low</v>
      </c>
    </row>
    <row r="111" spans="1:25">
      <c r="A111" t="s">
        <v>224</v>
      </c>
      <c r="B111" s="1">
        <v>44928</v>
      </c>
      <c r="C111" s="2">
        <v>0.34375</v>
      </c>
      <c r="D111" t="s">
        <v>26</v>
      </c>
      <c r="E111" t="s">
        <v>126</v>
      </c>
      <c r="F111" t="s">
        <v>194</v>
      </c>
      <c r="G111" t="s">
        <v>53</v>
      </c>
      <c r="H111" s="2">
        <v>0.34583333333333333</v>
      </c>
      <c r="I111" s="2">
        <v>0.35972222222222222</v>
      </c>
      <c r="J111">
        <v>12</v>
      </c>
      <c r="K111">
        <v>12</v>
      </c>
      <c r="L111" t="s">
        <v>77</v>
      </c>
      <c r="M111">
        <v>9.3000000000000007</v>
      </c>
      <c r="N111">
        <v>40</v>
      </c>
      <c r="O111">
        <v>13</v>
      </c>
      <c r="P111">
        <v>3.9</v>
      </c>
      <c r="Q111" t="s">
        <v>31</v>
      </c>
      <c r="R111">
        <v>0</v>
      </c>
      <c r="S111">
        <v>71</v>
      </c>
      <c r="T111">
        <v>0</v>
      </c>
      <c r="U111">
        <v>0</v>
      </c>
      <c r="V111">
        <v>0</v>
      </c>
      <c r="W111" t="s">
        <v>72</v>
      </c>
      <c r="X111">
        <v>1</v>
      </c>
      <c r="Y111" t="str">
        <f t="shared" si="1"/>
        <v>High</v>
      </c>
    </row>
    <row r="112" spans="1:25">
      <c r="A112" t="s">
        <v>225</v>
      </c>
      <c r="B112" s="1">
        <v>44928</v>
      </c>
      <c r="C112" s="2">
        <v>0.35416666666666669</v>
      </c>
      <c r="D112" t="s">
        <v>34</v>
      </c>
      <c r="E112" t="s">
        <v>48</v>
      </c>
      <c r="F112" t="s">
        <v>122</v>
      </c>
      <c r="G112" t="s">
        <v>86</v>
      </c>
      <c r="H112" s="2">
        <v>0.35555555555555557</v>
      </c>
      <c r="I112" s="2">
        <v>0.38541666666666669</v>
      </c>
      <c r="J112">
        <v>0</v>
      </c>
      <c r="K112">
        <v>4</v>
      </c>
      <c r="L112" t="s">
        <v>45</v>
      </c>
      <c r="M112">
        <v>18.3</v>
      </c>
      <c r="N112">
        <v>51</v>
      </c>
      <c r="O112">
        <v>40</v>
      </c>
      <c r="P112">
        <v>4.4000000000000004</v>
      </c>
      <c r="Q112" t="s">
        <v>31</v>
      </c>
      <c r="R112">
        <v>0</v>
      </c>
      <c r="S112">
        <v>81</v>
      </c>
      <c r="T112">
        <v>0</v>
      </c>
      <c r="U112">
        <v>0</v>
      </c>
      <c r="V112">
        <v>0</v>
      </c>
      <c r="W112" t="s">
        <v>39</v>
      </c>
      <c r="X112">
        <v>0</v>
      </c>
      <c r="Y112" t="str">
        <f t="shared" si="1"/>
        <v>High</v>
      </c>
    </row>
    <row r="113" spans="1:25">
      <c r="A113" t="s">
        <v>226</v>
      </c>
      <c r="B113" s="1">
        <v>44928</v>
      </c>
      <c r="C113" s="2">
        <v>0.36458333333333331</v>
      </c>
      <c r="D113" t="s">
        <v>26</v>
      </c>
      <c r="E113" t="s">
        <v>93</v>
      </c>
      <c r="F113" t="s">
        <v>50</v>
      </c>
      <c r="G113" t="s">
        <v>194</v>
      </c>
      <c r="H113" s="2">
        <v>0.36527777777777776</v>
      </c>
      <c r="I113" s="2">
        <v>0.40486111111111112</v>
      </c>
      <c r="J113">
        <v>-2</v>
      </c>
      <c r="K113">
        <v>15</v>
      </c>
      <c r="L113" t="s">
        <v>77</v>
      </c>
      <c r="M113">
        <v>-1</v>
      </c>
      <c r="N113">
        <v>86</v>
      </c>
      <c r="O113">
        <v>20</v>
      </c>
      <c r="P113">
        <v>18.399999999999999</v>
      </c>
      <c r="Q113" t="s">
        <v>31</v>
      </c>
      <c r="R113">
        <v>0</v>
      </c>
      <c r="S113">
        <v>15</v>
      </c>
      <c r="T113">
        <v>0</v>
      </c>
      <c r="U113">
        <v>0</v>
      </c>
      <c r="V113">
        <v>0</v>
      </c>
      <c r="W113" t="s">
        <v>72</v>
      </c>
      <c r="X113">
        <v>1</v>
      </c>
      <c r="Y113" t="str">
        <f t="shared" si="1"/>
        <v>Low</v>
      </c>
    </row>
    <row r="114" spans="1:25">
      <c r="A114" t="s">
        <v>227</v>
      </c>
      <c r="B114" s="1">
        <v>44928</v>
      </c>
      <c r="C114" s="2">
        <v>0.375</v>
      </c>
      <c r="D114" t="s">
        <v>34</v>
      </c>
      <c r="E114" t="s">
        <v>111</v>
      </c>
      <c r="F114" t="s">
        <v>91</v>
      </c>
      <c r="G114" t="s">
        <v>151</v>
      </c>
      <c r="H114" s="2">
        <v>0.37569444444444444</v>
      </c>
      <c r="I114" s="2">
        <v>0.4</v>
      </c>
      <c r="J114">
        <v>13</v>
      </c>
      <c r="K114">
        <v>26</v>
      </c>
      <c r="L114" t="s">
        <v>30</v>
      </c>
      <c r="M114">
        <v>7.3</v>
      </c>
      <c r="N114">
        <v>32</v>
      </c>
      <c r="O114">
        <v>54</v>
      </c>
      <c r="P114">
        <v>14.3</v>
      </c>
      <c r="Q114" t="s">
        <v>101</v>
      </c>
      <c r="R114">
        <v>50000</v>
      </c>
      <c r="S114">
        <v>52</v>
      </c>
      <c r="T114">
        <v>0</v>
      </c>
      <c r="U114">
        <v>0</v>
      </c>
      <c r="V114">
        <v>0</v>
      </c>
      <c r="W114" t="s">
        <v>39</v>
      </c>
      <c r="X114">
        <v>1</v>
      </c>
      <c r="Y114" t="str">
        <f t="shared" si="1"/>
        <v>Medium</v>
      </c>
    </row>
    <row r="115" spans="1:25">
      <c r="A115" t="s">
        <v>228</v>
      </c>
      <c r="B115" s="1">
        <v>44928</v>
      </c>
      <c r="C115" s="2">
        <v>0.38541666666666669</v>
      </c>
      <c r="D115" t="s">
        <v>74</v>
      </c>
      <c r="E115" t="s">
        <v>98</v>
      </c>
      <c r="F115" t="s">
        <v>105</v>
      </c>
      <c r="G115" t="s">
        <v>176</v>
      </c>
      <c r="H115" s="2">
        <v>0.38819444444444445</v>
      </c>
      <c r="I115" s="2">
        <v>0.41180555555555554</v>
      </c>
      <c r="J115">
        <v>5</v>
      </c>
      <c r="K115">
        <v>10</v>
      </c>
      <c r="L115" t="s">
        <v>30</v>
      </c>
      <c r="M115">
        <v>15</v>
      </c>
      <c r="N115">
        <v>59</v>
      </c>
      <c r="O115">
        <v>46</v>
      </c>
      <c r="P115">
        <v>14.7</v>
      </c>
      <c r="Q115" t="s">
        <v>31</v>
      </c>
      <c r="R115">
        <v>0</v>
      </c>
      <c r="S115">
        <v>5</v>
      </c>
      <c r="T115">
        <v>0</v>
      </c>
      <c r="U115">
        <v>0</v>
      </c>
      <c r="V115">
        <v>0</v>
      </c>
      <c r="W115" t="s">
        <v>32</v>
      </c>
      <c r="X115">
        <v>1</v>
      </c>
      <c r="Y115" t="str">
        <f t="shared" si="1"/>
        <v>Low</v>
      </c>
    </row>
    <row r="116" spans="1:25">
      <c r="A116" t="s">
        <v>229</v>
      </c>
      <c r="B116" s="1">
        <v>44928</v>
      </c>
      <c r="C116" s="2">
        <v>0.39583333333333331</v>
      </c>
      <c r="D116" t="s">
        <v>26</v>
      </c>
      <c r="E116" t="s">
        <v>147</v>
      </c>
      <c r="F116" t="s">
        <v>29</v>
      </c>
      <c r="G116" t="s">
        <v>58</v>
      </c>
      <c r="H116" s="2">
        <v>0.39652777777777776</v>
      </c>
      <c r="I116" s="2">
        <v>0.41319444444444442</v>
      </c>
      <c r="J116">
        <v>10</v>
      </c>
      <c r="K116">
        <v>18</v>
      </c>
      <c r="L116" t="s">
        <v>77</v>
      </c>
      <c r="M116">
        <v>4.3</v>
      </c>
      <c r="N116">
        <v>74</v>
      </c>
      <c r="O116">
        <v>57</v>
      </c>
      <c r="P116">
        <v>15.9</v>
      </c>
      <c r="Q116" t="s">
        <v>46</v>
      </c>
      <c r="R116">
        <v>2000</v>
      </c>
      <c r="S116">
        <v>23</v>
      </c>
      <c r="T116">
        <v>0</v>
      </c>
      <c r="U116">
        <v>0</v>
      </c>
      <c r="V116">
        <v>0</v>
      </c>
      <c r="W116" t="s">
        <v>39</v>
      </c>
      <c r="X116">
        <v>1</v>
      </c>
      <c r="Y116" t="str">
        <f t="shared" si="1"/>
        <v>Low</v>
      </c>
    </row>
    <row r="117" spans="1:25">
      <c r="A117" t="s">
        <v>230</v>
      </c>
      <c r="B117" s="1">
        <v>44928</v>
      </c>
      <c r="C117" s="2">
        <v>0.40625</v>
      </c>
      <c r="D117" t="s">
        <v>34</v>
      </c>
      <c r="E117" t="s">
        <v>141</v>
      </c>
      <c r="F117" t="s">
        <v>99</v>
      </c>
      <c r="G117" t="s">
        <v>135</v>
      </c>
      <c r="H117" s="2">
        <v>0.40694444444444444</v>
      </c>
      <c r="I117" s="2">
        <v>0.43958333333333333</v>
      </c>
      <c r="J117">
        <v>5</v>
      </c>
      <c r="K117">
        <v>13</v>
      </c>
      <c r="L117" t="s">
        <v>30</v>
      </c>
      <c r="M117">
        <v>16.7</v>
      </c>
      <c r="N117">
        <v>65</v>
      </c>
      <c r="O117">
        <v>6</v>
      </c>
      <c r="P117">
        <v>7.1</v>
      </c>
      <c r="Q117" t="s">
        <v>31</v>
      </c>
      <c r="R117">
        <v>0</v>
      </c>
      <c r="S117">
        <v>91</v>
      </c>
      <c r="T117">
        <v>0</v>
      </c>
      <c r="U117">
        <v>1</v>
      </c>
      <c r="V117">
        <v>0</v>
      </c>
      <c r="W117" t="s">
        <v>39</v>
      </c>
      <c r="X117">
        <v>1</v>
      </c>
      <c r="Y117" t="str">
        <f t="shared" si="1"/>
        <v>High</v>
      </c>
    </row>
    <row r="118" spans="1:25">
      <c r="A118" t="s">
        <v>231</v>
      </c>
      <c r="B118" s="1">
        <v>44928</v>
      </c>
      <c r="C118" s="2">
        <v>0.41666666666666669</v>
      </c>
      <c r="D118" t="s">
        <v>41</v>
      </c>
      <c r="E118" t="s">
        <v>89</v>
      </c>
      <c r="F118" t="s">
        <v>99</v>
      </c>
      <c r="G118" t="s">
        <v>128</v>
      </c>
      <c r="H118" s="2">
        <v>0.41666666666666669</v>
      </c>
      <c r="I118" s="2">
        <v>0.4375</v>
      </c>
      <c r="J118">
        <v>14</v>
      </c>
      <c r="K118">
        <v>11</v>
      </c>
      <c r="L118" t="s">
        <v>54</v>
      </c>
      <c r="M118">
        <v>3.8</v>
      </c>
      <c r="N118">
        <v>93</v>
      </c>
      <c r="O118">
        <v>35</v>
      </c>
      <c r="P118">
        <v>15.3</v>
      </c>
      <c r="Q118" t="s">
        <v>31</v>
      </c>
      <c r="R118">
        <v>500</v>
      </c>
      <c r="S118">
        <v>95</v>
      </c>
      <c r="T118">
        <v>0</v>
      </c>
      <c r="U118">
        <v>1</v>
      </c>
      <c r="V118">
        <v>0</v>
      </c>
      <c r="W118" t="s">
        <v>72</v>
      </c>
      <c r="X118">
        <v>1</v>
      </c>
      <c r="Y118" t="str">
        <f t="shared" si="1"/>
        <v>High</v>
      </c>
    </row>
    <row r="119" spans="1:25">
      <c r="A119" t="s">
        <v>232</v>
      </c>
      <c r="B119" s="1">
        <v>44928</v>
      </c>
      <c r="C119" s="2">
        <v>0.42708333333333331</v>
      </c>
      <c r="D119" t="s">
        <v>74</v>
      </c>
      <c r="E119" t="s">
        <v>57</v>
      </c>
      <c r="F119" t="s">
        <v>154</v>
      </c>
      <c r="G119" t="s">
        <v>100</v>
      </c>
      <c r="H119" s="2">
        <v>0.42986111111111114</v>
      </c>
      <c r="I119" s="2">
        <v>0.4513888888888889</v>
      </c>
      <c r="J119">
        <v>19</v>
      </c>
      <c r="K119">
        <v>28</v>
      </c>
      <c r="L119" t="s">
        <v>38</v>
      </c>
      <c r="M119">
        <v>21</v>
      </c>
      <c r="N119">
        <v>83</v>
      </c>
      <c r="O119">
        <v>20</v>
      </c>
      <c r="P119">
        <v>19.600000000000001</v>
      </c>
      <c r="Q119" t="s">
        <v>31</v>
      </c>
      <c r="R119">
        <v>50000</v>
      </c>
      <c r="S119">
        <v>88</v>
      </c>
      <c r="T119">
        <v>1</v>
      </c>
      <c r="U119">
        <v>0</v>
      </c>
      <c r="V119">
        <v>0</v>
      </c>
      <c r="W119" t="s">
        <v>55</v>
      </c>
      <c r="X119">
        <v>1</v>
      </c>
      <c r="Y119" t="str">
        <f t="shared" si="1"/>
        <v>High</v>
      </c>
    </row>
    <row r="120" spans="1:25">
      <c r="A120" t="s">
        <v>233</v>
      </c>
      <c r="B120" s="1">
        <v>44928</v>
      </c>
      <c r="C120" s="2">
        <v>0.4375</v>
      </c>
      <c r="D120" t="s">
        <v>34</v>
      </c>
      <c r="E120" t="s">
        <v>130</v>
      </c>
      <c r="F120" t="s">
        <v>105</v>
      </c>
      <c r="G120" t="s">
        <v>69</v>
      </c>
      <c r="H120" s="2">
        <v>0.44027777777777777</v>
      </c>
      <c r="I120" s="2">
        <v>0.47152777777777777</v>
      </c>
      <c r="J120">
        <v>11</v>
      </c>
      <c r="K120">
        <v>9</v>
      </c>
      <c r="L120" t="s">
        <v>30</v>
      </c>
      <c r="M120">
        <v>31.2</v>
      </c>
      <c r="N120">
        <v>97</v>
      </c>
      <c r="O120">
        <v>49</v>
      </c>
      <c r="P120">
        <v>14</v>
      </c>
      <c r="Q120" t="s">
        <v>71</v>
      </c>
      <c r="R120">
        <v>0</v>
      </c>
      <c r="S120">
        <v>27</v>
      </c>
      <c r="T120">
        <v>0</v>
      </c>
      <c r="U120">
        <v>1</v>
      </c>
      <c r="V120">
        <v>0</v>
      </c>
      <c r="W120" t="s">
        <v>72</v>
      </c>
      <c r="X120">
        <v>1</v>
      </c>
      <c r="Y120" t="str">
        <f t="shared" si="1"/>
        <v>Low</v>
      </c>
    </row>
    <row r="121" spans="1:25">
      <c r="A121" t="s">
        <v>234</v>
      </c>
      <c r="B121" s="1">
        <v>44928</v>
      </c>
      <c r="C121" s="2">
        <v>0.44791666666666669</v>
      </c>
      <c r="D121" t="s">
        <v>41</v>
      </c>
      <c r="E121" t="s">
        <v>68</v>
      </c>
      <c r="F121" t="s">
        <v>58</v>
      </c>
      <c r="G121" t="s">
        <v>69</v>
      </c>
      <c r="H121" s="2">
        <v>0.44861111111111113</v>
      </c>
      <c r="I121" s="2">
        <v>0.47847222222222224</v>
      </c>
      <c r="J121">
        <v>18</v>
      </c>
      <c r="K121">
        <v>17</v>
      </c>
      <c r="L121" t="s">
        <v>77</v>
      </c>
      <c r="M121">
        <v>-1.6</v>
      </c>
      <c r="N121">
        <v>79</v>
      </c>
      <c r="O121">
        <v>39</v>
      </c>
      <c r="P121">
        <v>8.3000000000000007</v>
      </c>
      <c r="Q121" t="s">
        <v>101</v>
      </c>
      <c r="R121">
        <v>0</v>
      </c>
      <c r="S121">
        <v>20</v>
      </c>
      <c r="T121">
        <v>0</v>
      </c>
      <c r="U121">
        <v>0</v>
      </c>
      <c r="V121">
        <v>0</v>
      </c>
      <c r="W121" t="s">
        <v>32</v>
      </c>
      <c r="X121">
        <v>1</v>
      </c>
      <c r="Y121" t="str">
        <f t="shared" si="1"/>
        <v>Low</v>
      </c>
    </row>
    <row r="122" spans="1:25">
      <c r="A122" t="s">
        <v>235</v>
      </c>
      <c r="B122" s="1">
        <v>44928</v>
      </c>
      <c r="C122" s="2">
        <v>0.45833333333333331</v>
      </c>
      <c r="D122" t="s">
        <v>34</v>
      </c>
      <c r="E122" t="s">
        <v>61</v>
      </c>
      <c r="F122" t="s">
        <v>109</v>
      </c>
      <c r="G122" t="s">
        <v>122</v>
      </c>
      <c r="H122" s="2">
        <v>0.45902777777777776</v>
      </c>
      <c r="I122" s="2">
        <v>0.49930555555555556</v>
      </c>
      <c r="J122">
        <v>18</v>
      </c>
      <c r="K122">
        <v>29</v>
      </c>
      <c r="L122" t="s">
        <v>77</v>
      </c>
      <c r="M122">
        <v>3.7</v>
      </c>
      <c r="N122">
        <v>60</v>
      </c>
      <c r="O122">
        <v>11</v>
      </c>
      <c r="P122">
        <v>14.3</v>
      </c>
      <c r="Q122" t="s">
        <v>31</v>
      </c>
      <c r="R122">
        <v>50000</v>
      </c>
      <c r="S122">
        <v>7</v>
      </c>
      <c r="T122">
        <v>0</v>
      </c>
      <c r="U122">
        <v>1</v>
      </c>
      <c r="V122">
        <v>0</v>
      </c>
      <c r="W122" t="s">
        <v>32</v>
      </c>
      <c r="X122">
        <v>1</v>
      </c>
      <c r="Y122" t="str">
        <f t="shared" si="1"/>
        <v>Low</v>
      </c>
    </row>
    <row r="123" spans="1:25">
      <c r="A123" t="s">
        <v>236</v>
      </c>
      <c r="B123" s="1">
        <v>44928</v>
      </c>
      <c r="C123" s="2">
        <v>0.46875</v>
      </c>
      <c r="D123" t="s">
        <v>41</v>
      </c>
      <c r="E123" t="s">
        <v>61</v>
      </c>
      <c r="F123" t="s">
        <v>122</v>
      </c>
      <c r="G123" t="s">
        <v>154</v>
      </c>
      <c r="H123" s="2">
        <v>0.46944444444444444</v>
      </c>
      <c r="I123" s="2">
        <v>0.48958333333333331</v>
      </c>
      <c r="J123">
        <v>4</v>
      </c>
      <c r="K123">
        <v>23</v>
      </c>
      <c r="L123" t="s">
        <v>77</v>
      </c>
      <c r="M123">
        <v>28.8</v>
      </c>
      <c r="N123">
        <v>58</v>
      </c>
      <c r="O123">
        <v>14</v>
      </c>
      <c r="P123">
        <v>18</v>
      </c>
      <c r="Q123" t="s">
        <v>31</v>
      </c>
      <c r="R123">
        <v>2000</v>
      </c>
      <c r="S123">
        <v>35</v>
      </c>
      <c r="T123">
        <v>0</v>
      </c>
      <c r="U123">
        <v>0</v>
      </c>
      <c r="V123">
        <v>0</v>
      </c>
      <c r="W123" t="s">
        <v>32</v>
      </c>
      <c r="X123">
        <v>1</v>
      </c>
      <c r="Y123" t="str">
        <f t="shared" si="1"/>
        <v>Medium</v>
      </c>
    </row>
    <row r="124" spans="1:25">
      <c r="A124" t="s">
        <v>237</v>
      </c>
      <c r="B124" s="1">
        <v>44928</v>
      </c>
      <c r="C124" s="2">
        <v>0.47916666666666669</v>
      </c>
      <c r="D124" t="s">
        <v>74</v>
      </c>
      <c r="E124" t="s">
        <v>27</v>
      </c>
      <c r="F124" t="s">
        <v>154</v>
      </c>
      <c r="G124" t="s">
        <v>86</v>
      </c>
      <c r="H124" s="2">
        <v>0.48055555555555557</v>
      </c>
      <c r="I124" s="2">
        <v>0.49722222222222223</v>
      </c>
      <c r="J124">
        <v>12</v>
      </c>
      <c r="K124">
        <v>12</v>
      </c>
      <c r="L124" t="s">
        <v>84</v>
      </c>
      <c r="M124">
        <v>20.3</v>
      </c>
      <c r="N124">
        <v>88</v>
      </c>
      <c r="O124">
        <v>14</v>
      </c>
      <c r="P124">
        <v>2.6</v>
      </c>
      <c r="Q124" t="s">
        <v>71</v>
      </c>
      <c r="R124">
        <v>0</v>
      </c>
      <c r="S124">
        <v>8</v>
      </c>
      <c r="T124">
        <v>0</v>
      </c>
      <c r="U124">
        <v>0</v>
      </c>
      <c r="V124">
        <v>0</v>
      </c>
      <c r="W124" t="s">
        <v>55</v>
      </c>
      <c r="X124">
        <v>1</v>
      </c>
      <c r="Y124" t="str">
        <f t="shared" si="1"/>
        <v>Low</v>
      </c>
    </row>
    <row r="125" spans="1:25">
      <c r="A125" t="s">
        <v>238</v>
      </c>
      <c r="B125" s="1">
        <v>44928</v>
      </c>
      <c r="C125" s="2">
        <v>0.48958333333333331</v>
      </c>
      <c r="D125" t="s">
        <v>26</v>
      </c>
      <c r="E125" t="s">
        <v>57</v>
      </c>
      <c r="F125" t="s">
        <v>100</v>
      </c>
      <c r="G125" t="s">
        <v>95</v>
      </c>
      <c r="H125" s="2">
        <v>0.49166666666666664</v>
      </c>
      <c r="I125" s="2">
        <v>0.52083333333333337</v>
      </c>
      <c r="J125">
        <v>13</v>
      </c>
      <c r="K125">
        <v>24</v>
      </c>
      <c r="L125" t="s">
        <v>54</v>
      </c>
      <c r="M125">
        <v>-1.9</v>
      </c>
      <c r="N125">
        <v>65</v>
      </c>
      <c r="O125">
        <v>16</v>
      </c>
      <c r="P125">
        <v>5.3</v>
      </c>
      <c r="Q125" t="s">
        <v>31</v>
      </c>
      <c r="R125">
        <v>0</v>
      </c>
      <c r="S125">
        <v>39</v>
      </c>
      <c r="T125">
        <v>0</v>
      </c>
      <c r="U125">
        <v>0</v>
      </c>
      <c r="V125">
        <v>0</v>
      </c>
      <c r="W125" t="s">
        <v>72</v>
      </c>
      <c r="X125">
        <v>1</v>
      </c>
      <c r="Y125" t="str">
        <f t="shared" si="1"/>
        <v>Medium</v>
      </c>
    </row>
    <row r="126" spans="1:25">
      <c r="A126" t="s">
        <v>239</v>
      </c>
      <c r="B126" s="1">
        <v>44928</v>
      </c>
      <c r="C126" s="2">
        <v>0.5</v>
      </c>
      <c r="D126" t="s">
        <v>41</v>
      </c>
      <c r="E126" t="s">
        <v>89</v>
      </c>
      <c r="F126" t="s">
        <v>123</v>
      </c>
      <c r="G126" t="s">
        <v>49</v>
      </c>
      <c r="H126" s="2">
        <v>0.50138888888888888</v>
      </c>
      <c r="I126" s="2">
        <v>0.52847222222222223</v>
      </c>
      <c r="J126">
        <v>16</v>
      </c>
      <c r="K126">
        <v>-3</v>
      </c>
      <c r="L126" t="s">
        <v>54</v>
      </c>
      <c r="M126">
        <v>14.5</v>
      </c>
      <c r="N126">
        <v>96</v>
      </c>
      <c r="O126">
        <v>33</v>
      </c>
      <c r="P126">
        <v>18.399999999999999</v>
      </c>
      <c r="Q126" t="s">
        <v>31</v>
      </c>
      <c r="R126">
        <v>0</v>
      </c>
      <c r="S126">
        <v>84</v>
      </c>
      <c r="T126">
        <v>0</v>
      </c>
      <c r="U126">
        <v>0</v>
      </c>
      <c r="V126">
        <v>0</v>
      </c>
      <c r="W126" t="s">
        <v>39</v>
      </c>
      <c r="X126">
        <v>0</v>
      </c>
      <c r="Y126" t="str">
        <f t="shared" si="1"/>
        <v>High</v>
      </c>
    </row>
    <row r="127" spans="1:25">
      <c r="A127" t="s">
        <v>240</v>
      </c>
      <c r="B127" s="1">
        <v>44928</v>
      </c>
      <c r="C127" s="2">
        <v>0.51041666666666663</v>
      </c>
      <c r="D127" t="s">
        <v>34</v>
      </c>
      <c r="E127" t="s">
        <v>130</v>
      </c>
      <c r="F127" t="s">
        <v>128</v>
      </c>
      <c r="G127" t="s">
        <v>203</v>
      </c>
      <c r="H127" s="2">
        <v>0.5131944444444444</v>
      </c>
      <c r="I127" s="2">
        <v>0.54097222222222219</v>
      </c>
      <c r="J127">
        <v>3</v>
      </c>
      <c r="K127">
        <v>27</v>
      </c>
      <c r="L127" t="s">
        <v>84</v>
      </c>
      <c r="M127">
        <v>3.4</v>
      </c>
      <c r="N127">
        <v>40</v>
      </c>
      <c r="O127">
        <v>43</v>
      </c>
      <c r="P127">
        <v>18.899999999999999</v>
      </c>
      <c r="Q127" t="s">
        <v>31</v>
      </c>
      <c r="R127">
        <v>10000</v>
      </c>
      <c r="S127">
        <v>50</v>
      </c>
      <c r="T127">
        <v>0</v>
      </c>
      <c r="U127">
        <v>0</v>
      </c>
      <c r="V127">
        <v>0</v>
      </c>
      <c r="W127" t="s">
        <v>39</v>
      </c>
      <c r="X127">
        <v>1</v>
      </c>
      <c r="Y127" t="str">
        <f t="shared" si="1"/>
        <v>Medium</v>
      </c>
    </row>
    <row r="128" spans="1:25">
      <c r="A128" t="s">
        <v>241</v>
      </c>
      <c r="B128" s="1">
        <v>44928</v>
      </c>
      <c r="C128" s="2">
        <v>0.52083333333333337</v>
      </c>
      <c r="D128" t="s">
        <v>74</v>
      </c>
      <c r="E128" t="s">
        <v>126</v>
      </c>
      <c r="F128" t="s">
        <v>36</v>
      </c>
      <c r="G128" t="s">
        <v>122</v>
      </c>
      <c r="H128" s="2">
        <v>0.52083333333333337</v>
      </c>
      <c r="I128" s="2">
        <v>0.54722222222222228</v>
      </c>
      <c r="J128">
        <v>-2</v>
      </c>
      <c r="K128">
        <v>29</v>
      </c>
      <c r="L128" t="s">
        <v>54</v>
      </c>
      <c r="M128">
        <v>3</v>
      </c>
      <c r="N128">
        <v>40</v>
      </c>
      <c r="O128">
        <v>34</v>
      </c>
      <c r="P128">
        <v>9.6999999999999993</v>
      </c>
      <c r="Q128" t="s">
        <v>71</v>
      </c>
      <c r="R128">
        <v>500</v>
      </c>
      <c r="S128">
        <v>0</v>
      </c>
      <c r="T128">
        <v>1</v>
      </c>
      <c r="U128">
        <v>0</v>
      </c>
      <c r="V128">
        <v>0</v>
      </c>
      <c r="W128" t="s">
        <v>55</v>
      </c>
      <c r="X128">
        <v>1</v>
      </c>
      <c r="Y128" t="str">
        <f t="shared" si="1"/>
        <v>Low</v>
      </c>
    </row>
    <row r="129" spans="1:25">
      <c r="A129" t="s">
        <v>242</v>
      </c>
      <c r="B129" s="1">
        <v>44928</v>
      </c>
      <c r="C129" s="2">
        <v>0.53125</v>
      </c>
      <c r="D129" t="s">
        <v>41</v>
      </c>
      <c r="E129" t="s">
        <v>57</v>
      </c>
      <c r="F129" t="s">
        <v>76</v>
      </c>
      <c r="G129" t="s">
        <v>105</v>
      </c>
      <c r="H129" s="2">
        <v>0.53333333333333333</v>
      </c>
      <c r="I129" s="2">
        <v>0.56597222222222221</v>
      </c>
      <c r="J129">
        <v>9</v>
      </c>
      <c r="K129">
        <v>29</v>
      </c>
      <c r="L129" t="s">
        <v>84</v>
      </c>
      <c r="M129">
        <v>32.6</v>
      </c>
      <c r="N129">
        <v>55</v>
      </c>
      <c r="O129">
        <v>38</v>
      </c>
      <c r="P129">
        <v>7.5</v>
      </c>
      <c r="Q129" t="s">
        <v>31</v>
      </c>
      <c r="R129">
        <v>50000</v>
      </c>
      <c r="S129">
        <v>62</v>
      </c>
      <c r="T129">
        <v>0</v>
      </c>
      <c r="U129">
        <v>0</v>
      </c>
      <c r="V129">
        <v>0</v>
      </c>
      <c r="W129" t="s">
        <v>32</v>
      </c>
      <c r="X129">
        <v>1</v>
      </c>
      <c r="Y129" t="str">
        <f t="shared" si="1"/>
        <v>Medium</v>
      </c>
    </row>
    <row r="130" spans="1:25">
      <c r="A130" t="s">
        <v>243</v>
      </c>
      <c r="B130" s="1">
        <v>44928</v>
      </c>
      <c r="C130" s="2">
        <v>0.54166666666666663</v>
      </c>
      <c r="D130" t="s">
        <v>34</v>
      </c>
      <c r="E130" t="s">
        <v>98</v>
      </c>
      <c r="F130" t="s">
        <v>99</v>
      </c>
      <c r="G130" t="s">
        <v>43</v>
      </c>
      <c r="H130" s="2">
        <v>0.54166666666666663</v>
      </c>
      <c r="I130" s="2">
        <v>0.57291666666666663</v>
      </c>
      <c r="J130">
        <v>15</v>
      </c>
      <c r="K130">
        <v>14</v>
      </c>
      <c r="L130" t="s">
        <v>54</v>
      </c>
      <c r="M130">
        <v>25.5</v>
      </c>
      <c r="N130">
        <v>82</v>
      </c>
      <c r="O130">
        <v>37</v>
      </c>
      <c r="P130">
        <v>5.7</v>
      </c>
      <c r="Q130" t="s">
        <v>31</v>
      </c>
      <c r="R130">
        <v>0</v>
      </c>
      <c r="S130">
        <v>67</v>
      </c>
      <c r="T130">
        <v>0</v>
      </c>
      <c r="U130">
        <v>0</v>
      </c>
      <c r="V130">
        <v>0</v>
      </c>
      <c r="W130" t="s">
        <v>55</v>
      </c>
      <c r="X130">
        <v>1</v>
      </c>
      <c r="Y130" t="str">
        <f t="shared" ref="Y130:Y193" si="2">IF(S130&lt;=33,"Low",IF(S130&lt;=66,"Medium","High"))</f>
        <v>High</v>
      </c>
    </row>
    <row r="131" spans="1:25">
      <c r="A131" t="s">
        <v>244</v>
      </c>
      <c r="B131" s="1">
        <v>44928</v>
      </c>
      <c r="C131" s="2">
        <v>0.55208333333333337</v>
      </c>
      <c r="D131" t="s">
        <v>34</v>
      </c>
      <c r="E131" t="s">
        <v>130</v>
      </c>
      <c r="F131" t="s">
        <v>151</v>
      </c>
      <c r="G131" t="s">
        <v>151</v>
      </c>
      <c r="H131" s="2">
        <v>0.55486111111111114</v>
      </c>
      <c r="I131" s="2">
        <v>0.59027777777777779</v>
      </c>
      <c r="J131">
        <v>13</v>
      </c>
      <c r="K131">
        <v>19</v>
      </c>
      <c r="L131" t="s">
        <v>84</v>
      </c>
      <c r="M131">
        <v>22.8</v>
      </c>
      <c r="N131">
        <v>43</v>
      </c>
      <c r="O131">
        <v>13</v>
      </c>
      <c r="P131">
        <v>10</v>
      </c>
      <c r="Q131" t="s">
        <v>63</v>
      </c>
      <c r="R131">
        <v>0</v>
      </c>
      <c r="S131">
        <v>73</v>
      </c>
      <c r="T131">
        <v>0</v>
      </c>
      <c r="U131">
        <v>1</v>
      </c>
      <c r="V131">
        <v>0</v>
      </c>
      <c r="W131" t="s">
        <v>39</v>
      </c>
      <c r="X131">
        <v>1</v>
      </c>
      <c r="Y131" t="str">
        <f t="shared" si="2"/>
        <v>High</v>
      </c>
    </row>
    <row r="132" spans="1:25">
      <c r="A132" t="s">
        <v>245</v>
      </c>
      <c r="B132" s="1">
        <v>44928</v>
      </c>
      <c r="C132" s="2">
        <v>0.5625</v>
      </c>
      <c r="D132" t="s">
        <v>34</v>
      </c>
      <c r="E132" t="s">
        <v>79</v>
      </c>
      <c r="F132" t="s">
        <v>76</v>
      </c>
      <c r="G132" t="s">
        <v>135</v>
      </c>
      <c r="H132" s="2">
        <v>0.56527777777777777</v>
      </c>
      <c r="I132" s="2">
        <v>0.59166666666666667</v>
      </c>
      <c r="J132">
        <v>9</v>
      </c>
      <c r="K132">
        <v>19</v>
      </c>
      <c r="L132" t="s">
        <v>84</v>
      </c>
      <c r="M132">
        <v>4.5999999999999996</v>
      </c>
      <c r="N132">
        <v>93</v>
      </c>
      <c r="O132">
        <v>54</v>
      </c>
      <c r="P132">
        <v>18.7</v>
      </c>
      <c r="Q132" t="s">
        <v>46</v>
      </c>
      <c r="R132">
        <v>0</v>
      </c>
      <c r="S132">
        <v>25</v>
      </c>
      <c r="T132">
        <v>0</v>
      </c>
      <c r="U132">
        <v>0</v>
      </c>
      <c r="V132">
        <v>0</v>
      </c>
      <c r="W132" t="s">
        <v>32</v>
      </c>
      <c r="X132">
        <v>1</v>
      </c>
      <c r="Y132" t="str">
        <f t="shared" si="2"/>
        <v>Low</v>
      </c>
    </row>
    <row r="133" spans="1:25">
      <c r="A133" t="s">
        <v>246</v>
      </c>
      <c r="B133" s="1">
        <v>44928</v>
      </c>
      <c r="C133" s="2">
        <v>0.57291666666666663</v>
      </c>
      <c r="D133" t="s">
        <v>41</v>
      </c>
      <c r="E133" t="s">
        <v>79</v>
      </c>
      <c r="F133" t="s">
        <v>176</v>
      </c>
      <c r="G133" t="s">
        <v>70</v>
      </c>
      <c r="H133" s="2">
        <v>0.57291666666666663</v>
      </c>
      <c r="I133" s="2">
        <v>0.59513888888888888</v>
      </c>
      <c r="J133">
        <v>17</v>
      </c>
      <c r="K133">
        <v>11</v>
      </c>
      <c r="L133" t="s">
        <v>54</v>
      </c>
      <c r="M133">
        <v>-0.3</v>
      </c>
      <c r="N133">
        <v>39</v>
      </c>
      <c r="O133">
        <v>58</v>
      </c>
      <c r="P133">
        <v>3</v>
      </c>
      <c r="Q133" t="s">
        <v>31</v>
      </c>
      <c r="R133">
        <v>0</v>
      </c>
      <c r="S133">
        <v>39</v>
      </c>
      <c r="T133">
        <v>0</v>
      </c>
      <c r="U133">
        <v>1</v>
      </c>
      <c r="V133">
        <v>0</v>
      </c>
      <c r="W133" t="s">
        <v>55</v>
      </c>
      <c r="X133">
        <v>1</v>
      </c>
      <c r="Y133" t="str">
        <f t="shared" si="2"/>
        <v>Medium</v>
      </c>
    </row>
    <row r="134" spans="1:25">
      <c r="A134" t="s">
        <v>247</v>
      </c>
      <c r="B134" s="1">
        <v>44928</v>
      </c>
      <c r="C134" s="2">
        <v>0.58333333333333337</v>
      </c>
      <c r="D134" t="s">
        <v>41</v>
      </c>
      <c r="E134" t="s">
        <v>57</v>
      </c>
      <c r="F134" t="s">
        <v>128</v>
      </c>
      <c r="G134" t="s">
        <v>163</v>
      </c>
      <c r="H134" s="2">
        <v>0.58333333333333337</v>
      </c>
      <c r="I134" s="2">
        <v>0.61388888888888893</v>
      </c>
      <c r="J134">
        <v>10</v>
      </c>
      <c r="K134">
        <v>22</v>
      </c>
      <c r="L134" t="s">
        <v>84</v>
      </c>
      <c r="M134">
        <v>29.8</v>
      </c>
      <c r="N134">
        <v>60</v>
      </c>
      <c r="O134">
        <v>4</v>
      </c>
      <c r="P134">
        <v>8.4</v>
      </c>
      <c r="Q134" t="s">
        <v>31</v>
      </c>
      <c r="R134">
        <v>0</v>
      </c>
      <c r="S134">
        <v>2</v>
      </c>
      <c r="T134">
        <v>0</v>
      </c>
      <c r="U134">
        <v>0</v>
      </c>
      <c r="V134">
        <v>0</v>
      </c>
      <c r="W134" t="s">
        <v>39</v>
      </c>
      <c r="X134">
        <v>1</v>
      </c>
      <c r="Y134" t="str">
        <f t="shared" si="2"/>
        <v>Low</v>
      </c>
    </row>
    <row r="135" spans="1:25">
      <c r="A135" t="s">
        <v>248</v>
      </c>
      <c r="B135" s="1">
        <v>44928</v>
      </c>
      <c r="C135" s="2">
        <v>0.59375</v>
      </c>
      <c r="D135" t="s">
        <v>41</v>
      </c>
      <c r="E135" t="s">
        <v>130</v>
      </c>
      <c r="F135" t="s">
        <v>70</v>
      </c>
      <c r="G135" t="s">
        <v>75</v>
      </c>
      <c r="H135" s="2">
        <v>0.59375</v>
      </c>
      <c r="I135" s="2">
        <v>0.60833333333333328</v>
      </c>
      <c r="J135">
        <v>5</v>
      </c>
      <c r="K135">
        <v>26</v>
      </c>
      <c r="L135" t="s">
        <v>54</v>
      </c>
      <c r="M135">
        <v>-4.8</v>
      </c>
      <c r="N135">
        <v>65</v>
      </c>
      <c r="O135">
        <v>29</v>
      </c>
      <c r="P135">
        <v>18.2</v>
      </c>
      <c r="Q135" t="s">
        <v>31</v>
      </c>
      <c r="R135">
        <v>0</v>
      </c>
      <c r="S135">
        <v>8</v>
      </c>
      <c r="T135">
        <v>0</v>
      </c>
      <c r="U135">
        <v>0</v>
      </c>
      <c r="V135">
        <v>0</v>
      </c>
      <c r="W135" t="s">
        <v>39</v>
      </c>
      <c r="X135">
        <v>1</v>
      </c>
      <c r="Y135" t="str">
        <f t="shared" si="2"/>
        <v>Low</v>
      </c>
    </row>
    <row r="136" spans="1:25">
      <c r="A136" t="s">
        <v>249</v>
      </c>
      <c r="B136" s="1">
        <v>44928</v>
      </c>
      <c r="C136" s="2">
        <v>0.60416666666666663</v>
      </c>
      <c r="D136" t="s">
        <v>26</v>
      </c>
      <c r="E136" t="s">
        <v>130</v>
      </c>
      <c r="F136" t="s">
        <v>65</v>
      </c>
      <c r="G136" t="s">
        <v>203</v>
      </c>
      <c r="H136" s="2">
        <v>0.6069444444444444</v>
      </c>
      <c r="I136" s="2">
        <v>0.61875000000000002</v>
      </c>
      <c r="J136">
        <v>19</v>
      </c>
      <c r="K136">
        <v>21</v>
      </c>
      <c r="L136" t="s">
        <v>84</v>
      </c>
      <c r="M136">
        <v>10.5</v>
      </c>
      <c r="N136">
        <v>39</v>
      </c>
      <c r="O136">
        <v>3</v>
      </c>
      <c r="P136">
        <v>7</v>
      </c>
      <c r="Q136" t="s">
        <v>31</v>
      </c>
      <c r="R136">
        <v>10000</v>
      </c>
      <c r="S136">
        <v>31</v>
      </c>
      <c r="T136">
        <v>0</v>
      </c>
      <c r="U136">
        <v>0</v>
      </c>
      <c r="V136">
        <v>0</v>
      </c>
      <c r="W136" t="s">
        <v>55</v>
      </c>
      <c r="X136">
        <v>1</v>
      </c>
      <c r="Y136" t="str">
        <f t="shared" si="2"/>
        <v>Low</v>
      </c>
    </row>
    <row r="137" spans="1:25">
      <c r="A137" t="s">
        <v>250</v>
      </c>
      <c r="B137" s="1">
        <v>44928</v>
      </c>
      <c r="C137" s="2">
        <v>0.61458333333333337</v>
      </c>
      <c r="D137" t="s">
        <v>41</v>
      </c>
      <c r="E137" t="s">
        <v>68</v>
      </c>
      <c r="F137" t="s">
        <v>80</v>
      </c>
      <c r="G137" t="s">
        <v>142</v>
      </c>
      <c r="H137" s="2">
        <v>0.61527777777777781</v>
      </c>
      <c r="I137" s="2">
        <v>0.63888888888888884</v>
      </c>
      <c r="J137">
        <v>-2</v>
      </c>
      <c r="K137">
        <v>12</v>
      </c>
      <c r="L137" t="s">
        <v>77</v>
      </c>
      <c r="M137">
        <v>6.1</v>
      </c>
      <c r="N137">
        <v>55</v>
      </c>
      <c r="O137">
        <v>14</v>
      </c>
      <c r="P137">
        <v>15.4</v>
      </c>
      <c r="Q137" t="s">
        <v>31</v>
      </c>
      <c r="R137">
        <v>0</v>
      </c>
      <c r="S137">
        <v>66</v>
      </c>
      <c r="T137">
        <v>0</v>
      </c>
      <c r="U137">
        <v>1</v>
      </c>
      <c r="V137">
        <v>0</v>
      </c>
      <c r="W137" t="s">
        <v>39</v>
      </c>
      <c r="X137">
        <v>1</v>
      </c>
      <c r="Y137" t="str">
        <f t="shared" si="2"/>
        <v>Medium</v>
      </c>
    </row>
    <row r="138" spans="1:25">
      <c r="A138" t="s">
        <v>251</v>
      </c>
      <c r="B138" s="1">
        <v>44928</v>
      </c>
      <c r="C138" s="2">
        <v>0.625</v>
      </c>
      <c r="D138" t="s">
        <v>41</v>
      </c>
      <c r="E138" t="s">
        <v>93</v>
      </c>
      <c r="F138" t="s">
        <v>197</v>
      </c>
      <c r="G138" t="s">
        <v>76</v>
      </c>
      <c r="H138" s="2">
        <v>0.625</v>
      </c>
      <c r="I138" s="2">
        <v>0.64444444444444449</v>
      </c>
      <c r="J138">
        <v>18</v>
      </c>
      <c r="K138">
        <v>10</v>
      </c>
      <c r="L138" t="s">
        <v>45</v>
      </c>
      <c r="M138">
        <v>17.8</v>
      </c>
      <c r="N138">
        <v>49</v>
      </c>
      <c r="O138">
        <v>38</v>
      </c>
      <c r="P138">
        <v>7.8</v>
      </c>
      <c r="Q138" t="s">
        <v>31</v>
      </c>
      <c r="R138">
        <v>0</v>
      </c>
      <c r="S138">
        <v>3</v>
      </c>
      <c r="T138">
        <v>0</v>
      </c>
      <c r="U138">
        <v>0</v>
      </c>
      <c r="V138">
        <v>0</v>
      </c>
      <c r="W138" t="s">
        <v>72</v>
      </c>
      <c r="X138">
        <v>1</v>
      </c>
      <c r="Y138" t="str">
        <f t="shared" si="2"/>
        <v>Low</v>
      </c>
    </row>
    <row r="139" spans="1:25">
      <c r="A139" t="s">
        <v>252</v>
      </c>
      <c r="B139" s="1">
        <v>44928</v>
      </c>
      <c r="C139" s="2">
        <v>0.63541666666666663</v>
      </c>
      <c r="D139" t="s">
        <v>41</v>
      </c>
      <c r="E139" t="s">
        <v>27</v>
      </c>
      <c r="F139" t="s">
        <v>62</v>
      </c>
      <c r="G139" t="s">
        <v>194</v>
      </c>
      <c r="H139" s="2">
        <v>0.63749999999999996</v>
      </c>
      <c r="I139" s="2">
        <v>0.66805555555555551</v>
      </c>
      <c r="J139">
        <v>4</v>
      </c>
      <c r="K139">
        <v>13</v>
      </c>
      <c r="L139" t="s">
        <v>54</v>
      </c>
      <c r="M139">
        <v>5</v>
      </c>
      <c r="N139">
        <v>73</v>
      </c>
      <c r="O139">
        <v>34</v>
      </c>
      <c r="P139">
        <v>16.100000000000001</v>
      </c>
      <c r="Q139" t="s">
        <v>31</v>
      </c>
      <c r="R139">
        <v>50000</v>
      </c>
      <c r="S139">
        <v>5</v>
      </c>
      <c r="T139">
        <v>0</v>
      </c>
      <c r="U139">
        <v>0</v>
      </c>
      <c r="V139">
        <v>0</v>
      </c>
      <c r="W139" t="s">
        <v>72</v>
      </c>
      <c r="X139">
        <v>1</v>
      </c>
      <c r="Y139" t="str">
        <f t="shared" si="2"/>
        <v>Low</v>
      </c>
    </row>
    <row r="140" spans="1:25">
      <c r="A140" t="s">
        <v>253</v>
      </c>
      <c r="B140" s="1">
        <v>44928</v>
      </c>
      <c r="C140" s="2">
        <v>0.64583333333333337</v>
      </c>
      <c r="D140" t="s">
        <v>26</v>
      </c>
      <c r="E140" t="s">
        <v>89</v>
      </c>
      <c r="F140" t="s">
        <v>69</v>
      </c>
      <c r="G140" t="s">
        <v>168</v>
      </c>
      <c r="H140" s="2">
        <v>0.64861111111111114</v>
      </c>
      <c r="I140" s="2">
        <v>0.66805555555555551</v>
      </c>
      <c r="J140">
        <v>12</v>
      </c>
      <c r="K140">
        <v>8</v>
      </c>
      <c r="L140" t="s">
        <v>84</v>
      </c>
      <c r="M140">
        <v>7.4</v>
      </c>
      <c r="N140">
        <v>91</v>
      </c>
      <c r="O140">
        <v>44</v>
      </c>
      <c r="P140">
        <v>19.600000000000001</v>
      </c>
      <c r="Q140" t="s">
        <v>101</v>
      </c>
      <c r="R140">
        <v>50000</v>
      </c>
      <c r="S140">
        <v>72</v>
      </c>
      <c r="T140">
        <v>0</v>
      </c>
      <c r="U140">
        <v>0</v>
      </c>
      <c r="V140">
        <v>0</v>
      </c>
      <c r="W140" t="s">
        <v>32</v>
      </c>
      <c r="X140">
        <v>1</v>
      </c>
      <c r="Y140" t="str">
        <f t="shared" si="2"/>
        <v>High</v>
      </c>
    </row>
    <row r="141" spans="1:25">
      <c r="A141" t="s">
        <v>254</v>
      </c>
      <c r="B141" s="1">
        <v>44928</v>
      </c>
      <c r="C141" s="2">
        <v>0.65625</v>
      </c>
      <c r="D141" t="s">
        <v>41</v>
      </c>
      <c r="E141" t="s">
        <v>157</v>
      </c>
      <c r="F141" t="s">
        <v>122</v>
      </c>
      <c r="G141" t="s">
        <v>70</v>
      </c>
      <c r="H141" s="2">
        <v>0.65763888888888888</v>
      </c>
      <c r="I141" s="2">
        <v>0.69374999999999998</v>
      </c>
      <c r="J141">
        <v>19</v>
      </c>
      <c r="K141">
        <v>25</v>
      </c>
      <c r="L141" t="s">
        <v>77</v>
      </c>
      <c r="M141">
        <v>29</v>
      </c>
      <c r="N141">
        <v>38</v>
      </c>
      <c r="O141">
        <v>9</v>
      </c>
      <c r="P141">
        <v>7.8</v>
      </c>
      <c r="Q141" t="s">
        <v>101</v>
      </c>
      <c r="R141">
        <v>0</v>
      </c>
      <c r="S141">
        <v>25</v>
      </c>
      <c r="T141">
        <v>0</v>
      </c>
      <c r="U141">
        <v>0</v>
      </c>
      <c r="V141">
        <v>0</v>
      </c>
      <c r="W141" t="s">
        <v>72</v>
      </c>
      <c r="X141">
        <v>1</v>
      </c>
      <c r="Y141" t="str">
        <f t="shared" si="2"/>
        <v>Low</v>
      </c>
    </row>
    <row r="142" spans="1:25">
      <c r="A142" t="s">
        <v>255</v>
      </c>
      <c r="B142" s="1">
        <v>44928</v>
      </c>
      <c r="C142" s="2">
        <v>0.66666666666666663</v>
      </c>
      <c r="D142" t="s">
        <v>34</v>
      </c>
      <c r="E142" t="s">
        <v>111</v>
      </c>
      <c r="F142" t="s">
        <v>142</v>
      </c>
      <c r="G142" t="s">
        <v>43</v>
      </c>
      <c r="H142" s="2">
        <v>0.66805555555555551</v>
      </c>
      <c r="I142" s="2">
        <v>0.68888888888888888</v>
      </c>
      <c r="J142">
        <v>10</v>
      </c>
      <c r="K142">
        <v>28</v>
      </c>
      <c r="L142" t="s">
        <v>45</v>
      </c>
      <c r="M142">
        <v>19.100000000000001</v>
      </c>
      <c r="N142">
        <v>53</v>
      </c>
      <c r="O142">
        <v>54</v>
      </c>
      <c r="P142">
        <v>16.899999999999999</v>
      </c>
      <c r="Q142" t="s">
        <v>31</v>
      </c>
      <c r="R142">
        <v>50000</v>
      </c>
      <c r="S142">
        <v>1</v>
      </c>
      <c r="T142">
        <v>0</v>
      </c>
      <c r="U142">
        <v>0</v>
      </c>
      <c r="V142">
        <v>0</v>
      </c>
      <c r="W142" t="s">
        <v>72</v>
      </c>
      <c r="X142">
        <v>1</v>
      </c>
      <c r="Y142" t="str">
        <f t="shared" si="2"/>
        <v>Low</v>
      </c>
    </row>
    <row r="143" spans="1:25">
      <c r="A143" t="s">
        <v>256</v>
      </c>
      <c r="B143" s="1">
        <v>44928</v>
      </c>
      <c r="C143" s="2">
        <v>0.67708333333333337</v>
      </c>
      <c r="D143" t="s">
        <v>41</v>
      </c>
      <c r="E143" t="s">
        <v>61</v>
      </c>
      <c r="F143" t="s">
        <v>76</v>
      </c>
      <c r="G143" t="s">
        <v>91</v>
      </c>
      <c r="H143" s="2">
        <v>0.6791666666666667</v>
      </c>
      <c r="I143" s="2">
        <v>0.71180555555555558</v>
      </c>
      <c r="J143">
        <v>10</v>
      </c>
      <c r="K143">
        <v>20</v>
      </c>
      <c r="L143" t="s">
        <v>84</v>
      </c>
      <c r="M143">
        <v>0.8</v>
      </c>
      <c r="N143">
        <v>41</v>
      </c>
      <c r="O143">
        <v>1</v>
      </c>
      <c r="P143">
        <v>19.8</v>
      </c>
      <c r="Q143" t="s">
        <v>71</v>
      </c>
      <c r="R143">
        <v>0</v>
      </c>
      <c r="S143">
        <v>65</v>
      </c>
      <c r="T143">
        <v>0</v>
      </c>
      <c r="U143">
        <v>0</v>
      </c>
      <c r="V143">
        <v>0</v>
      </c>
      <c r="W143" t="s">
        <v>55</v>
      </c>
      <c r="X143">
        <v>1</v>
      </c>
      <c r="Y143" t="str">
        <f t="shared" si="2"/>
        <v>Medium</v>
      </c>
    </row>
    <row r="144" spans="1:25">
      <c r="A144" t="s">
        <v>257</v>
      </c>
      <c r="B144" s="1">
        <v>44928</v>
      </c>
      <c r="C144" s="2">
        <v>0.6875</v>
      </c>
      <c r="D144" t="s">
        <v>34</v>
      </c>
      <c r="E144" t="s">
        <v>141</v>
      </c>
      <c r="F144" t="s">
        <v>123</v>
      </c>
      <c r="G144" t="s">
        <v>53</v>
      </c>
      <c r="H144" s="2">
        <v>0.68819444444444444</v>
      </c>
      <c r="I144" s="2">
        <v>0.71527777777777779</v>
      </c>
      <c r="J144">
        <v>6</v>
      </c>
      <c r="K144">
        <v>9</v>
      </c>
      <c r="L144" t="s">
        <v>45</v>
      </c>
      <c r="M144">
        <v>24.1</v>
      </c>
      <c r="N144">
        <v>89</v>
      </c>
      <c r="O144">
        <v>43</v>
      </c>
      <c r="P144">
        <v>19.7</v>
      </c>
      <c r="Q144" t="s">
        <v>31</v>
      </c>
      <c r="R144">
        <v>0</v>
      </c>
      <c r="S144">
        <v>84</v>
      </c>
      <c r="T144">
        <v>0</v>
      </c>
      <c r="U144">
        <v>1</v>
      </c>
      <c r="V144">
        <v>0</v>
      </c>
      <c r="W144" t="s">
        <v>32</v>
      </c>
      <c r="X144">
        <v>1</v>
      </c>
      <c r="Y144" t="str">
        <f t="shared" si="2"/>
        <v>High</v>
      </c>
    </row>
    <row r="145" spans="1:25">
      <c r="A145" t="s">
        <v>258</v>
      </c>
      <c r="B145" s="1">
        <v>44928</v>
      </c>
      <c r="C145" s="2">
        <v>0.69791666666666663</v>
      </c>
      <c r="D145" t="s">
        <v>34</v>
      </c>
      <c r="E145" t="s">
        <v>147</v>
      </c>
      <c r="F145" t="s">
        <v>148</v>
      </c>
      <c r="G145" t="s">
        <v>122</v>
      </c>
      <c r="H145" s="2">
        <v>0.69791666666666663</v>
      </c>
      <c r="I145" s="2">
        <v>0.73333333333333328</v>
      </c>
      <c r="J145">
        <v>12</v>
      </c>
      <c r="K145">
        <v>16</v>
      </c>
      <c r="L145" t="s">
        <v>54</v>
      </c>
      <c r="M145">
        <v>3.3</v>
      </c>
      <c r="N145">
        <v>45</v>
      </c>
      <c r="O145">
        <v>59</v>
      </c>
      <c r="P145">
        <v>8.6999999999999993</v>
      </c>
      <c r="Q145" t="s">
        <v>71</v>
      </c>
      <c r="R145">
        <v>10000</v>
      </c>
      <c r="S145">
        <v>85</v>
      </c>
      <c r="T145">
        <v>0</v>
      </c>
      <c r="U145">
        <v>1</v>
      </c>
      <c r="V145">
        <v>0</v>
      </c>
      <c r="W145" t="s">
        <v>55</v>
      </c>
      <c r="X145">
        <v>1</v>
      </c>
      <c r="Y145" t="str">
        <f t="shared" si="2"/>
        <v>High</v>
      </c>
    </row>
    <row r="146" spans="1:25">
      <c r="A146" t="s">
        <v>259</v>
      </c>
      <c r="B146" s="1">
        <v>44928</v>
      </c>
      <c r="C146" s="2">
        <v>0.70833333333333337</v>
      </c>
      <c r="D146" t="s">
        <v>34</v>
      </c>
      <c r="E146" t="s">
        <v>89</v>
      </c>
      <c r="F146" t="s">
        <v>91</v>
      </c>
      <c r="G146" t="s">
        <v>151</v>
      </c>
      <c r="H146" s="2">
        <v>0.71111111111111114</v>
      </c>
      <c r="I146" s="2">
        <v>0.74513888888888891</v>
      </c>
      <c r="J146">
        <v>1</v>
      </c>
      <c r="K146">
        <v>11</v>
      </c>
      <c r="L146" t="s">
        <v>45</v>
      </c>
      <c r="M146">
        <v>12.3</v>
      </c>
      <c r="N146">
        <v>58</v>
      </c>
      <c r="O146">
        <v>23</v>
      </c>
      <c r="P146">
        <v>9.6999999999999993</v>
      </c>
      <c r="Q146" t="s">
        <v>31</v>
      </c>
      <c r="R146">
        <v>2000</v>
      </c>
      <c r="S146">
        <v>2</v>
      </c>
      <c r="T146">
        <v>1</v>
      </c>
      <c r="U146">
        <v>1</v>
      </c>
      <c r="V146">
        <v>0</v>
      </c>
      <c r="W146" t="s">
        <v>55</v>
      </c>
      <c r="X146">
        <v>1</v>
      </c>
      <c r="Y146" t="str">
        <f t="shared" si="2"/>
        <v>Low</v>
      </c>
    </row>
    <row r="147" spans="1:25">
      <c r="A147" t="s">
        <v>260</v>
      </c>
      <c r="B147" s="1">
        <v>44928</v>
      </c>
      <c r="C147" s="2">
        <v>0.71875</v>
      </c>
      <c r="D147" t="s">
        <v>26</v>
      </c>
      <c r="E147" t="s">
        <v>130</v>
      </c>
      <c r="F147" t="s">
        <v>151</v>
      </c>
      <c r="G147" t="s">
        <v>176</v>
      </c>
      <c r="H147" s="2">
        <v>0.71875</v>
      </c>
      <c r="I147" s="2">
        <v>0.73750000000000004</v>
      </c>
      <c r="J147">
        <v>10</v>
      </c>
      <c r="K147">
        <v>0</v>
      </c>
      <c r="L147" t="s">
        <v>38</v>
      </c>
      <c r="M147">
        <v>20.9</v>
      </c>
      <c r="N147">
        <v>61</v>
      </c>
      <c r="O147">
        <v>27</v>
      </c>
      <c r="P147">
        <v>6.1</v>
      </c>
      <c r="Q147" t="s">
        <v>101</v>
      </c>
      <c r="R147">
        <v>10000</v>
      </c>
      <c r="S147">
        <v>34</v>
      </c>
      <c r="T147">
        <v>0</v>
      </c>
      <c r="U147">
        <v>0</v>
      </c>
      <c r="V147">
        <v>0</v>
      </c>
      <c r="W147" t="s">
        <v>72</v>
      </c>
      <c r="X147">
        <v>0</v>
      </c>
      <c r="Y147" t="str">
        <f t="shared" si="2"/>
        <v>Medium</v>
      </c>
    </row>
    <row r="148" spans="1:25">
      <c r="A148" t="s">
        <v>261</v>
      </c>
      <c r="B148" s="1">
        <v>44928</v>
      </c>
      <c r="C148" s="2">
        <v>0.72916666666666663</v>
      </c>
      <c r="D148" t="s">
        <v>26</v>
      </c>
      <c r="E148" t="s">
        <v>89</v>
      </c>
      <c r="F148" t="s">
        <v>65</v>
      </c>
      <c r="G148" t="s">
        <v>113</v>
      </c>
      <c r="H148" s="2">
        <v>0.7319444444444444</v>
      </c>
      <c r="I148" s="2">
        <v>0.74375000000000002</v>
      </c>
      <c r="J148">
        <v>9</v>
      </c>
      <c r="K148">
        <v>24</v>
      </c>
      <c r="L148" t="s">
        <v>30</v>
      </c>
      <c r="M148">
        <v>5.9</v>
      </c>
      <c r="N148">
        <v>64</v>
      </c>
      <c r="O148">
        <v>21</v>
      </c>
      <c r="P148">
        <v>6.3</v>
      </c>
      <c r="Q148" t="s">
        <v>101</v>
      </c>
      <c r="R148">
        <v>10000</v>
      </c>
      <c r="S148">
        <v>58</v>
      </c>
      <c r="T148">
        <v>0</v>
      </c>
      <c r="U148">
        <v>0</v>
      </c>
      <c r="V148">
        <v>0</v>
      </c>
      <c r="W148" t="s">
        <v>72</v>
      </c>
      <c r="X148">
        <v>1</v>
      </c>
      <c r="Y148" t="str">
        <f t="shared" si="2"/>
        <v>Medium</v>
      </c>
    </row>
    <row r="149" spans="1:25">
      <c r="A149" t="s">
        <v>262</v>
      </c>
      <c r="B149" s="1">
        <v>44928</v>
      </c>
      <c r="C149" s="2">
        <v>0.73958333333333337</v>
      </c>
      <c r="D149" t="s">
        <v>26</v>
      </c>
      <c r="E149" t="s">
        <v>130</v>
      </c>
      <c r="F149" t="s">
        <v>69</v>
      </c>
      <c r="G149" t="s">
        <v>128</v>
      </c>
      <c r="H149" s="2">
        <v>0.74097222222222225</v>
      </c>
      <c r="I149" s="2">
        <v>0.77916666666666667</v>
      </c>
      <c r="J149">
        <v>2</v>
      </c>
      <c r="K149">
        <v>-2</v>
      </c>
      <c r="L149" t="s">
        <v>38</v>
      </c>
      <c r="M149">
        <v>10.4</v>
      </c>
      <c r="N149">
        <v>72</v>
      </c>
      <c r="O149">
        <v>43</v>
      </c>
      <c r="P149">
        <v>9.8000000000000007</v>
      </c>
      <c r="Q149" t="s">
        <v>31</v>
      </c>
      <c r="R149">
        <v>0</v>
      </c>
      <c r="S149">
        <v>37</v>
      </c>
      <c r="T149">
        <v>0</v>
      </c>
      <c r="U149">
        <v>0</v>
      </c>
      <c r="V149">
        <v>0</v>
      </c>
      <c r="W149" t="s">
        <v>39</v>
      </c>
      <c r="X149">
        <v>0</v>
      </c>
      <c r="Y149" t="str">
        <f t="shared" si="2"/>
        <v>Medium</v>
      </c>
    </row>
    <row r="150" spans="1:25">
      <c r="A150" t="s">
        <v>263</v>
      </c>
      <c r="B150" s="1">
        <v>44928</v>
      </c>
      <c r="C150" s="2">
        <v>0.75</v>
      </c>
      <c r="D150" t="s">
        <v>41</v>
      </c>
      <c r="E150" t="s">
        <v>141</v>
      </c>
      <c r="F150" t="s">
        <v>135</v>
      </c>
      <c r="G150" t="s">
        <v>44</v>
      </c>
      <c r="H150" s="2">
        <v>0.75</v>
      </c>
      <c r="I150" s="2">
        <v>0.78541666666666665</v>
      </c>
      <c r="J150">
        <v>4</v>
      </c>
      <c r="K150">
        <v>26</v>
      </c>
      <c r="L150" t="s">
        <v>54</v>
      </c>
      <c r="M150">
        <v>24.4</v>
      </c>
      <c r="N150">
        <v>82</v>
      </c>
      <c r="O150">
        <v>31</v>
      </c>
      <c r="P150">
        <v>4</v>
      </c>
      <c r="Q150" t="s">
        <v>46</v>
      </c>
      <c r="R150">
        <v>0</v>
      </c>
      <c r="S150">
        <v>32</v>
      </c>
      <c r="T150">
        <v>0</v>
      </c>
      <c r="U150">
        <v>1</v>
      </c>
      <c r="V150">
        <v>0</v>
      </c>
      <c r="W150" t="s">
        <v>39</v>
      </c>
      <c r="X150">
        <v>1</v>
      </c>
      <c r="Y150" t="str">
        <f t="shared" si="2"/>
        <v>Low</v>
      </c>
    </row>
    <row r="151" spans="1:25">
      <c r="A151" t="s">
        <v>264</v>
      </c>
      <c r="B151" s="1">
        <v>44928</v>
      </c>
      <c r="C151" s="2">
        <v>0.76041666666666663</v>
      </c>
      <c r="D151" t="s">
        <v>34</v>
      </c>
      <c r="E151" t="s">
        <v>35</v>
      </c>
      <c r="F151" t="s">
        <v>80</v>
      </c>
      <c r="G151" t="s">
        <v>154</v>
      </c>
      <c r="H151" s="2">
        <v>0.76249999999999996</v>
      </c>
      <c r="I151" s="2">
        <v>0.80138888888888893</v>
      </c>
      <c r="J151">
        <v>5</v>
      </c>
      <c r="K151">
        <v>22</v>
      </c>
      <c r="L151" t="s">
        <v>54</v>
      </c>
      <c r="M151">
        <v>32.5</v>
      </c>
      <c r="N151">
        <v>49</v>
      </c>
      <c r="O151">
        <v>30</v>
      </c>
      <c r="P151">
        <v>14.2</v>
      </c>
      <c r="Q151" t="s">
        <v>71</v>
      </c>
      <c r="R151">
        <v>0</v>
      </c>
      <c r="S151">
        <v>14</v>
      </c>
      <c r="T151">
        <v>1</v>
      </c>
      <c r="U151">
        <v>0</v>
      </c>
      <c r="V151">
        <v>0</v>
      </c>
      <c r="W151" t="s">
        <v>32</v>
      </c>
      <c r="X151">
        <v>1</v>
      </c>
      <c r="Y151" t="str">
        <f t="shared" si="2"/>
        <v>Low</v>
      </c>
    </row>
    <row r="152" spans="1:25">
      <c r="A152" t="s">
        <v>265</v>
      </c>
      <c r="B152" s="1">
        <v>44928</v>
      </c>
      <c r="C152" s="2">
        <v>0.77083333333333337</v>
      </c>
      <c r="D152" t="s">
        <v>26</v>
      </c>
      <c r="E152" t="s">
        <v>98</v>
      </c>
      <c r="F152" t="s">
        <v>43</v>
      </c>
      <c r="G152" t="s">
        <v>70</v>
      </c>
      <c r="H152" s="2">
        <v>0.77152777777777781</v>
      </c>
      <c r="I152" s="2">
        <v>0.80347222222222225</v>
      </c>
      <c r="J152">
        <v>2</v>
      </c>
      <c r="K152">
        <v>22</v>
      </c>
      <c r="L152" t="s">
        <v>45</v>
      </c>
      <c r="M152">
        <v>16.2</v>
      </c>
      <c r="N152">
        <v>37</v>
      </c>
      <c r="O152">
        <v>18</v>
      </c>
      <c r="P152">
        <v>10.7</v>
      </c>
      <c r="Q152" t="s">
        <v>31</v>
      </c>
      <c r="R152">
        <v>0</v>
      </c>
      <c r="S152">
        <v>74</v>
      </c>
      <c r="T152">
        <v>0</v>
      </c>
      <c r="U152">
        <v>0</v>
      </c>
      <c r="V152">
        <v>0</v>
      </c>
      <c r="W152" t="s">
        <v>72</v>
      </c>
      <c r="X152">
        <v>1</v>
      </c>
      <c r="Y152" t="str">
        <f t="shared" si="2"/>
        <v>High</v>
      </c>
    </row>
    <row r="153" spans="1:25">
      <c r="A153" t="s">
        <v>266</v>
      </c>
      <c r="B153" s="1">
        <v>44928</v>
      </c>
      <c r="C153" s="2">
        <v>0.78125</v>
      </c>
      <c r="D153" t="s">
        <v>26</v>
      </c>
      <c r="E153" t="s">
        <v>89</v>
      </c>
      <c r="F153" t="s">
        <v>100</v>
      </c>
      <c r="G153" t="s">
        <v>116</v>
      </c>
      <c r="H153" s="2">
        <v>0.78333333333333333</v>
      </c>
      <c r="I153" s="2">
        <v>0.82013888888888886</v>
      </c>
      <c r="J153">
        <v>6</v>
      </c>
      <c r="K153">
        <v>16</v>
      </c>
      <c r="L153" t="s">
        <v>77</v>
      </c>
      <c r="M153">
        <v>-4.5999999999999996</v>
      </c>
      <c r="N153">
        <v>71</v>
      </c>
      <c r="O153">
        <v>50</v>
      </c>
      <c r="P153">
        <v>18</v>
      </c>
      <c r="Q153" t="s">
        <v>71</v>
      </c>
      <c r="R153">
        <v>0</v>
      </c>
      <c r="S153">
        <v>73</v>
      </c>
      <c r="T153">
        <v>0</v>
      </c>
      <c r="U153">
        <v>1</v>
      </c>
      <c r="V153">
        <v>0</v>
      </c>
      <c r="W153" t="s">
        <v>39</v>
      </c>
      <c r="X153">
        <v>1</v>
      </c>
      <c r="Y153" t="str">
        <f t="shared" si="2"/>
        <v>High</v>
      </c>
    </row>
    <row r="154" spans="1:25">
      <c r="A154" t="s">
        <v>267</v>
      </c>
      <c r="B154" s="1">
        <v>44928</v>
      </c>
      <c r="C154" s="2">
        <v>0.79166666666666663</v>
      </c>
      <c r="D154" t="s">
        <v>41</v>
      </c>
      <c r="E154" t="s">
        <v>27</v>
      </c>
      <c r="F154" t="s">
        <v>148</v>
      </c>
      <c r="G154" t="s">
        <v>43</v>
      </c>
      <c r="H154" s="2">
        <v>0.79236111111111107</v>
      </c>
      <c r="I154" s="2">
        <v>0.80555555555555558</v>
      </c>
      <c r="J154">
        <v>11</v>
      </c>
      <c r="K154">
        <v>24</v>
      </c>
      <c r="L154" t="s">
        <v>84</v>
      </c>
      <c r="M154">
        <v>8.5</v>
      </c>
      <c r="N154">
        <v>99</v>
      </c>
      <c r="O154">
        <v>20</v>
      </c>
      <c r="P154">
        <v>16.2</v>
      </c>
      <c r="Q154" t="s">
        <v>71</v>
      </c>
      <c r="R154">
        <v>0</v>
      </c>
      <c r="S154">
        <v>99</v>
      </c>
      <c r="T154">
        <v>0</v>
      </c>
      <c r="U154">
        <v>0</v>
      </c>
      <c r="V154">
        <v>0</v>
      </c>
      <c r="W154" t="s">
        <v>55</v>
      </c>
      <c r="X154">
        <v>1</v>
      </c>
      <c r="Y154" t="str">
        <f t="shared" si="2"/>
        <v>High</v>
      </c>
    </row>
    <row r="155" spans="1:25">
      <c r="A155" t="s">
        <v>268</v>
      </c>
      <c r="B155" s="1">
        <v>44928</v>
      </c>
      <c r="C155" s="2">
        <v>0.80208333333333337</v>
      </c>
      <c r="D155" t="s">
        <v>26</v>
      </c>
      <c r="E155" t="s">
        <v>52</v>
      </c>
      <c r="F155" t="s">
        <v>122</v>
      </c>
      <c r="G155" t="s">
        <v>81</v>
      </c>
      <c r="H155" s="2">
        <v>0.80208333333333337</v>
      </c>
      <c r="I155" s="2">
        <v>0.82222222222222219</v>
      </c>
      <c r="J155">
        <v>9</v>
      </c>
      <c r="K155">
        <v>16</v>
      </c>
      <c r="L155" t="s">
        <v>30</v>
      </c>
      <c r="M155">
        <v>10.9</v>
      </c>
      <c r="N155">
        <v>45</v>
      </c>
      <c r="O155">
        <v>2</v>
      </c>
      <c r="P155">
        <v>6.4</v>
      </c>
      <c r="Q155" t="s">
        <v>101</v>
      </c>
      <c r="R155">
        <v>10000</v>
      </c>
      <c r="S155">
        <v>13</v>
      </c>
      <c r="T155">
        <v>0</v>
      </c>
      <c r="U155">
        <v>0</v>
      </c>
      <c r="V155">
        <v>0</v>
      </c>
      <c r="W155" t="s">
        <v>72</v>
      </c>
      <c r="X155">
        <v>1</v>
      </c>
      <c r="Y155" t="str">
        <f t="shared" si="2"/>
        <v>Low</v>
      </c>
    </row>
    <row r="156" spans="1:25">
      <c r="A156" t="s">
        <v>269</v>
      </c>
      <c r="B156" s="1">
        <v>44928</v>
      </c>
      <c r="C156" s="2">
        <v>0.8125</v>
      </c>
      <c r="D156" t="s">
        <v>41</v>
      </c>
      <c r="E156" t="s">
        <v>61</v>
      </c>
      <c r="F156" t="s">
        <v>49</v>
      </c>
      <c r="G156" t="s">
        <v>148</v>
      </c>
      <c r="H156" s="2">
        <v>0.8125</v>
      </c>
      <c r="I156" s="2">
        <v>0.82847222222222228</v>
      </c>
      <c r="J156">
        <v>1</v>
      </c>
      <c r="K156">
        <v>7</v>
      </c>
      <c r="L156" t="s">
        <v>84</v>
      </c>
      <c r="M156">
        <v>8.6</v>
      </c>
      <c r="N156">
        <v>98</v>
      </c>
      <c r="O156">
        <v>5</v>
      </c>
      <c r="P156">
        <v>10.1</v>
      </c>
      <c r="Q156" t="s">
        <v>46</v>
      </c>
      <c r="R156">
        <v>10000</v>
      </c>
      <c r="S156">
        <v>65</v>
      </c>
      <c r="T156">
        <v>0</v>
      </c>
      <c r="U156">
        <v>0</v>
      </c>
      <c r="V156">
        <v>0</v>
      </c>
      <c r="W156" t="s">
        <v>32</v>
      </c>
      <c r="X156">
        <v>1</v>
      </c>
      <c r="Y156" t="str">
        <f t="shared" si="2"/>
        <v>Medium</v>
      </c>
    </row>
    <row r="157" spans="1:25">
      <c r="A157" t="s">
        <v>270</v>
      </c>
      <c r="B157" s="1">
        <v>44928</v>
      </c>
      <c r="C157" s="2">
        <v>0.82291666666666663</v>
      </c>
      <c r="D157" t="s">
        <v>74</v>
      </c>
      <c r="E157" t="s">
        <v>147</v>
      </c>
      <c r="F157" t="s">
        <v>65</v>
      </c>
      <c r="G157" t="s">
        <v>29</v>
      </c>
      <c r="H157" s="2">
        <v>0.82361111111111107</v>
      </c>
      <c r="I157" s="2">
        <v>0.86041666666666672</v>
      </c>
      <c r="J157">
        <v>17</v>
      </c>
      <c r="K157">
        <v>6</v>
      </c>
      <c r="L157" t="s">
        <v>77</v>
      </c>
      <c r="M157">
        <v>12.5</v>
      </c>
      <c r="N157">
        <v>82</v>
      </c>
      <c r="O157">
        <v>31</v>
      </c>
      <c r="P157">
        <v>15</v>
      </c>
      <c r="Q157" t="s">
        <v>31</v>
      </c>
      <c r="R157">
        <v>500</v>
      </c>
      <c r="S157">
        <v>44</v>
      </c>
      <c r="T157">
        <v>0</v>
      </c>
      <c r="U157">
        <v>0</v>
      </c>
      <c r="V157">
        <v>0</v>
      </c>
      <c r="W157" t="s">
        <v>32</v>
      </c>
      <c r="X157">
        <v>1</v>
      </c>
      <c r="Y157" t="str">
        <f t="shared" si="2"/>
        <v>Medium</v>
      </c>
    </row>
    <row r="158" spans="1:25">
      <c r="A158" t="s">
        <v>271</v>
      </c>
      <c r="B158" s="1">
        <v>44928</v>
      </c>
      <c r="C158" s="2">
        <v>0.83333333333333337</v>
      </c>
      <c r="D158" t="s">
        <v>26</v>
      </c>
      <c r="E158" t="s">
        <v>141</v>
      </c>
      <c r="F158" t="s">
        <v>109</v>
      </c>
      <c r="G158" t="s">
        <v>122</v>
      </c>
      <c r="H158" s="2">
        <v>0.83472222222222225</v>
      </c>
      <c r="I158" s="2">
        <v>0.85347222222222219</v>
      </c>
      <c r="J158">
        <v>5</v>
      </c>
      <c r="K158">
        <v>19</v>
      </c>
      <c r="L158" t="s">
        <v>54</v>
      </c>
      <c r="M158">
        <v>20.3</v>
      </c>
      <c r="N158">
        <v>74</v>
      </c>
      <c r="O158">
        <v>1</v>
      </c>
      <c r="P158">
        <v>3.9</v>
      </c>
      <c r="Q158" t="s">
        <v>59</v>
      </c>
      <c r="R158">
        <v>0</v>
      </c>
      <c r="S158">
        <v>47</v>
      </c>
      <c r="T158">
        <v>0</v>
      </c>
      <c r="U158">
        <v>1</v>
      </c>
      <c r="V158">
        <v>0</v>
      </c>
      <c r="W158" t="s">
        <v>55</v>
      </c>
      <c r="X158">
        <v>1</v>
      </c>
      <c r="Y158" t="str">
        <f t="shared" si="2"/>
        <v>Medium</v>
      </c>
    </row>
    <row r="159" spans="1:25">
      <c r="A159" t="s">
        <v>272</v>
      </c>
      <c r="B159" s="1">
        <v>44928</v>
      </c>
      <c r="C159" s="2">
        <v>0.84375</v>
      </c>
      <c r="D159" t="s">
        <v>74</v>
      </c>
      <c r="E159" t="s">
        <v>27</v>
      </c>
      <c r="F159" t="s">
        <v>81</v>
      </c>
      <c r="G159" t="s">
        <v>197</v>
      </c>
      <c r="H159" s="2">
        <v>0.84652777777777777</v>
      </c>
      <c r="I159" s="2">
        <v>0.86458333333333337</v>
      </c>
      <c r="J159">
        <v>14</v>
      </c>
      <c r="K159">
        <v>15</v>
      </c>
      <c r="L159" t="s">
        <v>30</v>
      </c>
      <c r="M159">
        <v>-0.2</v>
      </c>
      <c r="N159">
        <v>80</v>
      </c>
      <c r="O159">
        <v>23</v>
      </c>
      <c r="P159">
        <v>0.6</v>
      </c>
      <c r="Q159" t="s">
        <v>63</v>
      </c>
      <c r="R159">
        <v>2000</v>
      </c>
      <c r="S159">
        <v>43</v>
      </c>
      <c r="T159">
        <v>0</v>
      </c>
      <c r="U159">
        <v>0</v>
      </c>
      <c r="V159">
        <v>0</v>
      </c>
      <c r="W159" t="s">
        <v>39</v>
      </c>
      <c r="X159">
        <v>1</v>
      </c>
      <c r="Y159" t="str">
        <f t="shared" si="2"/>
        <v>Medium</v>
      </c>
    </row>
    <row r="160" spans="1:25">
      <c r="A160" t="s">
        <v>273</v>
      </c>
      <c r="B160" s="1">
        <v>44928</v>
      </c>
      <c r="C160" s="2">
        <v>0.85416666666666663</v>
      </c>
      <c r="D160" t="s">
        <v>41</v>
      </c>
      <c r="E160" t="s">
        <v>68</v>
      </c>
      <c r="F160" t="s">
        <v>105</v>
      </c>
      <c r="G160" t="s">
        <v>62</v>
      </c>
      <c r="H160" s="2">
        <v>0.85624999999999996</v>
      </c>
      <c r="I160" s="2">
        <v>0.87708333333333333</v>
      </c>
      <c r="J160">
        <v>5</v>
      </c>
      <c r="K160">
        <v>14</v>
      </c>
      <c r="L160" t="s">
        <v>38</v>
      </c>
      <c r="M160">
        <v>5.9</v>
      </c>
      <c r="N160">
        <v>35</v>
      </c>
      <c r="O160">
        <v>44</v>
      </c>
      <c r="P160">
        <v>17</v>
      </c>
      <c r="Q160" t="s">
        <v>31</v>
      </c>
      <c r="R160">
        <v>500</v>
      </c>
      <c r="S160">
        <v>36</v>
      </c>
      <c r="T160">
        <v>1</v>
      </c>
      <c r="U160">
        <v>0</v>
      </c>
      <c r="V160">
        <v>0</v>
      </c>
      <c r="W160" t="s">
        <v>55</v>
      </c>
      <c r="X160">
        <v>1</v>
      </c>
      <c r="Y160" t="str">
        <f t="shared" si="2"/>
        <v>Medium</v>
      </c>
    </row>
    <row r="161" spans="1:25">
      <c r="A161" t="s">
        <v>274</v>
      </c>
      <c r="B161" s="1">
        <v>44928</v>
      </c>
      <c r="C161" s="2">
        <v>0.86458333333333337</v>
      </c>
      <c r="D161" t="s">
        <v>34</v>
      </c>
      <c r="E161" t="s">
        <v>52</v>
      </c>
      <c r="F161" t="s">
        <v>203</v>
      </c>
      <c r="G161" t="s">
        <v>37</v>
      </c>
      <c r="H161" s="2">
        <v>0.8666666666666667</v>
      </c>
      <c r="I161" s="2">
        <v>0.90416666666666667</v>
      </c>
      <c r="J161">
        <v>18</v>
      </c>
      <c r="K161">
        <v>23</v>
      </c>
      <c r="L161" t="s">
        <v>54</v>
      </c>
      <c r="M161">
        <v>15.3</v>
      </c>
      <c r="N161">
        <v>62</v>
      </c>
      <c r="O161">
        <v>58</v>
      </c>
      <c r="P161">
        <v>2.8</v>
      </c>
      <c r="Q161" t="s">
        <v>31</v>
      </c>
      <c r="R161">
        <v>50000</v>
      </c>
      <c r="S161">
        <v>28</v>
      </c>
      <c r="T161">
        <v>0</v>
      </c>
      <c r="U161">
        <v>0</v>
      </c>
      <c r="V161">
        <v>0</v>
      </c>
      <c r="W161" t="s">
        <v>39</v>
      </c>
      <c r="X161">
        <v>1</v>
      </c>
      <c r="Y161" t="str">
        <f t="shared" si="2"/>
        <v>Low</v>
      </c>
    </row>
    <row r="162" spans="1:25">
      <c r="A162" t="s">
        <v>275</v>
      </c>
      <c r="B162" s="1">
        <v>44928</v>
      </c>
      <c r="C162" s="2">
        <v>0.875</v>
      </c>
      <c r="D162" t="s">
        <v>26</v>
      </c>
      <c r="E162" t="s">
        <v>61</v>
      </c>
      <c r="F162" t="s">
        <v>151</v>
      </c>
      <c r="G162" t="s">
        <v>203</v>
      </c>
      <c r="H162" s="2">
        <v>0.87708333333333333</v>
      </c>
      <c r="I162" s="2">
        <v>0.89652777777777781</v>
      </c>
      <c r="J162">
        <v>-2</v>
      </c>
      <c r="K162">
        <v>2</v>
      </c>
      <c r="L162" t="s">
        <v>54</v>
      </c>
      <c r="M162">
        <v>7.6</v>
      </c>
      <c r="N162">
        <v>44</v>
      </c>
      <c r="O162">
        <v>59</v>
      </c>
      <c r="P162">
        <v>17.8</v>
      </c>
      <c r="Q162" t="s">
        <v>46</v>
      </c>
      <c r="R162">
        <v>0</v>
      </c>
      <c r="S162">
        <v>98</v>
      </c>
      <c r="T162">
        <v>0</v>
      </c>
      <c r="U162">
        <v>0</v>
      </c>
      <c r="V162">
        <v>0</v>
      </c>
      <c r="W162" t="s">
        <v>72</v>
      </c>
      <c r="X162">
        <v>0</v>
      </c>
      <c r="Y162" t="str">
        <f t="shared" si="2"/>
        <v>High</v>
      </c>
    </row>
    <row r="163" spans="1:25">
      <c r="A163" t="s">
        <v>276</v>
      </c>
      <c r="B163" s="1">
        <v>44928</v>
      </c>
      <c r="C163" s="2">
        <v>0.88541666666666663</v>
      </c>
      <c r="D163" t="s">
        <v>41</v>
      </c>
      <c r="E163" t="s">
        <v>42</v>
      </c>
      <c r="F163" t="s">
        <v>69</v>
      </c>
      <c r="G163" t="s">
        <v>50</v>
      </c>
      <c r="H163" s="2">
        <v>0.88541666666666663</v>
      </c>
      <c r="I163" s="2">
        <v>0.91041666666666665</v>
      </c>
      <c r="J163">
        <v>17</v>
      </c>
      <c r="K163">
        <v>6</v>
      </c>
      <c r="L163" t="s">
        <v>45</v>
      </c>
      <c r="M163">
        <v>34.6</v>
      </c>
      <c r="N163">
        <v>43</v>
      </c>
      <c r="O163">
        <v>26</v>
      </c>
      <c r="P163">
        <v>18.3</v>
      </c>
      <c r="Q163" t="s">
        <v>63</v>
      </c>
      <c r="R163">
        <v>0</v>
      </c>
      <c r="S163">
        <v>83</v>
      </c>
      <c r="T163">
        <v>0</v>
      </c>
      <c r="U163">
        <v>0</v>
      </c>
      <c r="V163">
        <v>0</v>
      </c>
      <c r="W163" t="s">
        <v>32</v>
      </c>
      <c r="X163">
        <v>1</v>
      </c>
      <c r="Y163" t="str">
        <f t="shared" si="2"/>
        <v>High</v>
      </c>
    </row>
    <row r="164" spans="1:25">
      <c r="A164" t="s">
        <v>277</v>
      </c>
      <c r="B164" s="1">
        <v>44928</v>
      </c>
      <c r="C164" s="2">
        <v>0.89583333333333337</v>
      </c>
      <c r="D164" t="s">
        <v>34</v>
      </c>
      <c r="E164" t="s">
        <v>79</v>
      </c>
      <c r="F164" t="s">
        <v>58</v>
      </c>
      <c r="G164" t="s">
        <v>95</v>
      </c>
      <c r="H164" s="2">
        <v>0.8979166666666667</v>
      </c>
      <c r="I164" s="2">
        <v>0.92013888888888884</v>
      </c>
      <c r="J164">
        <v>-1</v>
      </c>
      <c r="K164">
        <v>-2</v>
      </c>
      <c r="L164" t="s">
        <v>77</v>
      </c>
      <c r="M164">
        <v>12.3</v>
      </c>
      <c r="N164">
        <v>68</v>
      </c>
      <c r="O164">
        <v>8</v>
      </c>
      <c r="P164">
        <v>9.1999999999999993</v>
      </c>
      <c r="Q164" t="s">
        <v>31</v>
      </c>
      <c r="R164">
        <v>50000</v>
      </c>
      <c r="S164">
        <v>84</v>
      </c>
      <c r="T164">
        <v>0</v>
      </c>
      <c r="U164">
        <v>0</v>
      </c>
      <c r="V164">
        <v>0</v>
      </c>
      <c r="W164" t="s">
        <v>39</v>
      </c>
      <c r="X164">
        <v>0</v>
      </c>
      <c r="Y164" t="str">
        <f t="shared" si="2"/>
        <v>High</v>
      </c>
    </row>
    <row r="165" spans="1:25">
      <c r="A165" t="s">
        <v>278</v>
      </c>
      <c r="B165" s="1">
        <v>44928</v>
      </c>
      <c r="C165" s="2">
        <v>0.90625</v>
      </c>
      <c r="D165" t="s">
        <v>34</v>
      </c>
      <c r="E165" t="s">
        <v>68</v>
      </c>
      <c r="F165" t="s">
        <v>105</v>
      </c>
      <c r="G165" t="s">
        <v>122</v>
      </c>
      <c r="H165" s="2">
        <v>0.90902777777777777</v>
      </c>
      <c r="I165" s="2">
        <v>0.94374999999999998</v>
      </c>
      <c r="J165">
        <v>1</v>
      </c>
      <c r="K165">
        <v>20</v>
      </c>
      <c r="L165" t="s">
        <v>45</v>
      </c>
      <c r="M165">
        <v>29.8</v>
      </c>
      <c r="N165">
        <v>92</v>
      </c>
      <c r="O165">
        <v>12</v>
      </c>
      <c r="P165">
        <v>16.100000000000001</v>
      </c>
      <c r="Q165" t="s">
        <v>31</v>
      </c>
      <c r="R165">
        <v>50000</v>
      </c>
      <c r="S165">
        <v>33</v>
      </c>
      <c r="T165">
        <v>0</v>
      </c>
      <c r="U165">
        <v>0</v>
      </c>
      <c r="V165">
        <v>0</v>
      </c>
      <c r="W165" t="s">
        <v>55</v>
      </c>
      <c r="X165">
        <v>1</v>
      </c>
      <c r="Y165" t="str">
        <f t="shared" si="2"/>
        <v>Low</v>
      </c>
    </row>
    <row r="166" spans="1:25">
      <c r="A166" t="s">
        <v>279</v>
      </c>
      <c r="B166" s="1">
        <v>44928</v>
      </c>
      <c r="C166" s="2">
        <v>0.91666666666666663</v>
      </c>
      <c r="D166" t="s">
        <v>74</v>
      </c>
      <c r="E166" t="s">
        <v>61</v>
      </c>
      <c r="F166" t="s">
        <v>135</v>
      </c>
      <c r="G166" t="s">
        <v>163</v>
      </c>
      <c r="H166" s="2">
        <v>0.9194444444444444</v>
      </c>
      <c r="I166" s="2">
        <v>0.93125000000000002</v>
      </c>
      <c r="J166">
        <v>18</v>
      </c>
      <c r="K166">
        <v>24</v>
      </c>
      <c r="L166" t="s">
        <v>45</v>
      </c>
      <c r="M166">
        <v>30.9</v>
      </c>
      <c r="N166">
        <v>34</v>
      </c>
      <c r="O166">
        <v>54</v>
      </c>
      <c r="P166">
        <v>7.3</v>
      </c>
      <c r="Q166" t="s">
        <v>31</v>
      </c>
      <c r="R166">
        <v>0</v>
      </c>
      <c r="S166">
        <v>58</v>
      </c>
      <c r="T166">
        <v>0</v>
      </c>
      <c r="U166">
        <v>0</v>
      </c>
      <c r="V166">
        <v>0</v>
      </c>
      <c r="W166" t="s">
        <v>72</v>
      </c>
      <c r="X166">
        <v>1</v>
      </c>
      <c r="Y166" t="str">
        <f t="shared" si="2"/>
        <v>Medium</v>
      </c>
    </row>
    <row r="167" spans="1:25">
      <c r="A167" t="s">
        <v>280</v>
      </c>
      <c r="B167" s="1">
        <v>44928</v>
      </c>
      <c r="C167" s="2">
        <v>0.92708333333333337</v>
      </c>
      <c r="D167" t="s">
        <v>41</v>
      </c>
      <c r="E167" t="s">
        <v>42</v>
      </c>
      <c r="F167" t="s">
        <v>116</v>
      </c>
      <c r="G167" t="s">
        <v>168</v>
      </c>
      <c r="H167" s="2">
        <v>0.92777777777777781</v>
      </c>
      <c r="I167" s="2">
        <v>0.94791666666666663</v>
      </c>
      <c r="J167">
        <v>-2</v>
      </c>
      <c r="K167">
        <v>24</v>
      </c>
      <c r="L167" t="s">
        <v>84</v>
      </c>
      <c r="M167">
        <v>28.4</v>
      </c>
      <c r="N167">
        <v>81</v>
      </c>
      <c r="O167">
        <v>13</v>
      </c>
      <c r="P167">
        <v>17.2</v>
      </c>
      <c r="Q167" t="s">
        <v>46</v>
      </c>
      <c r="R167">
        <v>0</v>
      </c>
      <c r="S167">
        <v>42</v>
      </c>
      <c r="T167">
        <v>0</v>
      </c>
      <c r="U167">
        <v>1</v>
      </c>
      <c r="V167">
        <v>0</v>
      </c>
      <c r="W167" t="s">
        <v>39</v>
      </c>
      <c r="X167">
        <v>1</v>
      </c>
      <c r="Y167" t="str">
        <f t="shared" si="2"/>
        <v>Medium</v>
      </c>
    </row>
    <row r="168" spans="1:25">
      <c r="A168" t="s">
        <v>281</v>
      </c>
      <c r="B168" s="1">
        <v>44928</v>
      </c>
      <c r="C168" s="2">
        <v>0.9375</v>
      </c>
      <c r="D168" t="s">
        <v>34</v>
      </c>
      <c r="E168" t="s">
        <v>93</v>
      </c>
      <c r="F168" t="s">
        <v>44</v>
      </c>
      <c r="G168" t="s">
        <v>113</v>
      </c>
      <c r="H168" s="2">
        <v>0.9375</v>
      </c>
      <c r="I168" s="2">
        <v>0.95277777777777772</v>
      </c>
      <c r="J168">
        <v>4</v>
      </c>
      <c r="K168">
        <v>-2</v>
      </c>
      <c r="L168" t="s">
        <v>54</v>
      </c>
      <c r="M168">
        <v>-3.1</v>
      </c>
      <c r="N168">
        <v>45</v>
      </c>
      <c r="O168">
        <v>50</v>
      </c>
      <c r="P168">
        <v>16.5</v>
      </c>
      <c r="Q168" t="s">
        <v>101</v>
      </c>
      <c r="R168">
        <v>10000</v>
      </c>
      <c r="S168">
        <v>32</v>
      </c>
      <c r="T168">
        <v>0</v>
      </c>
      <c r="U168">
        <v>0</v>
      </c>
      <c r="V168">
        <v>0</v>
      </c>
      <c r="W168" t="s">
        <v>72</v>
      </c>
      <c r="X168">
        <v>0</v>
      </c>
      <c r="Y168" t="str">
        <f t="shared" si="2"/>
        <v>Low</v>
      </c>
    </row>
    <row r="169" spans="1:25">
      <c r="A169" t="s">
        <v>282</v>
      </c>
      <c r="B169" s="1">
        <v>44928</v>
      </c>
      <c r="C169" s="2">
        <v>0.94791666666666663</v>
      </c>
      <c r="D169" t="s">
        <v>26</v>
      </c>
      <c r="E169" t="s">
        <v>61</v>
      </c>
      <c r="F169" t="s">
        <v>151</v>
      </c>
      <c r="G169" t="s">
        <v>75</v>
      </c>
      <c r="H169" s="2">
        <v>0.9506944444444444</v>
      </c>
      <c r="I169" s="2">
        <v>0.98124999999999996</v>
      </c>
      <c r="J169">
        <v>-2</v>
      </c>
      <c r="K169">
        <v>1</v>
      </c>
      <c r="L169" t="s">
        <v>77</v>
      </c>
      <c r="M169">
        <v>32.9</v>
      </c>
      <c r="N169">
        <v>67</v>
      </c>
      <c r="O169">
        <v>10</v>
      </c>
      <c r="P169">
        <v>1.6</v>
      </c>
      <c r="Q169" t="s">
        <v>31</v>
      </c>
      <c r="R169">
        <v>0</v>
      </c>
      <c r="S169">
        <v>18</v>
      </c>
      <c r="T169">
        <v>0</v>
      </c>
      <c r="U169">
        <v>1</v>
      </c>
      <c r="V169">
        <v>0</v>
      </c>
      <c r="W169" t="s">
        <v>72</v>
      </c>
      <c r="X169">
        <v>0</v>
      </c>
      <c r="Y169" t="str">
        <f t="shared" si="2"/>
        <v>Low</v>
      </c>
    </row>
    <row r="170" spans="1:25">
      <c r="A170" t="s">
        <v>283</v>
      </c>
      <c r="B170" s="1">
        <v>44928</v>
      </c>
      <c r="C170" s="2">
        <v>0.95833333333333337</v>
      </c>
      <c r="D170" t="s">
        <v>26</v>
      </c>
      <c r="E170" t="s">
        <v>93</v>
      </c>
      <c r="F170" t="s">
        <v>163</v>
      </c>
      <c r="G170" t="s">
        <v>118</v>
      </c>
      <c r="H170" s="2">
        <v>0.95972222222222225</v>
      </c>
      <c r="I170" s="2">
        <v>0.98402777777777772</v>
      </c>
      <c r="J170">
        <v>6</v>
      </c>
      <c r="K170">
        <v>7</v>
      </c>
      <c r="L170" t="s">
        <v>45</v>
      </c>
      <c r="M170">
        <v>0.1</v>
      </c>
      <c r="N170">
        <v>82</v>
      </c>
      <c r="O170">
        <v>13</v>
      </c>
      <c r="P170">
        <v>11.7</v>
      </c>
      <c r="Q170" t="s">
        <v>31</v>
      </c>
      <c r="R170">
        <v>2000</v>
      </c>
      <c r="S170">
        <v>7</v>
      </c>
      <c r="T170">
        <v>1</v>
      </c>
      <c r="U170">
        <v>0</v>
      </c>
      <c r="V170">
        <v>0</v>
      </c>
      <c r="W170" t="s">
        <v>55</v>
      </c>
      <c r="X170">
        <v>1</v>
      </c>
      <c r="Y170" t="str">
        <f t="shared" si="2"/>
        <v>Low</v>
      </c>
    </row>
    <row r="171" spans="1:25">
      <c r="A171" t="s">
        <v>284</v>
      </c>
      <c r="B171" s="1">
        <v>44928</v>
      </c>
      <c r="C171" s="2">
        <v>0.96875</v>
      </c>
      <c r="D171" t="s">
        <v>74</v>
      </c>
      <c r="E171" t="s">
        <v>57</v>
      </c>
      <c r="F171" t="s">
        <v>90</v>
      </c>
      <c r="G171" t="s">
        <v>128</v>
      </c>
      <c r="H171" s="2">
        <v>0.96875</v>
      </c>
      <c r="I171" s="2">
        <v>0.99583333333333335</v>
      </c>
      <c r="J171">
        <v>0</v>
      </c>
      <c r="K171">
        <v>6</v>
      </c>
      <c r="L171" t="s">
        <v>38</v>
      </c>
      <c r="M171">
        <v>-3.6</v>
      </c>
      <c r="N171">
        <v>82</v>
      </c>
      <c r="O171">
        <v>15</v>
      </c>
      <c r="P171">
        <v>12.8</v>
      </c>
      <c r="Q171" t="s">
        <v>101</v>
      </c>
      <c r="R171">
        <v>0</v>
      </c>
      <c r="S171">
        <v>30</v>
      </c>
      <c r="T171">
        <v>0</v>
      </c>
      <c r="U171">
        <v>0</v>
      </c>
      <c r="V171">
        <v>0</v>
      </c>
      <c r="W171" t="s">
        <v>55</v>
      </c>
      <c r="X171">
        <v>1</v>
      </c>
      <c r="Y171" t="str">
        <f t="shared" si="2"/>
        <v>Low</v>
      </c>
    </row>
    <row r="172" spans="1:25">
      <c r="A172" t="s">
        <v>285</v>
      </c>
      <c r="B172" s="1">
        <v>44928</v>
      </c>
      <c r="C172" s="2">
        <v>0.97916666666666663</v>
      </c>
      <c r="D172" t="s">
        <v>34</v>
      </c>
      <c r="E172" t="s">
        <v>79</v>
      </c>
      <c r="F172" t="s">
        <v>118</v>
      </c>
      <c r="G172" t="s">
        <v>100</v>
      </c>
      <c r="H172" s="2">
        <v>0.97916666666666663</v>
      </c>
      <c r="I172" s="2">
        <v>2.0833333333333333E-3</v>
      </c>
      <c r="J172">
        <v>9</v>
      </c>
      <c r="K172">
        <v>-2</v>
      </c>
      <c r="L172" t="s">
        <v>30</v>
      </c>
      <c r="M172">
        <v>11.6</v>
      </c>
      <c r="N172">
        <v>75</v>
      </c>
      <c r="O172">
        <v>9</v>
      </c>
      <c r="P172">
        <v>0</v>
      </c>
      <c r="Q172" t="s">
        <v>31</v>
      </c>
      <c r="R172">
        <v>0</v>
      </c>
      <c r="S172">
        <v>10</v>
      </c>
      <c r="T172">
        <v>1</v>
      </c>
      <c r="U172">
        <v>1</v>
      </c>
      <c r="V172">
        <v>0</v>
      </c>
      <c r="W172" t="s">
        <v>72</v>
      </c>
      <c r="X172">
        <v>0</v>
      </c>
      <c r="Y172" t="str">
        <f t="shared" si="2"/>
        <v>Low</v>
      </c>
    </row>
    <row r="173" spans="1:25">
      <c r="A173" t="s">
        <v>286</v>
      </c>
      <c r="B173" s="1">
        <v>44928</v>
      </c>
      <c r="C173" s="2">
        <v>0.98958333333333337</v>
      </c>
      <c r="D173" t="s">
        <v>41</v>
      </c>
      <c r="E173" t="s">
        <v>52</v>
      </c>
      <c r="F173" t="s">
        <v>70</v>
      </c>
      <c r="G173" t="s">
        <v>43</v>
      </c>
      <c r="H173" s="2">
        <v>0.99236111111111114</v>
      </c>
      <c r="I173" s="2">
        <v>2.6388888888888889E-2</v>
      </c>
      <c r="J173">
        <v>16</v>
      </c>
      <c r="K173">
        <v>11</v>
      </c>
      <c r="L173" t="s">
        <v>77</v>
      </c>
      <c r="M173">
        <v>2.8</v>
      </c>
      <c r="N173">
        <v>44</v>
      </c>
      <c r="O173">
        <v>19</v>
      </c>
      <c r="P173">
        <v>19.600000000000001</v>
      </c>
      <c r="Q173" t="s">
        <v>101</v>
      </c>
      <c r="R173">
        <v>0</v>
      </c>
      <c r="S173">
        <v>7</v>
      </c>
      <c r="T173">
        <v>1</v>
      </c>
      <c r="U173">
        <v>0</v>
      </c>
      <c r="V173">
        <v>0</v>
      </c>
      <c r="W173" t="s">
        <v>72</v>
      </c>
      <c r="X173">
        <v>1</v>
      </c>
      <c r="Y173" t="str">
        <f t="shared" si="2"/>
        <v>Low</v>
      </c>
    </row>
    <row r="174" spans="1:25">
      <c r="A174" t="s">
        <v>287</v>
      </c>
      <c r="B174" s="1">
        <v>44929</v>
      </c>
      <c r="C174" s="2">
        <v>0</v>
      </c>
      <c r="D174" t="s">
        <v>26</v>
      </c>
      <c r="E174" t="s">
        <v>93</v>
      </c>
      <c r="F174" t="s">
        <v>29</v>
      </c>
      <c r="G174" t="s">
        <v>122</v>
      </c>
      <c r="H174" s="2">
        <v>1.3888888888888889E-3</v>
      </c>
      <c r="I174" s="2">
        <v>3.4722222222222224E-2</v>
      </c>
      <c r="J174">
        <v>12</v>
      </c>
      <c r="K174">
        <v>3</v>
      </c>
      <c r="L174" t="s">
        <v>84</v>
      </c>
      <c r="M174">
        <v>2.4</v>
      </c>
      <c r="N174">
        <v>88</v>
      </c>
      <c r="O174">
        <v>15</v>
      </c>
      <c r="P174">
        <v>8.1</v>
      </c>
      <c r="Q174" t="s">
        <v>31</v>
      </c>
      <c r="R174">
        <v>0</v>
      </c>
      <c r="S174">
        <v>24</v>
      </c>
      <c r="T174">
        <v>1</v>
      </c>
      <c r="U174">
        <v>0</v>
      </c>
      <c r="V174">
        <v>1</v>
      </c>
      <c r="W174" t="s">
        <v>39</v>
      </c>
      <c r="X174">
        <v>0</v>
      </c>
      <c r="Y174" t="str">
        <f t="shared" si="2"/>
        <v>Low</v>
      </c>
    </row>
    <row r="175" spans="1:25">
      <c r="A175" t="s">
        <v>288</v>
      </c>
      <c r="B175" s="1">
        <v>44929</v>
      </c>
      <c r="C175" s="2">
        <v>1.0416666666666666E-2</v>
      </c>
      <c r="D175" t="s">
        <v>34</v>
      </c>
      <c r="E175" t="s">
        <v>48</v>
      </c>
      <c r="F175" t="s">
        <v>194</v>
      </c>
      <c r="G175" t="s">
        <v>62</v>
      </c>
      <c r="H175" s="2">
        <v>1.1111111111111112E-2</v>
      </c>
      <c r="I175" s="2">
        <v>5.1388888888888887E-2</v>
      </c>
      <c r="J175">
        <v>19</v>
      </c>
      <c r="K175">
        <v>16</v>
      </c>
      <c r="L175" t="s">
        <v>77</v>
      </c>
      <c r="M175">
        <v>6.5</v>
      </c>
      <c r="N175">
        <v>79</v>
      </c>
      <c r="O175">
        <v>59</v>
      </c>
      <c r="P175">
        <v>10.3</v>
      </c>
      <c r="Q175" t="s">
        <v>31</v>
      </c>
      <c r="R175">
        <v>0</v>
      </c>
      <c r="S175">
        <v>19</v>
      </c>
      <c r="T175">
        <v>0</v>
      </c>
      <c r="U175">
        <v>0</v>
      </c>
      <c r="V175">
        <v>1</v>
      </c>
      <c r="W175" t="s">
        <v>55</v>
      </c>
      <c r="X175">
        <v>1</v>
      </c>
      <c r="Y175" t="str">
        <f t="shared" si="2"/>
        <v>Low</v>
      </c>
    </row>
    <row r="176" spans="1:25">
      <c r="A176" t="s">
        <v>289</v>
      </c>
      <c r="B176" s="1">
        <v>44929</v>
      </c>
      <c r="C176" s="2">
        <v>2.0833333333333332E-2</v>
      </c>
      <c r="D176" t="s">
        <v>34</v>
      </c>
      <c r="E176" t="s">
        <v>130</v>
      </c>
      <c r="F176" t="s">
        <v>37</v>
      </c>
      <c r="G176" t="s">
        <v>151</v>
      </c>
      <c r="H176" s="2">
        <v>2.361111111111111E-2</v>
      </c>
      <c r="I176" s="2">
        <v>4.6527777777777779E-2</v>
      </c>
      <c r="J176">
        <v>13</v>
      </c>
      <c r="K176">
        <v>18</v>
      </c>
      <c r="L176" t="s">
        <v>54</v>
      </c>
      <c r="M176">
        <v>4.9000000000000004</v>
      </c>
      <c r="N176">
        <v>38</v>
      </c>
      <c r="O176">
        <v>57</v>
      </c>
      <c r="P176">
        <v>3.9</v>
      </c>
      <c r="Q176" t="s">
        <v>31</v>
      </c>
      <c r="R176">
        <v>0</v>
      </c>
      <c r="S176">
        <v>37</v>
      </c>
      <c r="T176">
        <v>0</v>
      </c>
      <c r="U176">
        <v>0</v>
      </c>
      <c r="V176">
        <v>1</v>
      </c>
      <c r="W176" t="s">
        <v>39</v>
      </c>
      <c r="X176">
        <v>1</v>
      </c>
      <c r="Y176" t="str">
        <f t="shared" si="2"/>
        <v>Medium</v>
      </c>
    </row>
    <row r="177" spans="1:25">
      <c r="A177" t="s">
        <v>290</v>
      </c>
      <c r="B177" s="1">
        <v>44929</v>
      </c>
      <c r="C177" s="2">
        <v>3.125E-2</v>
      </c>
      <c r="D177" t="s">
        <v>74</v>
      </c>
      <c r="E177" t="s">
        <v>52</v>
      </c>
      <c r="F177" t="s">
        <v>37</v>
      </c>
      <c r="G177" t="s">
        <v>122</v>
      </c>
      <c r="H177" s="2">
        <v>3.2638888888888891E-2</v>
      </c>
      <c r="I177" s="2">
        <v>6.5277777777777782E-2</v>
      </c>
      <c r="J177">
        <v>7</v>
      </c>
      <c r="K177">
        <v>27</v>
      </c>
      <c r="L177" t="s">
        <v>84</v>
      </c>
      <c r="M177">
        <v>22.4</v>
      </c>
      <c r="N177">
        <v>55</v>
      </c>
      <c r="O177">
        <v>33</v>
      </c>
      <c r="P177">
        <v>12.2</v>
      </c>
      <c r="Q177" t="s">
        <v>71</v>
      </c>
      <c r="R177">
        <v>0</v>
      </c>
      <c r="S177">
        <v>6</v>
      </c>
      <c r="T177">
        <v>1</v>
      </c>
      <c r="U177">
        <v>0</v>
      </c>
      <c r="V177">
        <v>1</v>
      </c>
      <c r="W177" t="s">
        <v>32</v>
      </c>
      <c r="X177">
        <v>1</v>
      </c>
      <c r="Y177" t="str">
        <f t="shared" si="2"/>
        <v>Low</v>
      </c>
    </row>
    <row r="178" spans="1:25">
      <c r="A178" t="s">
        <v>291</v>
      </c>
      <c r="B178" s="1">
        <v>44929</v>
      </c>
      <c r="C178" s="2">
        <v>4.1666666666666664E-2</v>
      </c>
      <c r="D178" t="s">
        <v>26</v>
      </c>
      <c r="E178" t="s">
        <v>141</v>
      </c>
      <c r="F178" t="s">
        <v>148</v>
      </c>
      <c r="G178" t="s">
        <v>66</v>
      </c>
      <c r="H178" s="2">
        <v>4.1666666666666664E-2</v>
      </c>
      <c r="I178" s="2">
        <v>7.2222222222222215E-2</v>
      </c>
      <c r="J178">
        <v>19</v>
      </c>
      <c r="K178">
        <v>19</v>
      </c>
      <c r="L178" t="s">
        <v>30</v>
      </c>
      <c r="M178">
        <v>2.5</v>
      </c>
      <c r="N178">
        <v>32</v>
      </c>
      <c r="O178">
        <v>56</v>
      </c>
      <c r="P178">
        <v>16.2</v>
      </c>
      <c r="Q178" t="s">
        <v>101</v>
      </c>
      <c r="R178">
        <v>0</v>
      </c>
      <c r="S178">
        <v>76</v>
      </c>
      <c r="T178">
        <v>0</v>
      </c>
      <c r="U178">
        <v>0</v>
      </c>
      <c r="V178">
        <v>1</v>
      </c>
      <c r="W178" t="s">
        <v>39</v>
      </c>
      <c r="X178">
        <v>1</v>
      </c>
      <c r="Y178" t="str">
        <f t="shared" si="2"/>
        <v>High</v>
      </c>
    </row>
    <row r="179" spans="1:25">
      <c r="A179" t="s">
        <v>292</v>
      </c>
      <c r="B179" s="1">
        <v>44929</v>
      </c>
      <c r="C179" s="2">
        <v>5.2083333333333336E-2</v>
      </c>
      <c r="D179" t="s">
        <v>26</v>
      </c>
      <c r="E179" t="s">
        <v>52</v>
      </c>
      <c r="F179" t="s">
        <v>144</v>
      </c>
      <c r="G179" t="s">
        <v>185</v>
      </c>
      <c r="H179" s="2">
        <v>5.347222222222222E-2</v>
      </c>
      <c r="I179" s="2">
        <v>7.8472222222222221E-2</v>
      </c>
      <c r="J179">
        <v>3</v>
      </c>
      <c r="K179">
        <v>15</v>
      </c>
      <c r="L179" t="s">
        <v>38</v>
      </c>
      <c r="M179">
        <v>16.7</v>
      </c>
      <c r="N179">
        <v>76</v>
      </c>
      <c r="O179">
        <v>15</v>
      </c>
      <c r="P179">
        <v>11.7</v>
      </c>
      <c r="Q179" t="s">
        <v>63</v>
      </c>
      <c r="R179">
        <v>0</v>
      </c>
      <c r="S179">
        <v>38</v>
      </c>
      <c r="T179">
        <v>0</v>
      </c>
      <c r="U179">
        <v>0</v>
      </c>
      <c r="V179">
        <v>1</v>
      </c>
      <c r="W179" t="s">
        <v>72</v>
      </c>
      <c r="X179">
        <v>1</v>
      </c>
      <c r="Y179" t="str">
        <f t="shared" si="2"/>
        <v>Medium</v>
      </c>
    </row>
    <row r="180" spans="1:25">
      <c r="A180" t="s">
        <v>293</v>
      </c>
      <c r="B180" s="1">
        <v>44929</v>
      </c>
      <c r="C180" s="2">
        <v>6.25E-2</v>
      </c>
      <c r="D180" t="s">
        <v>41</v>
      </c>
      <c r="E180" t="s">
        <v>93</v>
      </c>
      <c r="F180" t="s">
        <v>194</v>
      </c>
      <c r="G180" t="s">
        <v>113</v>
      </c>
      <c r="H180" s="2">
        <v>6.25E-2</v>
      </c>
      <c r="I180" s="2">
        <v>8.1250000000000003E-2</v>
      </c>
      <c r="J180">
        <v>14</v>
      </c>
      <c r="K180">
        <v>0</v>
      </c>
      <c r="L180" t="s">
        <v>45</v>
      </c>
      <c r="M180">
        <v>34.5</v>
      </c>
      <c r="N180">
        <v>34</v>
      </c>
      <c r="O180">
        <v>13</v>
      </c>
      <c r="P180">
        <v>15.8</v>
      </c>
      <c r="Q180" t="s">
        <v>59</v>
      </c>
      <c r="R180">
        <v>0</v>
      </c>
      <c r="S180">
        <v>73</v>
      </c>
      <c r="T180">
        <v>0</v>
      </c>
      <c r="U180">
        <v>0</v>
      </c>
      <c r="V180">
        <v>1</v>
      </c>
      <c r="W180" t="s">
        <v>32</v>
      </c>
      <c r="X180">
        <v>0</v>
      </c>
      <c r="Y180" t="str">
        <f t="shared" si="2"/>
        <v>High</v>
      </c>
    </row>
    <row r="181" spans="1:25">
      <c r="A181" t="s">
        <v>294</v>
      </c>
      <c r="B181" s="1">
        <v>44929</v>
      </c>
      <c r="C181" s="2">
        <v>7.2916666666666671E-2</v>
      </c>
      <c r="D181" t="s">
        <v>26</v>
      </c>
      <c r="E181" t="s">
        <v>93</v>
      </c>
      <c r="F181" t="s">
        <v>135</v>
      </c>
      <c r="G181" t="s">
        <v>65</v>
      </c>
      <c r="H181" s="2">
        <v>7.5694444444444439E-2</v>
      </c>
      <c r="I181" s="2">
        <v>0.10555555555555556</v>
      </c>
      <c r="J181">
        <v>18</v>
      </c>
      <c r="K181">
        <v>20</v>
      </c>
      <c r="L181" t="s">
        <v>77</v>
      </c>
      <c r="M181">
        <v>12.3</v>
      </c>
      <c r="N181">
        <v>91</v>
      </c>
      <c r="O181">
        <v>52</v>
      </c>
      <c r="P181">
        <v>14.6</v>
      </c>
      <c r="Q181" t="s">
        <v>31</v>
      </c>
      <c r="R181">
        <v>50000</v>
      </c>
      <c r="S181">
        <v>71</v>
      </c>
      <c r="T181">
        <v>0</v>
      </c>
      <c r="U181">
        <v>1</v>
      </c>
      <c r="V181">
        <v>1</v>
      </c>
      <c r="W181" t="s">
        <v>39</v>
      </c>
      <c r="X181">
        <v>1</v>
      </c>
      <c r="Y181" t="str">
        <f t="shared" si="2"/>
        <v>High</v>
      </c>
    </row>
    <row r="182" spans="1:25">
      <c r="A182" t="s">
        <v>295</v>
      </c>
      <c r="B182" s="1">
        <v>44929</v>
      </c>
      <c r="C182" s="2">
        <v>8.3333333333333329E-2</v>
      </c>
      <c r="D182" t="s">
        <v>41</v>
      </c>
      <c r="E182" t="s">
        <v>161</v>
      </c>
      <c r="F182" t="s">
        <v>203</v>
      </c>
      <c r="G182" t="s">
        <v>29</v>
      </c>
      <c r="H182" s="2">
        <v>8.611111111111111E-2</v>
      </c>
      <c r="I182" s="2">
        <v>0.10208333333333333</v>
      </c>
      <c r="J182">
        <v>19</v>
      </c>
      <c r="K182">
        <v>16</v>
      </c>
      <c r="L182" t="s">
        <v>84</v>
      </c>
      <c r="M182">
        <v>20.7</v>
      </c>
      <c r="N182">
        <v>34</v>
      </c>
      <c r="O182">
        <v>27</v>
      </c>
      <c r="P182">
        <v>4.8</v>
      </c>
      <c r="Q182" t="s">
        <v>31</v>
      </c>
      <c r="R182">
        <v>0</v>
      </c>
      <c r="S182">
        <v>19</v>
      </c>
      <c r="T182">
        <v>0</v>
      </c>
      <c r="U182">
        <v>0</v>
      </c>
      <c r="V182">
        <v>1</v>
      </c>
      <c r="W182" t="s">
        <v>32</v>
      </c>
      <c r="X182">
        <v>1</v>
      </c>
      <c r="Y182" t="str">
        <f t="shared" si="2"/>
        <v>Low</v>
      </c>
    </row>
    <row r="183" spans="1:25">
      <c r="A183" t="s">
        <v>296</v>
      </c>
      <c r="B183" s="1">
        <v>44929</v>
      </c>
      <c r="C183" s="2">
        <v>9.375E-2</v>
      </c>
      <c r="D183" t="s">
        <v>26</v>
      </c>
      <c r="E183" t="s">
        <v>68</v>
      </c>
      <c r="F183" t="s">
        <v>203</v>
      </c>
      <c r="G183" t="s">
        <v>151</v>
      </c>
      <c r="H183" s="2">
        <v>9.583333333333334E-2</v>
      </c>
      <c r="I183" s="2">
        <v>0.12847222222222221</v>
      </c>
      <c r="J183">
        <v>14</v>
      </c>
      <c r="K183">
        <v>24</v>
      </c>
      <c r="L183" t="s">
        <v>30</v>
      </c>
      <c r="M183">
        <v>33.799999999999997</v>
      </c>
      <c r="N183">
        <v>39</v>
      </c>
      <c r="O183">
        <v>17</v>
      </c>
      <c r="P183">
        <v>8.6999999999999993</v>
      </c>
      <c r="Q183" t="s">
        <v>31</v>
      </c>
      <c r="R183">
        <v>0</v>
      </c>
      <c r="S183">
        <v>80</v>
      </c>
      <c r="T183">
        <v>0</v>
      </c>
      <c r="U183">
        <v>0</v>
      </c>
      <c r="V183">
        <v>1</v>
      </c>
      <c r="W183" t="s">
        <v>55</v>
      </c>
      <c r="X183">
        <v>1</v>
      </c>
      <c r="Y183" t="str">
        <f t="shared" si="2"/>
        <v>High</v>
      </c>
    </row>
    <row r="184" spans="1:25">
      <c r="A184" t="s">
        <v>297</v>
      </c>
      <c r="B184" s="1">
        <v>44929</v>
      </c>
      <c r="C184" s="2">
        <v>0.10416666666666667</v>
      </c>
      <c r="D184" t="s">
        <v>74</v>
      </c>
      <c r="E184" t="s">
        <v>48</v>
      </c>
      <c r="F184" t="s">
        <v>100</v>
      </c>
      <c r="G184" t="s">
        <v>53</v>
      </c>
      <c r="H184" s="2">
        <v>0.10625</v>
      </c>
      <c r="I184" s="2">
        <v>0.11944444444444445</v>
      </c>
      <c r="J184">
        <v>18</v>
      </c>
      <c r="K184">
        <v>13</v>
      </c>
      <c r="L184" t="s">
        <v>45</v>
      </c>
      <c r="M184">
        <v>0.5</v>
      </c>
      <c r="N184">
        <v>92</v>
      </c>
      <c r="O184">
        <v>25</v>
      </c>
      <c r="P184">
        <v>3</v>
      </c>
      <c r="Q184" t="s">
        <v>101</v>
      </c>
      <c r="R184">
        <v>0</v>
      </c>
      <c r="S184">
        <v>10</v>
      </c>
      <c r="T184">
        <v>0</v>
      </c>
      <c r="U184">
        <v>0</v>
      </c>
      <c r="V184">
        <v>1</v>
      </c>
      <c r="W184" t="s">
        <v>39</v>
      </c>
      <c r="X184">
        <v>1</v>
      </c>
      <c r="Y184" t="str">
        <f t="shared" si="2"/>
        <v>Low</v>
      </c>
    </row>
    <row r="185" spans="1:25">
      <c r="A185" t="s">
        <v>298</v>
      </c>
      <c r="B185" s="1">
        <v>44929</v>
      </c>
      <c r="C185" s="2">
        <v>0.11458333333333333</v>
      </c>
      <c r="D185" t="s">
        <v>26</v>
      </c>
      <c r="E185" t="s">
        <v>42</v>
      </c>
      <c r="F185" t="s">
        <v>122</v>
      </c>
      <c r="G185" t="s">
        <v>81</v>
      </c>
      <c r="H185" s="2">
        <v>0.11666666666666667</v>
      </c>
      <c r="I185" s="2">
        <v>0.12986111111111112</v>
      </c>
      <c r="J185">
        <v>16</v>
      </c>
      <c r="K185">
        <v>15</v>
      </c>
      <c r="L185" t="s">
        <v>30</v>
      </c>
      <c r="M185">
        <v>11.7</v>
      </c>
      <c r="N185">
        <v>54</v>
      </c>
      <c r="O185">
        <v>37</v>
      </c>
      <c r="P185">
        <v>0.8</v>
      </c>
      <c r="Q185" t="s">
        <v>31</v>
      </c>
      <c r="R185">
        <v>10000</v>
      </c>
      <c r="S185">
        <v>15</v>
      </c>
      <c r="T185">
        <v>0</v>
      </c>
      <c r="U185">
        <v>0</v>
      </c>
      <c r="V185">
        <v>1</v>
      </c>
      <c r="W185" t="s">
        <v>39</v>
      </c>
      <c r="X185">
        <v>1</v>
      </c>
      <c r="Y185" t="str">
        <f t="shared" si="2"/>
        <v>Low</v>
      </c>
    </row>
    <row r="186" spans="1:25">
      <c r="A186" t="s">
        <v>299</v>
      </c>
      <c r="B186" s="1">
        <v>44929</v>
      </c>
      <c r="C186" s="2">
        <v>0.125</v>
      </c>
      <c r="D186" t="s">
        <v>41</v>
      </c>
      <c r="E186" t="s">
        <v>52</v>
      </c>
      <c r="F186" t="s">
        <v>128</v>
      </c>
      <c r="G186" t="s">
        <v>66</v>
      </c>
      <c r="H186" s="2">
        <v>0.12777777777777777</v>
      </c>
      <c r="I186" s="2">
        <v>0.15347222222222223</v>
      </c>
      <c r="J186">
        <v>15</v>
      </c>
      <c r="K186">
        <v>28</v>
      </c>
      <c r="L186" t="s">
        <v>38</v>
      </c>
      <c r="M186">
        <v>29</v>
      </c>
      <c r="N186">
        <v>73</v>
      </c>
      <c r="O186">
        <v>6</v>
      </c>
      <c r="P186">
        <v>1.3</v>
      </c>
      <c r="Q186" t="s">
        <v>63</v>
      </c>
      <c r="R186">
        <v>0</v>
      </c>
      <c r="S186">
        <v>41</v>
      </c>
      <c r="T186">
        <v>0</v>
      </c>
      <c r="U186">
        <v>0</v>
      </c>
      <c r="V186">
        <v>1</v>
      </c>
      <c r="W186" t="s">
        <v>55</v>
      </c>
      <c r="X186">
        <v>1</v>
      </c>
      <c r="Y186" t="str">
        <f t="shared" si="2"/>
        <v>Medium</v>
      </c>
    </row>
    <row r="187" spans="1:25">
      <c r="A187" t="s">
        <v>300</v>
      </c>
      <c r="B187" s="1">
        <v>44929</v>
      </c>
      <c r="C187" s="2">
        <v>0.13541666666666666</v>
      </c>
      <c r="D187" t="s">
        <v>41</v>
      </c>
      <c r="E187" t="s">
        <v>161</v>
      </c>
      <c r="F187" t="s">
        <v>194</v>
      </c>
      <c r="G187" t="s">
        <v>37</v>
      </c>
      <c r="H187" s="2">
        <v>0.1361111111111111</v>
      </c>
      <c r="I187" s="2">
        <v>0.16041666666666668</v>
      </c>
      <c r="J187">
        <v>8</v>
      </c>
      <c r="K187">
        <v>26</v>
      </c>
      <c r="L187" t="s">
        <v>45</v>
      </c>
      <c r="M187">
        <v>32.299999999999997</v>
      </c>
      <c r="N187">
        <v>54</v>
      </c>
      <c r="O187">
        <v>44</v>
      </c>
      <c r="P187">
        <v>18.8</v>
      </c>
      <c r="Q187" t="s">
        <v>63</v>
      </c>
      <c r="R187">
        <v>0</v>
      </c>
      <c r="S187">
        <v>95</v>
      </c>
      <c r="T187">
        <v>0</v>
      </c>
      <c r="U187">
        <v>0</v>
      </c>
      <c r="V187">
        <v>1</v>
      </c>
      <c r="W187" t="s">
        <v>39</v>
      </c>
      <c r="X187">
        <v>1</v>
      </c>
      <c r="Y187" t="str">
        <f t="shared" si="2"/>
        <v>High</v>
      </c>
    </row>
    <row r="188" spans="1:25">
      <c r="A188" t="s">
        <v>301</v>
      </c>
      <c r="B188" s="1">
        <v>44929</v>
      </c>
      <c r="C188" s="2">
        <v>0.14583333333333334</v>
      </c>
      <c r="D188" t="s">
        <v>74</v>
      </c>
      <c r="E188" t="s">
        <v>42</v>
      </c>
      <c r="F188" t="s">
        <v>122</v>
      </c>
      <c r="G188" t="s">
        <v>107</v>
      </c>
      <c r="H188" s="2">
        <v>0.14861111111111111</v>
      </c>
      <c r="I188" s="2">
        <v>0.18402777777777779</v>
      </c>
      <c r="J188">
        <v>4</v>
      </c>
      <c r="K188">
        <v>13</v>
      </c>
      <c r="L188" t="s">
        <v>45</v>
      </c>
      <c r="M188">
        <v>19</v>
      </c>
      <c r="N188">
        <v>59</v>
      </c>
      <c r="O188">
        <v>33</v>
      </c>
      <c r="P188">
        <v>19.7</v>
      </c>
      <c r="Q188" t="s">
        <v>31</v>
      </c>
      <c r="R188">
        <v>0</v>
      </c>
      <c r="S188">
        <v>89</v>
      </c>
      <c r="T188">
        <v>0</v>
      </c>
      <c r="U188">
        <v>0</v>
      </c>
      <c r="V188">
        <v>1</v>
      </c>
      <c r="W188" t="s">
        <v>32</v>
      </c>
      <c r="X188">
        <v>1</v>
      </c>
      <c r="Y188" t="str">
        <f t="shared" si="2"/>
        <v>High</v>
      </c>
    </row>
    <row r="189" spans="1:25">
      <c r="A189" t="s">
        <v>302</v>
      </c>
      <c r="B189" s="1">
        <v>44929</v>
      </c>
      <c r="C189" s="2">
        <v>0.15625</v>
      </c>
      <c r="D189" t="s">
        <v>26</v>
      </c>
      <c r="E189" t="s">
        <v>89</v>
      </c>
      <c r="F189" t="s">
        <v>151</v>
      </c>
      <c r="G189" t="s">
        <v>83</v>
      </c>
      <c r="H189" s="2">
        <v>0.15763888888888888</v>
      </c>
      <c r="I189" s="2">
        <v>0.18124999999999999</v>
      </c>
      <c r="J189">
        <v>7</v>
      </c>
      <c r="K189">
        <v>25</v>
      </c>
      <c r="L189" t="s">
        <v>45</v>
      </c>
      <c r="M189">
        <v>0.7</v>
      </c>
      <c r="N189">
        <v>43</v>
      </c>
      <c r="O189">
        <v>46</v>
      </c>
      <c r="P189">
        <v>1.9</v>
      </c>
      <c r="Q189" t="s">
        <v>101</v>
      </c>
      <c r="R189">
        <v>2000</v>
      </c>
      <c r="S189">
        <v>51</v>
      </c>
      <c r="T189">
        <v>0</v>
      </c>
      <c r="U189">
        <v>1</v>
      </c>
      <c r="V189">
        <v>1</v>
      </c>
      <c r="W189" t="s">
        <v>55</v>
      </c>
      <c r="X189">
        <v>1</v>
      </c>
      <c r="Y189" t="str">
        <f t="shared" si="2"/>
        <v>Medium</v>
      </c>
    </row>
    <row r="190" spans="1:25">
      <c r="A190" t="s">
        <v>303</v>
      </c>
      <c r="B190" s="1">
        <v>44929</v>
      </c>
      <c r="C190" s="2">
        <v>0.16666666666666666</v>
      </c>
      <c r="D190" t="s">
        <v>26</v>
      </c>
      <c r="E190" t="s">
        <v>93</v>
      </c>
      <c r="F190" t="s">
        <v>66</v>
      </c>
      <c r="G190" t="s">
        <v>50</v>
      </c>
      <c r="H190" s="2">
        <v>0.16944444444444445</v>
      </c>
      <c r="I190" s="2">
        <v>0.18958333333333333</v>
      </c>
      <c r="J190">
        <v>4</v>
      </c>
      <c r="K190">
        <v>2</v>
      </c>
      <c r="L190" t="s">
        <v>84</v>
      </c>
      <c r="M190">
        <v>31.1</v>
      </c>
      <c r="N190">
        <v>72</v>
      </c>
      <c r="O190">
        <v>48</v>
      </c>
      <c r="P190">
        <v>6.7</v>
      </c>
      <c r="Q190" t="s">
        <v>63</v>
      </c>
      <c r="R190">
        <v>2000</v>
      </c>
      <c r="S190">
        <v>36</v>
      </c>
      <c r="T190">
        <v>0</v>
      </c>
      <c r="U190">
        <v>1</v>
      </c>
      <c r="V190">
        <v>1</v>
      </c>
      <c r="W190" t="s">
        <v>32</v>
      </c>
      <c r="X190">
        <v>0</v>
      </c>
      <c r="Y190" t="str">
        <f t="shared" si="2"/>
        <v>Medium</v>
      </c>
    </row>
    <row r="191" spans="1:25">
      <c r="A191" t="s">
        <v>304</v>
      </c>
      <c r="B191" s="1">
        <v>44929</v>
      </c>
      <c r="C191" s="2">
        <v>0.17708333333333334</v>
      </c>
      <c r="D191" t="s">
        <v>74</v>
      </c>
      <c r="E191" t="s">
        <v>147</v>
      </c>
      <c r="F191" t="s">
        <v>37</v>
      </c>
      <c r="G191" t="s">
        <v>95</v>
      </c>
      <c r="H191" s="2">
        <v>0.17986111111111111</v>
      </c>
      <c r="I191" s="2">
        <v>0.19652777777777777</v>
      </c>
      <c r="J191">
        <v>2</v>
      </c>
      <c r="K191">
        <v>13</v>
      </c>
      <c r="L191" t="s">
        <v>45</v>
      </c>
      <c r="M191">
        <v>2</v>
      </c>
      <c r="N191">
        <v>57</v>
      </c>
      <c r="O191">
        <v>44</v>
      </c>
      <c r="P191">
        <v>2.2999999999999998</v>
      </c>
      <c r="Q191" t="s">
        <v>59</v>
      </c>
      <c r="R191">
        <v>0</v>
      </c>
      <c r="S191">
        <v>51</v>
      </c>
      <c r="T191">
        <v>0</v>
      </c>
      <c r="U191">
        <v>0</v>
      </c>
      <c r="V191">
        <v>1</v>
      </c>
      <c r="W191" t="s">
        <v>39</v>
      </c>
      <c r="X191">
        <v>1</v>
      </c>
      <c r="Y191" t="str">
        <f t="shared" si="2"/>
        <v>Medium</v>
      </c>
    </row>
    <row r="192" spans="1:25">
      <c r="A192" t="s">
        <v>305</v>
      </c>
      <c r="B192" s="1">
        <v>44929</v>
      </c>
      <c r="C192" s="2">
        <v>0.1875</v>
      </c>
      <c r="D192" t="s">
        <v>26</v>
      </c>
      <c r="E192" t="s">
        <v>93</v>
      </c>
      <c r="F192" t="s">
        <v>96</v>
      </c>
      <c r="G192" t="s">
        <v>81</v>
      </c>
      <c r="H192" s="2">
        <v>0.1875</v>
      </c>
      <c r="I192" s="2">
        <v>0.22152777777777777</v>
      </c>
      <c r="J192">
        <v>9</v>
      </c>
      <c r="K192">
        <v>13</v>
      </c>
      <c r="L192" t="s">
        <v>30</v>
      </c>
      <c r="M192">
        <v>9.1</v>
      </c>
      <c r="N192">
        <v>48</v>
      </c>
      <c r="O192">
        <v>6</v>
      </c>
      <c r="P192">
        <v>16.7</v>
      </c>
      <c r="Q192" t="s">
        <v>71</v>
      </c>
      <c r="R192">
        <v>0</v>
      </c>
      <c r="S192">
        <v>8</v>
      </c>
      <c r="T192">
        <v>0</v>
      </c>
      <c r="U192">
        <v>1</v>
      </c>
      <c r="V192">
        <v>1</v>
      </c>
      <c r="W192" t="s">
        <v>39</v>
      </c>
      <c r="X192">
        <v>1</v>
      </c>
      <c r="Y192" t="str">
        <f t="shared" si="2"/>
        <v>Low</v>
      </c>
    </row>
    <row r="193" spans="1:25">
      <c r="A193" t="s">
        <v>306</v>
      </c>
      <c r="B193" s="1">
        <v>44929</v>
      </c>
      <c r="C193" s="2">
        <v>0.19791666666666666</v>
      </c>
      <c r="D193" t="s">
        <v>26</v>
      </c>
      <c r="E193" t="s">
        <v>98</v>
      </c>
      <c r="F193" t="s">
        <v>86</v>
      </c>
      <c r="G193" t="s">
        <v>75</v>
      </c>
      <c r="H193" s="2">
        <v>0.19791666666666666</v>
      </c>
      <c r="I193" s="2">
        <v>0.22569444444444445</v>
      </c>
      <c r="J193">
        <v>13</v>
      </c>
      <c r="K193">
        <v>10</v>
      </c>
      <c r="L193" t="s">
        <v>84</v>
      </c>
      <c r="M193">
        <v>10</v>
      </c>
      <c r="N193">
        <v>71</v>
      </c>
      <c r="O193">
        <v>32</v>
      </c>
      <c r="P193">
        <v>9.9</v>
      </c>
      <c r="Q193" t="s">
        <v>59</v>
      </c>
      <c r="R193">
        <v>0</v>
      </c>
      <c r="S193">
        <v>34</v>
      </c>
      <c r="T193">
        <v>0</v>
      </c>
      <c r="U193">
        <v>1</v>
      </c>
      <c r="V193">
        <v>1</v>
      </c>
      <c r="W193" t="s">
        <v>39</v>
      </c>
      <c r="X193">
        <v>1</v>
      </c>
      <c r="Y193" t="str">
        <f t="shared" si="2"/>
        <v>Medium</v>
      </c>
    </row>
    <row r="194" spans="1:25">
      <c r="A194" t="s">
        <v>307</v>
      </c>
      <c r="B194" s="1">
        <v>44929</v>
      </c>
      <c r="C194" s="2">
        <v>0.20833333333333334</v>
      </c>
      <c r="D194" t="s">
        <v>41</v>
      </c>
      <c r="E194" t="s">
        <v>157</v>
      </c>
      <c r="F194" t="s">
        <v>144</v>
      </c>
      <c r="G194" t="s">
        <v>96</v>
      </c>
      <c r="H194" s="2">
        <v>0.20833333333333334</v>
      </c>
      <c r="I194" s="2">
        <v>0.2298611111111111</v>
      </c>
      <c r="J194">
        <v>18</v>
      </c>
      <c r="K194">
        <v>20</v>
      </c>
      <c r="L194" t="s">
        <v>45</v>
      </c>
      <c r="M194">
        <v>12.9</v>
      </c>
      <c r="N194">
        <v>49</v>
      </c>
      <c r="O194">
        <v>34</v>
      </c>
      <c r="P194">
        <v>12.4</v>
      </c>
      <c r="Q194" t="s">
        <v>31</v>
      </c>
      <c r="R194">
        <v>0</v>
      </c>
      <c r="S194">
        <v>66</v>
      </c>
      <c r="T194">
        <v>0</v>
      </c>
      <c r="U194">
        <v>0</v>
      </c>
      <c r="V194">
        <v>1</v>
      </c>
      <c r="W194" t="s">
        <v>39</v>
      </c>
      <c r="X194">
        <v>1</v>
      </c>
      <c r="Y194" t="str">
        <f t="shared" ref="Y194:Y257" si="3">IF(S194&lt;=33,"Low",IF(S194&lt;=66,"Medium","High"))</f>
        <v>Medium</v>
      </c>
    </row>
    <row r="195" spans="1:25">
      <c r="A195" t="s">
        <v>308</v>
      </c>
      <c r="B195" s="1">
        <v>44929</v>
      </c>
      <c r="C195" s="2">
        <v>0.21875</v>
      </c>
      <c r="D195" t="s">
        <v>26</v>
      </c>
      <c r="E195" t="s">
        <v>68</v>
      </c>
      <c r="F195" t="s">
        <v>75</v>
      </c>
      <c r="G195" t="s">
        <v>70</v>
      </c>
      <c r="H195" s="2">
        <v>0.22152777777777777</v>
      </c>
      <c r="I195" s="2">
        <v>0.25763888888888886</v>
      </c>
      <c r="J195">
        <v>15</v>
      </c>
      <c r="K195">
        <v>28</v>
      </c>
      <c r="L195" t="s">
        <v>30</v>
      </c>
      <c r="M195">
        <v>26.6</v>
      </c>
      <c r="N195">
        <v>40</v>
      </c>
      <c r="O195">
        <v>51</v>
      </c>
      <c r="P195">
        <v>10.8</v>
      </c>
      <c r="Q195" t="s">
        <v>71</v>
      </c>
      <c r="R195">
        <v>2000</v>
      </c>
      <c r="S195">
        <v>94</v>
      </c>
      <c r="T195">
        <v>0</v>
      </c>
      <c r="U195">
        <v>1</v>
      </c>
      <c r="V195">
        <v>1</v>
      </c>
      <c r="W195" t="s">
        <v>32</v>
      </c>
      <c r="X195">
        <v>1</v>
      </c>
      <c r="Y195" t="str">
        <f t="shared" si="3"/>
        <v>High</v>
      </c>
    </row>
    <row r="196" spans="1:25">
      <c r="A196" t="s">
        <v>309</v>
      </c>
      <c r="B196" s="1">
        <v>44929</v>
      </c>
      <c r="C196" s="2">
        <v>0.22916666666666666</v>
      </c>
      <c r="D196" t="s">
        <v>26</v>
      </c>
      <c r="E196" t="s">
        <v>104</v>
      </c>
      <c r="F196" t="s">
        <v>148</v>
      </c>
      <c r="G196" t="s">
        <v>62</v>
      </c>
      <c r="H196" s="2">
        <v>0.2298611111111111</v>
      </c>
      <c r="I196" s="2">
        <v>0.26458333333333334</v>
      </c>
      <c r="J196">
        <v>0</v>
      </c>
      <c r="K196">
        <v>10</v>
      </c>
      <c r="L196" t="s">
        <v>30</v>
      </c>
      <c r="M196">
        <v>27.1</v>
      </c>
      <c r="N196">
        <v>83</v>
      </c>
      <c r="O196">
        <v>49</v>
      </c>
      <c r="P196">
        <v>14.2</v>
      </c>
      <c r="Q196" t="s">
        <v>31</v>
      </c>
      <c r="R196">
        <v>0</v>
      </c>
      <c r="S196">
        <v>6</v>
      </c>
      <c r="T196">
        <v>0</v>
      </c>
      <c r="U196">
        <v>0</v>
      </c>
      <c r="V196">
        <v>1</v>
      </c>
      <c r="W196" t="s">
        <v>39</v>
      </c>
      <c r="X196">
        <v>1</v>
      </c>
      <c r="Y196" t="str">
        <f t="shared" si="3"/>
        <v>Low</v>
      </c>
    </row>
    <row r="197" spans="1:25">
      <c r="A197" t="s">
        <v>310</v>
      </c>
      <c r="B197" s="1">
        <v>44929</v>
      </c>
      <c r="C197" s="2">
        <v>0.23958333333333334</v>
      </c>
      <c r="D197" t="s">
        <v>74</v>
      </c>
      <c r="E197" t="s">
        <v>61</v>
      </c>
      <c r="F197" t="s">
        <v>86</v>
      </c>
      <c r="G197" t="s">
        <v>107</v>
      </c>
      <c r="H197" s="2">
        <v>0.24097222222222223</v>
      </c>
      <c r="I197" s="2">
        <v>0.26041666666666669</v>
      </c>
      <c r="J197">
        <v>17</v>
      </c>
      <c r="K197">
        <v>23</v>
      </c>
      <c r="L197" t="s">
        <v>77</v>
      </c>
      <c r="M197">
        <v>23.8</v>
      </c>
      <c r="N197">
        <v>53</v>
      </c>
      <c r="O197">
        <v>38</v>
      </c>
      <c r="P197">
        <v>6.4</v>
      </c>
      <c r="Q197" t="s">
        <v>31</v>
      </c>
      <c r="R197">
        <v>0</v>
      </c>
      <c r="S197">
        <v>1</v>
      </c>
      <c r="T197">
        <v>1</v>
      </c>
      <c r="U197">
        <v>0</v>
      </c>
      <c r="V197">
        <v>1</v>
      </c>
      <c r="W197" t="s">
        <v>55</v>
      </c>
      <c r="X197">
        <v>1</v>
      </c>
      <c r="Y197" t="str">
        <f t="shared" si="3"/>
        <v>Low</v>
      </c>
    </row>
    <row r="198" spans="1:25">
      <c r="A198" t="s">
        <v>311</v>
      </c>
      <c r="B198" s="1">
        <v>44929</v>
      </c>
      <c r="C198" s="2">
        <v>0.25</v>
      </c>
      <c r="D198" t="s">
        <v>74</v>
      </c>
      <c r="E198" t="s">
        <v>147</v>
      </c>
      <c r="F198" t="s">
        <v>168</v>
      </c>
      <c r="G198" t="s">
        <v>43</v>
      </c>
      <c r="H198" s="2">
        <v>0.25138888888888888</v>
      </c>
      <c r="I198" s="2">
        <v>0.27708333333333335</v>
      </c>
      <c r="J198">
        <v>12</v>
      </c>
      <c r="K198">
        <v>15</v>
      </c>
      <c r="L198" t="s">
        <v>30</v>
      </c>
      <c r="M198">
        <v>-4.0999999999999996</v>
      </c>
      <c r="N198">
        <v>99</v>
      </c>
      <c r="O198">
        <v>20</v>
      </c>
      <c r="P198">
        <v>2.7</v>
      </c>
      <c r="Q198" t="s">
        <v>101</v>
      </c>
      <c r="R198">
        <v>0</v>
      </c>
      <c r="S198">
        <v>24</v>
      </c>
      <c r="T198">
        <v>0</v>
      </c>
      <c r="U198">
        <v>0</v>
      </c>
      <c r="V198">
        <v>1</v>
      </c>
      <c r="W198" t="s">
        <v>55</v>
      </c>
      <c r="X198">
        <v>1</v>
      </c>
      <c r="Y198" t="str">
        <f t="shared" si="3"/>
        <v>Low</v>
      </c>
    </row>
    <row r="199" spans="1:25">
      <c r="A199" t="s">
        <v>312</v>
      </c>
      <c r="B199" s="1">
        <v>44929</v>
      </c>
      <c r="C199" s="2">
        <v>0.26041666666666669</v>
      </c>
      <c r="D199" t="s">
        <v>34</v>
      </c>
      <c r="E199" t="s">
        <v>93</v>
      </c>
      <c r="F199" t="s">
        <v>62</v>
      </c>
      <c r="G199" t="s">
        <v>99</v>
      </c>
      <c r="H199" s="2">
        <v>0.26111111111111113</v>
      </c>
      <c r="I199" s="2">
        <v>0.29791666666666666</v>
      </c>
      <c r="J199">
        <v>2</v>
      </c>
      <c r="K199">
        <v>27</v>
      </c>
      <c r="L199" t="s">
        <v>54</v>
      </c>
      <c r="M199">
        <v>17.600000000000001</v>
      </c>
      <c r="N199">
        <v>46</v>
      </c>
      <c r="O199">
        <v>48</v>
      </c>
      <c r="P199">
        <v>0.4</v>
      </c>
      <c r="Q199" t="s">
        <v>71</v>
      </c>
      <c r="R199">
        <v>500</v>
      </c>
      <c r="S199">
        <v>75</v>
      </c>
      <c r="T199">
        <v>0</v>
      </c>
      <c r="U199">
        <v>1</v>
      </c>
      <c r="V199">
        <v>1</v>
      </c>
      <c r="W199" t="s">
        <v>72</v>
      </c>
      <c r="X199">
        <v>1</v>
      </c>
      <c r="Y199" t="str">
        <f t="shared" si="3"/>
        <v>High</v>
      </c>
    </row>
    <row r="200" spans="1:25">
      <c r="A200" t="s">
        <v>313</v>
      </c>
      <c r="B200" s="1">
        <v>44929</v>
      </c>
      <c r="C200" s="2">
        <v>0.27083333333333331</v>
      </c>
      <c r="D200" t="s">
        <v>41</v>
      </c>
      <c r="E200" t="s">
        <v>48</v>
      </c>
      <c r="F200" t="s">
        <v>107</v>
      </c>
      <c r="G200" t="s">
        <v>118</v>
      </c>
      <c r="H200" s="2">
        <v>0.27152777777777776</v>
      </c>
      <c r="I200" s="2">
        <v>0.29166666666666669</v>
      </c>
      <c r="J200">
        <v>10</v>
      </c>
      <c r="K200">
        <v>5</v>
      </c>
      <c r="L200" t="s">
        <v>38</v>
      </c>
      <c r="M200">
        <v>24.9</v>
      </c>
      <c r="N200">
        <v>57</v>
      </c>
      <c r="O200">
        <v>27</v>
      </c>
      <c r="P200">
        <v>8.9</v>
      </c>
      <c r="Q200" t="s">
        <v>31</v>
      </c>
      <c r="R200">
        <v>500</v>
      </c>
      <c r="S200">
        <v>93</v>
      </c>
      <c r="T200">
        <v>0</v>
      </c>
      <c r="U200">
        <v>0</v>
      </c>
      <c r="V200">
        <v>1</v>
      </c>
      <c r="W200" t="s">
        <v>55</v>
      </c>
      <c r="X200">
        <v>0</v>
      </c>
      <c r="Y200" t="str">
        <f t="shared" si="3"/>
        <v>High</v>
      </c>
    </row>
    <row r="201" spans="1:25">
      <c r="A201" t="s">
        <v>314</v>
      </c>
      <c r="B201" s="1">
        <v>44929</v>
      </c>
      <c r="C201" s="2">
        <v>0.28125</v>
      </c>
      <c r="D201" t="s">
        <v>26</v>
      </c>
      <c r="E201" t="s">
        <v>98</v>
      </c>
      <c r="F201" t="s">
        <v>58</v>
      </c>
      <c r="G201" t="s">
        <v>128</v>
      </c>
      <c r="H201" s="2">
        <v>0.28263888888888888</v>
      </c>
      <c r="I201" s="2">
        <v>0.3</v>
      </c>
      <c r="J201">
        <v>16</v>
      </c>
      <c r="K201">
        <v>13</v>
      </c>
      <c r="L201" t="s">
        <v>45</v>
      </c>
      <c r="M201">
        <v>12.8</v>
      </c>
      <c r="N201">
        <v>79</v>
      </c>
      <c r="O201">
        <v>31</v>
      </c>
      <c r="P201">
        <v>18.2</v>
      </c>
      <c r="Q201" t="s">
        <v>31</v>
      </c>
      <c r="R201">
        <v>50000</v>
      </c>
      <c r="S201">
        <v>93</v>
      </c>
      <c r="T201">
        <v>0</v>
      </c>
      <c r="U201">
        <v>0</v>
      </c>
      <c r="V201">
        <v>1</v>
      </c>
      <c r="W201" t="s">
        <v>72</v>
      </c>
      <c r="X201">
        <v>1</v>
      </c>
      <c r="Y201" t="str">
        <f t="shared" si="3"/>
        <v>High</v>
      </c>
    </row>
    <row r="202" spans="1:25">
      <c r="A202" t="s">
        <v>315</v>
      </c>
      <c r="B202" s="1">
        <v>44929</v>
      </c>
      <c r="C202" s="2">
        <v>0.29166666666666669</v>
      </c>
      <c r="D202" t="s">
        <v>26</v>
      </c>
      <c r="E202" t="s">
        <v>98</v>
      </c>
      <c r="F202" t="s">
        <v>91</v>
      </c>
      <c r="G202" t="s">
        <v>44</v>
      </c>
      <c r="H202" s="2">
        <v>0.29375000000000001</v>
      </c>
      <c r="I202" s="2">
        <v>0.30763888888888891</v>
      </c>
      <c r="J202">
        <v>9</v>
      </c>
      <c r="K202">
        <v>15</v>
      </c>
      <c r="L202" t="s">
        <v>45</v>
      </c>
      <c r="M202">
        <v>32.799999999999997</v>
      </c>
      <c r="N202">
        <v>84</v>
      </c>
      <c r="O202">
        <v>43</v>
      </c>
      <c r="P202">
        <v>6.1</v>
      </c>
      <c r="Q202" t="s">
        <v>63</v>
      </c>
      <c r="R202">
        <v>0</v>
      </c>
      <c r="S202">
        <v>92</v>
      </c>
      <c r="T202">
        <v>1</v>
      </c>
      <c r="U202">
        <v>0</v>
      </c>
      <c r="V202">
        <v>1</v>
      </c>
      <c r="W202" t="s">
        <v>55</v>
      </c>
      <c r="X202">
        <v>1</v>
      </c>
      <c r="Y202" t="str">
        <f t="shared" si="3"/>
        <v>High</v>
      </c>
    </row>
    <row r="203" spans="1:25">
      <c r="A203" t="s">
        <v>316</v>
      </c>
      <c r="B203" s="1">
        <v>44929</v>
      </c>
      <c r="C203" s="2">
        <v>0.30208333333333331</v>
      </c>
      <c r="D203" t="s">
        <v>34</v>
      </c>
      <c r="E203" t="s">
        <v>147</v>
      </c>
      <c r="F203" t="s">
        <v>43</v>
      </c>
      <c r="G203" t="s">
        <v>66</v>
      </c>
      <c r="H203" s="2">
        <v>0.30208333333333331</v>
      </c>
      <c r="I203" s="2">
        <v>0.33402777777777776</v>
      </c>
      <c r="J203">
        <v>18</v>
      </c>
      <c r="K203">
        <v>0</v>
      </c>
      <c r="L203" t="s">
        <v>45</v>
      </c>
      <c r="M203">
        <v>28</v>
      </c>
      <c r="N203">
        <v>39</v>
      </c>
      <c r="O203">
        <v>15</v>
      </c>
      <c r="P203">
        <v>3.9</v>
      </c>
      <c r="Q203" t="s">
        <v>101</v>
      </c>
      <c r="R203">
        <v>0</v>
      </c>
      <c r="S203">
        <v>40</v>
      </c>
      <c r="T203">
        <v>0</v>
      </c>
      <c r="U203">
        <v>0</v>
      </c>
      <c r="V203">
        <v>1</v>
      </c>
      <c r="W203" t="s">
        <v>55</v>
      </c>
      <c r="X203">
        <v>0</v>
      </c>
      <c r="Y203" t="str">
        <f t="shared" si="3"/>
        <v>Medium</v>
      </c>
    </row>
    <row r="204" spans="1:25">
      <c r="A204" t="s">
        <v>317</v>
      </c>
      <c r="B204" s="1">
        <v>44929</v>
      </c>
      <c r="C204" s="2">
        <v>0.3125</v>
      </c>
      <c r="D204" t="s">
        <v>26</v>
      </c>
      <c r="E204" t="s">
        <v>104</v>
      </c>
      <c r="F204" t="s">
        <v>90</v>
      </c>
      <c r="G204" t="s">
        <v>44</v>
      </c>
      <c r="H204" s="2">
        <v>0.3125</v>
      </c>
      <c r="I204" s="2">
        <v>0.35347222222222224</v>
      </c>
      <c r="J204">
        <v>2</v>
      </c>
      <c r="K204">
        <v>7</v>
      </c>
      <c r="L204" t="s">
        <v>30</v>
      </c>
      <c r="M204">
        <v>20.5</v>
      </c>
      <c r="N204">
        <v>50</v>
      </c>
      <c r="O204">
        <v>55</v>
      </c>
      <c r="P204">
        <v>18.5</v>
      </c>
      <c r="Q204" t="s">
        <v>31</v>
      </c>
      <c r="R204">
        <v>0</v>
      </c>
      <c r="S204">
        <v>74</v>
      </c>
      <c r="T204">
        <v>0</v>
      </c>
      <c r="U204">
        <v>0</v>
      </c>
      <c r="V204">
        <v>1</v>
      </c>
      <c r="W204" t="s">
        <v>39</v>
      </c>
      <c r="X204">
        <v>1</v>
      </c>
      <c r="Y204" t="str">
        <f t="shared" si="3"/>
        <v>High</v>
      </c>
    </row>
    <row r="205" spans="1:25">
      <c r="A205" t="s">
        <v>318</v>
      </c>
      <c r="B205" s="1">
        <v>44929</v>
      </c>
      <c r="C205" s="2">
        <v>0.32291666666666669</v>
      </c>
      <c r="D205" t="s">
        <v>41</v>
      </c>
      <c r="E205" t="s">
        <v>79</v>
      </c>
      <c r="F205" t="s">
        <v>43</v>
      </c>
      <c r="G205" t="s">
        <v>28</v>
      </c>
      <c r="H205" s="2">
        <v>0.32430555555555557</v>
      </c>
      <c r="I205" s="2">
        <v>0.36249999999999999</v>
      </c>
      <c r="J205">
        <v>3</v>
      </c>
      <c r="K205">
        <v>18</v>
      </c>
      <c r="L205" t="s">
        <v>30</v>
      </c>
      <c r="M205">
        <v>-2.5</v>
      </c>
      <c r="N205">
        <v>87</v>
      </c>
      <c r="O205">
        <v>9</v>
      </c>
      <c r="P205">
        <v>2.1</v>
      </c>
      <c r="Q205" t="s">
        <v>63</v>
      </c>
      <c r="R205">
        <v>0</v>
      </c>
      <c r="S205">
        <v>51</v>
      </c>
      <c r="T205">
        <v>0</v>
      </c>
      <c r="U205">
        <v>1</v>
      </c>
      <c r="V205">
        <v>1</v>
      </c>
      <c r="W205" t="s">
        <v>55</v>
      </c>
      <c r="X205">
        <v>1</v>
      </c>
      <c r="Y205" t="str">
        <f t="shared" si="3"/>
        <v>Medium</v>
      </c>
    </row>
    <row r="206" spans="1:25">
      <c r="A206" t="s">
        <v>319</v>
      </c>
      <c r="B206" s="1">
        <v>44929</v>
      </c>
      <c r="C206" s="2">
        <v>0.33333333333333331</v>
      </c>
      <c r="D206" t="s">
        <v>34</v>
      </c>
      <c r="E206" t="s">
        <v>157</v>
      </c>
      <c r="F206" t="s">
        <v>118</v>
      </c>
      <c r="G206" t="s">
        <v>194</v>
      </c>
      <c r="H206" s="2">
        <v>0.33402777777777776</v>
      </c>
      <c r="I206" s="2">
        <v>0.36736111111111114</v>
      </c>
      <c r="J206">
        <v>4</v>
      </c>
      <c r="K206">
        <v>0</v>
      </c>
      <c r="L206" t="s">
        <v>45</v>
      </c>
      <c r="M206">
        <v>21.1</v>
      </c>
      <c r="N206">
        <v>63</v>
      </c>
      <c r="O206">
        <v>22</v>
      </c>
      <c r="P206">
        <v>1</v>
      </c>
      <c r="Q206" t="s">
        <v>31</v>
      </c>
      <c r="R206">
        <v>0</v>
      </c>
      <c r="S206">
        <v>86</v>
      </c>
      <c r="T206">
        <v>0</v>
      </c>
      <c r="U206">
        <v>0</v>
      </c>
      <c r="V206">
        <v>1</v>
      </c>
      <c r="W206" t="s">
        <v>39</v>
      </c>
      <c r="X206">
        <v>0</v>
      </c>
      <c r="Y206" t="str">
        <f t="shared" si="3"/>
        <v>High</v>
      </c>
    </row>
    <row r="207" spans="1:25">
      <c r="A207" t="s">
        <v>320</v>
      </c>
      <c r="B207" s="1">
        <v>44929</v>
      </c>
      <c r="C207" s="2">
        <v>0.34375</v>
      </c>
      <c r="D207" t="s">
        <v>41</v>
      </c>
      <c r="E207" t="s">
        <v>141</v>
      </c>
      <c r="F207" t="s">
        <v>118</v>
      </c>
      <c r="G207" t="s">
        <v>107</v>
      </c>
      <c r="H207" s="2">
        <v>0.34583333333333333</v>
      </c>
      <c r="I207" s="2">
        <v>0.37569444444444444</v>
      </c>
      <c r="J207">
        <v>7</v>
      </c>
      <c r="K207">
        <v>13</v>
      </c>
      <c r="L207" t="s">
        <v>54</v>
      </c>
      <c r="M207">
        <v>31.5</v>
      </c>
      <c r="N207">
        <v>72</v>
      </c>
      <c r="O207">
        <v>47</v>
      </c>
      <c r="P207">
        <v>17.600000000000001</v>
      </c>
      <c r="Q207" t="s">
        <v>71</v>
      </c>
      <c r="R207">
        <v>0</v>
      </c>
      <c r="S207">
        <v>80</v>
      </c>
      <c r="T207">
        <v>0</v>
      </c>
      <c r="U207">
        <v>0</v>
      </c>
      <c r="V207">
        <v>1</v>
      </c>
      <c r="W207" t="s">
        <v>39</v>
      </c>
      <c r="X207">
        <v>1</v>
      </c>
      <c r="Y207" t="str">
        <f t="shared" si="3"/>
        <v>High</v>
      </c>
    </row>
    <row r="208" spans="1:25">
      <c r="A208" t="s">
        <v>321</v>
      </c>
      <c r="B208" s="1">
        <v>44929</v>
      </c>
      <c r="C208" s="2">
        <v>0.35416666666666669</v>
      </c>
      <c r="D208" t="s">
        <v>34</v>
      </c>
      <c r="E208" t="s">
        <v>111</v>
      </c>
      <c r="F208" t="s">
        <v>105</v>
      </c>
      <c r="G208" t="s">
        <v>113</v>
      </c>
      <c r="H208" s="2">
        <v>0.35555555555555557</v>
      </c>
      <c r="I208" s="2">
        <v>0.38194444444444442</v>
      </c>
      <c r="J208">
        <v>13</v>
      </c>
      <c r="K208">
        <v>4</v>
      </c>
      <c r="L208" t="s">
        <v>84</v>
      </c>
      <c r="M208">
        <v>10.199999999999999</v>
      </c>
      <c r="N208">
        <v>40</v>
      </c>
      <c r="O208">
        <v>51</v>
      </c>
      <c r="P208">
        <v>14</v>
      </c>
      <c r="Q208" t="s">
        <v>46</v>
      </c>
      <c r="R208">
        <v>0</v>
      </c>
      <c r="S208">
        <v>76</v>
      </c>
      <c r="T208">
        <v>0</v>
      </c>
      <c r="U208">
        <v>1</v>
      </c>
      <c r="V208">
        <v>1</v>
      </c>
      <c r="W208" t="s">
        <v>55</v>
      </c>
      <c r="X208">
        <v>0</v>
      </c>
      <c r="Y208" t="str">
        <f t="shared" si="3"/>
        <v>High</v>
      </c>
    </row>
    <row r="209" spans="1:25">
      <c r="A209" t="s">
        <v>322</v>
      </c>
      <c r="B209" s="1">
        <v>44929</v>
      </c>
      <c r="C209" s="2">
        <v>0.36458333333333331</v>
      </c>
      <c r="D209" t="s">
        <v>34</v>
      </c>
      <c r="E209" t="s">
        <v>93</v>
      </c>
      <c r="F209" t="s">
        <v>128</v>
      </c>
      <c r="G209" t="s">
        <v>44</v>
      </c>
      <c r="H209" s="2">
        <v>0.36458333333333331</v>
      </c>
      <c r="I209" s="2">
        <v>0.39166666666666666</v>
      </c>
      <c r="J209">
        <v>5</v>
      </c>
      <c r="K209">
        <v>7</v>
      </c>
      <c r="L209" t="s">
        <v>84</v>
      </c>
      <c r="M209">
        <v>28.5</v>
      </c>
      <c r="N209">
        <v>62</v>
      </c>
      <c r="O209">
        <v>49</v>
      </c>
      <c r="P209">
        <v>8.4</v>
      </c>
      <c r="Q209" t="s">
        <v>101</v>
      </c>
      <c r="R209">
        <v>50000</v>
      </c>
      <c r="S209">
        <v>96</v>
      </c>
      <c r="T209">
        <v>0</v>
      </c>
      <c r="U209">
        <v>0</v>
      </c>
      <c r="V209">
        <v>1</v>
      </c>
      <c r="W209" t="s">
        <v>32</v>
      </c>
      <c r="X209">
        <v>1</v>
      </c>
      <c r="Y209" t="str">
        <f t="shared" si="3"/>
        <v>High</v>
      </c>
    </row>
    <row r="210" spans="1:25">
      <c r="A210" t="s">
        <v>323</v>
      </c>
      <c r="B210" s="1">
        <v>44929</v>
      </c>
      <c r="C210" s="2">
        <v>0.375</v>
      </c>
      <c r="D210" t="s">
        <v>74</v>
      </c>
      <c r="E210" t="s">
        <v>35</v>
      </c>
      <c r="F210" t="s">
        <v>53</v>
      </c>
      <c r="G210" t="s">
        <v>163</v>
      </c>
      <c r="H210" s="2">
        <v>0.37777777777777777</v>
      </c>
      <c r="I210" s="2">
        <v>0.39097222222222222</v>
      </c>
      <c r="J210">
        <v>6</v>
      </c>
      <c r="K210">
        <v>27</v>
      </c>
      <c r="L210" t="s">
        <v>38</v>
      </c>
      <c r="M210">
        <v>7.5</v>
      </c>
      <c r="N210">
        <v>87</v>
      </c>
      <c r="O210">
        <v>14</v>
      </c>
      <c r="P210">
        <v>15</v>
      </c>
      <c r="Q210" t="s">
        <v>101</v>
      </c>
      <c r="R210">
        <v>500</v>
      </c>
      <c r="S210">
        <v>64</v>
      </c>
      <c r="T210">
        <v>0</v>
      </c>
      <c r="U210">
        <v>0</v>
      </c>
      <c r="V210">
        <v>1</v>
      </c>
      <c r="W210" t="s">
        <v>39</v>
      </c>
      <c r="X210">
        <v>1</v>
      </c>
      <c r="Y210" t="str">
        <f t="shared" si="3"/>
        <v>Medium</v>
      </c>
    </row>
    <row r="211" spans="1:25">
      <c r="A211" t="s">
        <v>324</v>
      </c>
      <c r="B211" s="1">
        <v>44929</v>
      </c>
      <c r="C211" s="2">
        <v>0.38541666666666669</v>
      </c>
      <c r="D211" t="s">
        <v>41</v>
      </c>
      <c r="E211" t="s">
        <v>104</v>
      </c>
      <c r="F211" t="s">
        <v>75</v>
      </c>
      <c r="G211" t="s">
        <v>28</v>
      </c>
      <c r="H211" s="2">
        <v>0.38611111111111113</v>
      </c>
      <c r="I211" s="2">
        <v>0.40625</v>
      </c>
      <c r="J211">
        <v>1</v>
      </c>
      <c r="K211">
        <v>7</v>
      </c>
      <c r="L211" t="s">
        <v>77</v>
      </c>
      <c r="M211">
        <v>17.8</v>
      </c>
      <c r="N211">
        <v>75</v>
      </c>
      <c r="O211">
        <v>54</v>
      </c>
      <c r="P211">
        <v>14.8</v>
      </c>
      <c r="Q211" t="s">
        <v>31</v>
      </c>
      <c r="R211">
        <v>0</v>
      </c>
      <c r="S211">
        <v>76</v>
      </c>
      <c r="T211">
        <v>0</v>
      </c>
      <c r="U211">
        <v>0</v>
      </c>
      <c r="V211">
        <v>1</v>
      </c>
      <c r="W211" t="s">
        <v>55</v>
      </c>
      <c r="X211">
        <v>1</v>
      </c>
      <c r="Y211" t="str">
        <f t="shared" si="3"/>
        <v>High</v>
      </c>
    </row>
    <row r="212" spans="1:25">
      <c r="A212" t="s">
        <v>325</v>
      </c>
      <c r="B212" s="1">
        <v>44929</v>
      </c>
      <c r="C212" s="2">
        <v>0.39583333333333331</v>
      </c>
      <c r="D212" t="s">
        <v>26</v>
      </c>
      <c r="E212" t="s">
        <v>141</v>
      </c>
      <c r="F212" t="s">
        <v>99</v>
      </c>
      <c r="G212" t="s">
        <v>123</v>
      </c>
      <c r="H212" s="2">
        <v>0.39861111111111114</v>
      </c>
      <c r="I212" s="2">
        <v>0.41805555555555557</v>
      </c>
      <c r="J212">
        <v>18</v>
      </c>
      <c r="K212">
        <v>17</v>
      </c>
      <c r="L212" t="s">
        <v>38</v>
      </c>
      <c r="M212">
        <v>20.9</v>
      </c>
      <c r="N212">
        <v>90</v>
      </c>
      <c r="O212">
        <v>42</v>
      </c>
      <c r="P212">
        <v>0.8</v>
      </c>
      <c r="Q212" t="s">
        <v>71</v>
      </c>
      <c r="R212">
        <v>0</v>
      </c>
      <c r="S212">
        <v>37</v>
      </c>
      <c r="T212">
        <v>0</v>
      </c>
      <c r="U212">
        <v>1</v>
      </c>
      <c r="V212">
        <v>1</v>
      </c>
      <c r="W212" t="s">
        <v>32</v>
      </c>
      <c r="X212">
        <v>1</v>
      </c>
      <c r="Y212" t="str">
        <f t="shared" si="3"/>
        <v>Medium</v>
      </c>
    </row>
    <row r="213" spans="1:25">
      <c r="A213" t="s">
        <v>326</v>
      </c>
      <c r="B213" s="1">
        <v>44929</v>
      </c>
      <c r="C213" s="2">
        <v>0.40625</v>
      </c>
      <c r="D213" t="s">
        <v>26</v>
      </c>
      <c r="E213" t="s">
        <v>93</v>
      </c>
      <c r="F213" t="s">
        <v>49</v>
      </c>
      <c r="G213" t="s">
        <v>154</v>
      </c>
      <c r="H213" s="2">
        <v>0.40763888888888888</v>
      </c>
      <c r="I213" s="2">
        <v>0.42569444444444443</v>
      </c>
      <c r="J213">
        <v>18</v>
      </c>
      <c r="K213">
        <v>26</v>
      </c>
      <c r="L213" t="s">
        <v>45</v>
      </c>
      <c r="M213">
        <v>22.1</v>
      </c>
      <c r="N213">
        <v>91</v>
      </c>
      <c r="O213">
        <v>49</v>
      </c>
      <c r="P213">
        <v>13.5</v>
      </c>
      <c r="Q213" t="s">
        <v>31</v>
      </c>
      <c r="R213">
        <v>0</v>
      </c>
      <c r="S213">
        <v>66</v>
      </c>
      <c r="T213">
        <v>0</v>
      </c>
      <c r="U213">
        <v>0</v>
      </c>
      <c r="V213">
        <v>1</v>
      </c>
      <c r="W213" t="s">
        <v>55</v>
      </c>
      <c r="X213">
        <v>1</v>
      </c>
      <c r="Y213" t="str">
        <f t="shared" si="3"/>
        <v>Medium</v>
      </c>
    </row>
    <row r="214" spans="1:25">
      <c r="A214" t="s">
        <v>327</v>
      </c>
      <c r="B214" s="1">
        <v>44929</v>
      </c>
      <c r="C214" s="2">
        <v>0.41666666666666669</v>
      </c>
      <c r="D214" t="s">
        <v>41</v>
      </c>
      <c r="E214" t="s">
        <v>111</v>
      </c>
      <c r="F214" t="s">
        <v>107</v>
      </c>
      <c r="G214" t="s">
        <v>28</v>
      </c>
      <c r="H214" s="2">
        <v>0.41666666666666669</v>
      </c>
      <c r="I214" s="2">
        <v>0.43263888888888891</v>
      </c>
      <c r="J214">
        <v>5</v>
      </c>
      <c r="K214">
        <v>6</v>
      </c>
      <c r="L214" t="s">
        <v>45</v>
      </c>
      <c r="M214">
        <v>30.3</v>
      </c>
      <c r="N214">
        <v>30</v>
      </c>
      <c r="O214">
        <v>5</v>
      </c>
      <c r="P214">
        <v>12.8</v>
      </c>
      <c r="Q214" t="s">
        <v>31</v>
      </c>
      <c r="R214">
        <v>0</v>
      </c>
      <c r="S214">
        <v>79</v>
      </c>
      <c r="T214">
        <v>0</v>
      </c>
      <c r="U214">
        <v>0</v>
      </c>
      <c r="V214">
        <v>1</v>
      </c>
      <c r="W214" t="s">
        <v>55</v>
      </c>
      <c r="X214">
        <v>1</v>
      </c>
      <c r="Y214" t="str">
        <f t="shared" si="3"/>
        <v>High</v>
      </c>
    </row>
    <row r="215" spans="1:25">
      <c r="A215" t="s">
        <v>328</v>
      </c>
      <c r="B215" s="1">
        <v>44929</v>
      </c>
      <c r="C215" s="2">
        <v>0.42708333333333331</v>
      </c>
      <c r="D215" t="s">
        <v>26</v>
      </c>
      <c r="E215" t="s">
        <v>57</v>
      </c>
      <c r="F215" t="s">
        <v>49</v>
      </c>
      <c r="G215" t="s">
        <v>113</v>
      </c>
      <c r="H215" s="2">
        <v>0.42916666666666664</v>
      </c>
      <c r="I215" s="2">
        <v>0.44861111111111113</v>
      </c>
      <c r="J215">
        <v>4</v>
      </c>
      <c r="K215">
        <v>22</v>
      </c>
      <c r="L215" t="s">
        <v>45</v>
      </c>
      <c r="M215">
        <v>4.4000000000000004</v>
      </c>
      <c r="N215">
        <v>50</v>
      </c>
      <c r="O215">
        <v>32</v>
      </c>
      <c r="P215">
        <v>19.3</v>
      </c>
      <c r="Q215" t="s">
        <v>31</v>
      </c>
      <c r="R215">
        <v>0</v>
      </c>
      <c r="S215">
        <v>41</v>
      </c>
      <c r="T215">
        <v>0</v>
      </c>
      <c r="U215">
        <v>0</v>
      </c>
      <c r="V215">
        <v>1</v>
      </c>
      <c r="W215" t="s">
        <v>32</v>
      </c>
      <c r="X215">
        <v>1</v>
      </c>
      <c r="Y215" t="str">
        <f t="shared" si="3"/>
        <v>Medium</v>
      </c>
    </row>
    <row r="216" spans="1:25">
      <c r="A216" t="s">
        <v>329</v>
      </c>
      <c r="B216" s="1">
        <v>44929</v>
      </c>
      <c r="C216" s="2">
        <v>0.4375</v>
      </c>
      <c r="D216" t="s">
        <v>26</v>
      </c>
      <c r="E216" t="s">
        <v>89</v>
      </c>
      <c r="F216" t="s">
        <v>58</v>
      </c>
      <c r="G216" t="s">
        <v>28</v>
      </c>
      <c r="H216" s="2">
        <v>0.44027777777777777</v>
      </c>
      <c r="I216" s="2">
        <v>0.45694444444444443</v>
      </c>
      <c r="J216">
        <v>12</v>
      </c>
      <c r="K216">
        <v>23</v>
      </c>
      <c r="L216" t="s">
        <v>77</v>
      </c>
      <c r="M216">
        <v>5.5</v>
      </c>
      <c r="N216">
        <v>91</v>
      </c>
      <c r="O216">
        <v>54</v>
      </c>
      <c r="P216">
        <v>19.3</v>
      </c>
      <c r="Q216" t="s">
        <v>31</v>
      </c>
      <c r="R216">
        <v>0</v>
      </c>
      <c r="S216">
        <v>70</v>
      </c>
      <c r="T216">
        <v>0</v>
      </c>
      <c r="U216">
        <v>1</v>
      </c>
      <c r="V216">
        <v>1</v>
      </c>
      <c r="W216" t="s">
        <v>55</v>
      </c>
      <c r="X216">
        <v>1</v>
      </c>
      <c r="Y216" t="str">
        <f t="shared" si="3"/>
        <v>High</v>
      </c>
    </row>
    <row r="217" spans="1:25">
      <c r="A217" t="s">
        <v>330</v>
      </c>
      <c r="B217" s="1">
        <v>44929</v>
      </c>
      <c r="C217" s="2">
        <v>0.44791666666666669</v>
      </c>
      <c r="D217" t="s">
        <v>41</v>
      </c>
      <c r="E217" t="s">
        <v>57</v>
      </c>
      <c r="F217" t="s">
        <v>66</v>
      </c>
      <c r="G217" t="s">
        <v>37</v>
      </c>
      <c r="H217" s="2">
        <v>0.45</v>
      </c>
      <c r="I217" s="2">
        <v>0.47013888888888888</v>
      </c>
      <c r="J217">
        <v>18</v>
      </c>
      <c r="K217">
        <v>4</v>
      </c>
      <c r="L217" t="s">
        <v>30</v>
      </c>
      <c r="M217">
        <v>23.2</v>
      </c>
      <c r="N217">
        <v>93</v>
      </c>
      <c r="O217">
        <v>38</v>
      </c>
      <c r="P217">
        <v>7.6</v>
      </c>
      <c r="Q217" t="s">
        <v>31</v>
      </c>
      <c r="R217">
        <v>50000</v>
      </c>
      <c r="S217">
        <v>53</v>
      </c>
      <c r="T217">
        <v>0</v>
      </c>
      <c r="U217">
        <v>0</v>
      </c>
      <c r="V217">
        <v>1</v>
      </c>
      <c r="W217" t="s">
        <v>39</v>
      </c>
      <c r="X217">
        <v>0</v>
      </c>
      <c r="Y217" t="str">
        <f t="shared" si="3"/>
        <v>Medium</v>
      </c>
    </row>
    <row r="218" spans="1:25">
      <c r="A218" t="s">
        <v>331</v>
      </c>
      <c r="B218" s="1">
        <v>44929</v>
      </c>
      <c r="C218" s="2">
        <v>0.45833333333333331</v>
      </c>
      <c r="D218" t="s">
        <v>34</v>
      </c>
      <c r="E218" t="s">
        <v>52</v>
      </c>
      <c r="F218" t="s">
        <v>95</v>
      </c>
      <c r="G218" t="s">
        <v>197</v>
      </c>
      <c r="H218" s="2">
        <v>0.45833333333333331</v>
      </c>
      <c r="I218" s="2">
        <v>0.48958333333333331</v>
      </c>
      <c r="J218">
        <v>0</v>
      </c>
      <c r="K218">
        <v>4</v>
      </c>
      <c r="L218" t="s">
        <v>77</v>
      </c>
      <c r="M218">
        <v>2.1</v>
      </c>
      <c r="N218">
        <v>85</v>
      </c>
      <c r="O218">
        <v>11</v>
      </c>
      <c r="P218">
        <v>11.8</v>
      </c>
      <c r="Q218" t="s">
        <v>31</v>
      </c>
      <c r="R218">
        <v>0</v>
      </c>
      <c r="S218">
        <v>66</v>
      </c>
      <c r="T218">
        <v>0</v>
      </c>
      <c r="U218">
        <v>0</v>
      </c>
      <c r="V218">
        <v>1</v>
      </c>
      <c r="W218" t="s">
        <v>72</v>
      </c>
      <c r="X218">
        <v>0</v>
      </c>
      <c r="Y218" t="str">
        <f t="shared" si="3"/>
        <v>Medium</v>
      </c>
    </row>
    <row r="219" spans="1:25">
      <c r="A219" t="s">
        <v>332</v>
      </c>
      <c r="B219" s="1">
        <v>44929</v>
      </c>
      <c r="C219" s="2">
        <v>0.46875</v>
      </c>
      <c r="D219" t="s">
        <v>41</v>
      </c>
      <c r="E219" t="s">
        <v>141</v>
      </c>
      <c r="F219" t="s">
        <v>37</v>
      </c>
      <c r="G219" t="s">
        <v>76</v>
      </c>
      <c r="H219" s="2">
        <v>0.47152777777777777</v>
      </c>
      <c r="I219" s="2">
        <v>0.5083333333333333</v>
      </c>
      <c r="J219">
        <v>14</v>
      </c>
      <c r="K219">
        <v>4</v>
      </c>
      <c r="L219" t="s">
        <v>38</v>
      </c>
      <c r="M219">
        <v>13.6</v>
      </c>
      <c r="N219">
        <v>30</v>
      </c>
      <c r="O219">
        <v>51</v>
      </c>
      <c r="P219">
        <v>2.8</v>
      </c>
      <c r="Q219" t="s">
        <v>71</v>
      </c>
      <c r="R219">
        <v>0</v>
      </c>
      <c r="S219">
        <v>77</v>
      </c>
      <c r="T219">
        <v>0</v>
      </c>
      <c r="U219">
        <v>0</v>
      </c>
      <c r="V219">
        <v>1</v>
      </c>
      <c r="W219" t="s">
        <v>72</v>
      </c>
      <c r="X219">
        <v>0</v>
      </c>
      <c r="Y219" t="str">
        <f t="shared" si="3"/>
        <v>High</v>
      </c>
    </row>
    <row r="220" spans="1:25">
      <c r="A220" t="s">
        <v>333</v>
      </c>
      <c r="B220" s="1">
        <v>44929</v>
      </c>
      <c r="C220" s="2">
        <v>0.47916666666666669</v>
      </c>
      <c r="D220" t="s">
        <v>34</v>
      </c>
      <c r="E220" t="s">
        <v>93</v>
      </c>
      <c r="F220" t="s">
        <v>81</v>
      </c>
      <c r="G220" t="s">
        <v>197</v>
      </c>
      <c r="H220" s="2">
        <v>0.48125000000000001</v>
      </c>
      <c r="I220" s="2">
        <v>0.50138888888888888</v>
      </c>
      <c r="J220">
        <v>8</v>
      </c>
      <c r="K220">
        <v>12</v>
      </c>
      <c r="L220" t="s">
        <v>30</v>
      </c>
      <c r="M220">
        <v>-4.2</v>
      </c>
      <c r="N220">
        <v>50</v>
      </c>
      <c r="O220">
        <v>35</v>
      </c>
      <c r="P220">
        <v>1.3</v>
      </c>
      <c r="Q220" t="s">
        <v>46</v>
      </c>
      <c r="R220">
        <v>10000</v>
      </c>
      <c r="S220">
        <v>63</v>
      </c>
      <c r="T220">
        <v>0</v>
      </c>
      <c r="U220">
        <v>0</v>
      </c>
      <c r="V220">
        <v>1</v>
      </c>
      <c r="W220" t="s">
        <v>55</v>
      </c>
      <c r="X220">
        <v>1</v>
      </c>
      <c r="Y220" t="str">
        <f t="shared" si="3"/>
        <v>Medium</v>
      </c>
    </row>
    <row r="221" spans="1:25">
      <c r="A221" t="s">
        <v>334</v>
      </c>
      <c r="B221" s="1">
        <v>44929</v>
      </c>
      <c r="C221" s="2">
        <v>0.48958333333333331</v>
      </c>
      <c r="D221" t="s">
        <v>26</v>
      </c>
      <c r="E221" t="s">
        <v>130</v>
      </c>
      <c r="F221" t="s">
        <v>83</v>
      </c>
      <c r="G221" t="s">
        <v>197</v>
      </c>
      <c r="H221" s="2">
        <v>0.49166666666666664</v>
      </c>
      <c r="I221" s="2">
        <v>0.52986111111111112</v>
      </c>
      <c r="J221">
        <v>6</v>
      </c>
      <c r="K221">
        <v>9</v>
      </c>
      <c r="L221" t="s">
        <v>30</v>
      </c>
      <c r="M221">
        <v>0.6</v>
      </c>
      <c r="N221">
        <v>51</v>
      </c>
      <c r="O221">
        <v>30</v>
      </c>
      <c r="P221">
        <v>8.6999999999999993</v>
      </c>
      <c r="Q221" t="s">
        <v>31</v>
      </c>
      <c r="R221">
        <v>0</v>
      </c>
      <c r="S221">
        <v>79</v>
      </c>
      <c r="T221">
        <v>0</v>
      </c>
      <c r="U221">
        <v>0</v>
      </c>
      <c r="V221">
        <v>1</v>
      </c>
      <c r="W221" t="s">
        <v>72</v>
      </c>
      <c r="X221">
        <v>1</v>
      </c>
      <c r="Y221" t="str">
        <f t="shared" si="3"/>
        <v>High</v>
      </c>
    </row>
    <row r="222" spans="1:25">
      <c r="A222" t="s">
        <v>335</v>
      </c>
      <c r="B222" s="1">
        <v>44929</v>
      </c>
      <c r="C222" s="2">
        <v>0.5</v>
      </c>
      <c r="D222" t="s">
        <v>26</v>
      </c>
      <c r="E222" t="s">
        <v>42</v>
      </c>
      <c r="F222" t="s">
        <v>96</v>
      </c>
      <c r="G222" t="s">
        <v>80</v>
      </c>
      <c r="H222" s="2">
        <v>0.50277777777777777</v>
      </c>
      <c r="I222" s="2">
        <v>0.53263888888888888</v>
      </c>
      <c r="J222">
        <v>2</v>
      </c>
      <c r="K222">
        <v>19</v>
      </c>
      <c r="L222" t="s">
        <v>38</v>
      </c>
      <c r="M222">
        <v>22.2</v>
      </c>
      <c r="N222">
        <v>83</v>
      </c>
      <c r="O222">
        <v>9</v>
      </c>
      <c r="P222">
        <v>13.8</v>
      </c>
      <c r="Q222" t="s">
        <v>63</v>
      </c>
      <c r="R222">
        <v>0</v>
      </c>
      <c r="S222">
        <v>3</v>
      </c>
      <c r="T222">
        <v>0</v>
      </c>
      <c r="U222">
        <v>0</v>
      </c>
      <c r="V222">
        <v>1</v>
      </c>
      <c r="W222" t="s">
        <v>72</v>
      </c>
      <c r="X222">
        <v>1</v>
      </c>
      <c r="Y222" t="str">
        <f t="shared" si="3"/>
        <v>Low</v>
      </c>
    </row>
    <row r="223" spans="1:25">
      <c r="A223" t="s">
        <v>336</v>
      </c>
      <c r="B223" s="1">
        <v>44929</v>
      </c>
      <c r="C223" s="2">
        <v>0.51041666666666663</v>
      </c>
      <c r="D223" t="s">
        <v>26</v>
      </c>
      <c r="E223" t="s">
        <v>68</v>
      </c>
      <c r="F223" t="s">
        <v>53</v>
      </c>
      <c r="G223" t="s">
        <v>69</v>
      </c>
      <c r="H223" s="2">
        <v>0.51041666666666663</v>
      </c>
      <c r="I223" s="2">
        <v>0.53680555555555554</v>
      </c>
      <c r="J223">
        <v>7</v>
      </c>
      <c r="K223">
        <v>8</v>
      </c>
      <c r="L223" t="s">
        <v>30</v>
      </c>
      <c r="M223">
        <v>24.9</v>
      </c>
      <c r="N223">
        <v>33</v>
      </c>
      <c r="O223">
        <v>52</v>
      </c>
      <c r="P223">
        <v>11.4</v>
      </c>
      <c r="Q223" t="s">
        <v>31</v>
      </c>
      <c r="R223">
        <v>0</v>
      </c>
      <c r="S223">
        <v>30</v>
      </c>
      <c r="T223">
        <v>0</v>
      </c>
      <c r="U223">
        <v>1</v>
      </c>
      <c r="V223">
        <v>1</v>
      </c>
      <c r="W223" t="s">
        <v>72</v>
      </c>
      <c r="X223">
        <v>1</v>
      </c>
      <c r="Y223" t="str">
        <f t="shared" si="3"/>
        <v>Low</v>
      </c>
    </row>
    <row r="224" spans="1:25">
      <c r="A224" t="s">
        <v>337</v>
      </c>
      <c r="B224" s="1">
        <v>44929</v>
      </c>
      <c r="C224" s="2">
        <v>0.52083333333333337</v>
      </c>
      <c r="D224" t="s">
        <v>74</v>
      </c>
      <c r="E224" t="s">
        <v>48</v>
      </c>
      <c r="F224" t="s">
        <v>37</v>
      </c>
      <c r="G224" t="s">
        <v>37</v>
      </c>
      <c r="H224" s="2">
        <v>0.5229166666666667</v>
      </c>
      <c r="I224" s="2">
        <v>0.55069444444444449</v>
      </c>
      <c r="J224">
        <v>12</v>
      </c>
      <c r="K224">
        <v>23</v>
      </c>
      <c r="L224" t="s">
        <v>84</v>
      </c>
      <c r="M224">
        <v>-0.4</v>
      </c>
      <c r="N224">
        <v>94</v>
      </c>
      <c r="O224">
        <v>33</v>
      </c>
      <c r="P224">
        <v>8.6</v>
      </c>
      <c r="Q224" t="s">
        <v>31</v>
      </c>
      <c r="R224">
        <v>2000</v>
      </c>
      <c r="S224">
        <v>12</v>
      </c>
      <c r="T224">
        <v>0</v>
      </c>
      <c r="U224">
        <v>1</v>
      </c>
      <c r="V224">
        <v>1</v>
      </c>
      <c r="W224" t="s">
        <v>39</v>
      </c>
      <c r="X224">
        <v>1</v>
      </c>
      <c r="Y224" t="str">
        <f t="shared" si="3"/>
        <v>Low</v>
      </c>
    </row>
    <row r="225" spans="1:25">
      <c r="A225" t="s">
        <v>338</v>
      </c>
      <c r="B225" s="1">
        <v>44929</v>
      </c>
      <c r="C225" s="2">
        <v>0.53125</v>
      </c>
      <c r="D225" t="s">
        <v>34</v>
      </c>
      <c r="E225" t="s">
        <v>104</v>
      </c>
      <c r="F225" t="s">
        <v>105</v>
      </c>
      <c r="G225" t="s">
        <v>203</v>
      </c>
      <c r="H225" s="2">
        <v>0.53263888888888888</v>
      </c>
      <c r="I225" s="2">
        <v>0.55763888888888891</v>
      </c>
      <c r="J225">
        <v>11</v>
      </c>
      <c r="K225">
        <v>18</v>
      </c>
      <c r="L225" t="s">
        <v>38</v>
      </c>
      <c r="M225">
        <v>4.0999999999999996</v>
      </c>
      <c r="N225">
        <v>80</v>
      </c>
      <c r="O225">
        <v>40</v>
      </c>
      <c r="P225">
        <v>16.399999999999999</v>
      </c>
      <c r="Q225" t="s">
        <v>31</v>
      </c>
      <c r="R225">
        <v>0</v>
      </c>
      <c r="S225">
        <v>26</v>
      </c>
      <c r="T225">
        <v>0</v>
      </c>
      <c r="U225">
        <v>0</v>
      </c>
      <c r="V225">
        <v>1</v>
      </c>
      <c r="W225" t="s">
        <v>39</v>
      </c>
      <c r="X225">
        <v>1</v>
      </c>
      <c r="Y225" t="str">
        <f t="shared" si="3"/>
        <v>Low</v>
      </c>
    </row>
    <row r="226" spans="1:25">
      <c r="A226" t="s">
        <v>339</v>
      </c>
      <c r="B226" s="1">
        <v>44929</v>
      </c>
      <c r="C226" s="2">
        <v>0.54166666666666663</v>
      </c>
      <c r="D226" t="s">
        <v>74</v>
      </c>
      <c r="E226" t="s">
        <v>98</v>
      </c>
      <c r="F226" t="s">
        <v>62</v>
      </c>
      <c r="G226" t="s">
        <v>203</v>
      </c>
      <c r="H226" s="2">
        <v>0.5444444444444444</v>
      </c>
      <c r="I226" s="2">
        <v>0.56388888888888888</v>
      </c>
      <c r="J226">
        <v>1</v>
      </c>
      <c r="K226">
        <v>28</v>
      </c>
      <c r="L226" t="s">
        <v>38</v>
      </c>
      <c r="M226">
        <v>-1</v>
      </c>
      <c r="N226">
        <v>92</v>
      </c>
      <c r="O226">
        <v>9</v>
      </c>
      <c r="P226">
        <v>15.9</v>
      </c>
      <c r="Q226" t="s">
        <v>31</v>
      </c>
      <c r="R226">
        <v>0</v>
      </c>
      <c r="S226">
        <v>58</v>
      </c>
      <c r="T226">
        <v>0</v>
      </c>
      <c r="U226">
        <v>0</v>
      </c>
      <c r="V226">
        <v>1</v>
      </c>
      <c r="W226" t="s">
        <v>72</v>
      </c>
      <c r="X226">
        <v>1</v>
      </c>
      <c r="Y226" t="str">
        <f t="shared" si="3"/>
        <v>Medium</v>
      </c>
    </row>
    <row r="227" spans="1:25">
      <c r="A227" t="s">
        <v>340</v>
      </c>
      <c r="B227" s="1">
        <v>44929</v>
      </c>
      <c r="C227" s="2">
        <v>0.55208333333333337</v>
      </c>
      <c r="D227" t="s">
        <v>74</v>
      </c>
      <c r="E227" t="s">
        <v>89</v>
      </c>
      <c r="F227" t="s">
        <v>90</v>
      </c>
      <c r="G227" t="s">
        <v>176</v>
      </c>
      <c r="H227" s="2">
        <v>0.55277777777777781</v>
      </c>
      <c r="I227" s="2">
        <v>0.57430555555555551</v>
      </c>
      <c r="J227">
        <v>18</v>
      </c>
      <c r="K227">
        <v>23</v>
      </c>
      <c r="L227" t="s">
        <v>84</v>
      </c>
      <c r="M227">
        <v>12.3</v>
      </c>
      <c r="N227">
        <v>44</v>
      </c>
      <c r="O227">
        <v>51</v>
      </c>
      <c r="P227">
        <v>14.6</v>
      </c>
      <c r="Q227" t="s">
        <v>31</v>
      </c>
      <c r="R227">
        <v>50000</v>
      </c>
      <c r="S227">
        <v>64</v>
      </c>
      <c r="T227">
        <v>0</v>
      </c>
      <c r="U227">
        <v>0</v>
      </c>
      <c r="V227">
        <v>1</v>
      </c>
      <c r="W227" t="s">
        <v>32</v>
      </c>
      <c r="X227">
        <v>1</v>
      </c>
      <c r="Y227" t="str">
        <f t="shared" si="3"/>
        <v>Medium</v>
      </c>
    </row>
    <row r="228" spans="1:25">
      <c r="A228" t="s">
        <v>341</v>
      </c>
      <c r="B228" s="1">
        <v>44929</v>
      </c>
      <c r="C228" s="2">
        <v>0.5625</v>
      </c>
      <c r="D228" t="s">
        <v>41</v>
      </c>
      <c r="E228" t="s">
        <v>141</v>
      </c>
      <c r="F228" t="s">
        <v>69</v>
      </c>
      <c r="G228" t="s">
        <v>185</v>
      </c>
      <c r="H228" s="2">
        <v>0.56319444444444444</v>
      </c>
      <c r="I228" s="2">
        <v>0.59513888888888888</v>
      </c>
      <c r="J228">
        <v>17</v>
      </c>
      <c r="K228">
        <v>-2</v>
      </c>
      <c r="L228" t="s">
        <v>77</v>
      </c>
      <c r="M228">
        <v>0</v>
      </c>
      <c r="N228">
        <v>65</v>
      </c>
      <c r="O228">
        <v>10</v>
      </c>
      <c r="P228">
        <v>1.5</v>
      </c>
      <c r="Q228" t="s">
        <v>101</v>
      </c>
      <c r="R228">
        <v>0</v>
      </c>
      <c r="S228">
        <v>63</v>
      </c>
      <c r="T228">
        <v>0</v>
      </c>
      <c r="U228">
        <v>1</v>
      </c>
      <c r="V228">
        <v>1</v>
      </c>
      <c r="W228" t="s">
        <v>32</v>
      </c>
      <c r="X228">
        <v>0</v>
      </c>
      <c r="Y228" t="str">
        <f t="shared" si="3"/>
        <v>Medium</v>
      </c>
    </row>
    <row r="229" spans="1:25">
      <c r="A229" t="s">
        <v>342</v>
      </c>
      <c r="B229" s="1">
        <v>44929</v>
      </c>
      <c r="C229" s="2">
        <v>0.57291666666666663</v>
      </c>
      <c r="D229" t="s">
        <v>74</v>
      </c>
      <c r="E229" t="s">
        <v>27</v>
      </c>
      <c r="F229" t="s">
        <v>49</v>
      </c>
      <c r="G229" t="s">
        <v>28</v>
      </c>
      <c r="H229" s="2">
        <v>0.57291666666666663</v>
      </c>
      <c r="I229" s="2">
        <v>0.58750000000000002</v>
      </c>
      <c r="J229">
        <v>-1</v>
      </c>
      <c r="K229">
        <v>29</v>
      </c>
      <c r="L229" t="s">
        <v>77</v>
      </c>
      <c r="M229">
        <v>12.5</v>
      </c>
      <c r="N229">
        <v>58</v>
      </c>
      <c r="O229">
        <v>56</v>
      </c>
      <c r="P229">
        <v>15.9</v>
      </c>
      <c r="Q229" t="s">
        <v>31</v>
      </c>
      <c r="R229">
        <v>2000</v>
      </c>
      <c r="S229">
        <v>24</v>
      </c>
      <c r="T229">
        <v>0</v>
      </c>
      <c r="U229">
        <v>0</v>
      </c>
      <c r="V229">
        <v>1</v>
      </c>
      <c r="W229" t="s">
        <v>32</v>
      </c>
      <c r="X229">
        <v>1</v>
      </c>
      <c r="Y229" t="str">
        <f t="shared" si="3"/>
        <v>Low</v>
      </c>
    </row>
    <row r="230" spans="1:25">
      <c r="A230" t="s">
        <v>343</v>
      </c>
      <c r="B230" s="1">
        <v>44929</v>
      </c>
      <c r="C230" s="2">
        <v>0.58333333333333337</v>
      </c>
      <c r="D230" t="s">
        <v>41</v>
      </c>
      <c r="E230" t="s">
        <v>61</v>
      </c>
      <c r="F230" t="s">
        <v>99</v>
      </c>
      <c r="G230" t="s">
        <v>100</v>
      </c>
      <c r="H230" s="2">
        <v>0.58472222222222225</v>
      </c>
      <c r="I230" s="2">
        <v>0.60347222222222219</v>
      </c>
      <c r="J230">
        <v>9</v>
      </c>
      <c r="K230">
        <v>22</v>
      </c>
      <c r="L230" t="s">
        <v>77</v>
      </c>
      <c r="M230">
        <v>24.3</v>
      </c>
      <c r="N230">
        <v>81</v>
      </c>
      <c r="O230">
        <v>13</v>
      </c>
      <c r="P230">
        <v>18.399999999999999</v>
      </c>
      <c r="Q230" t="s">
        <v>31</v>
      </c>
      <c r="R230">
        <v>10000</v>
      </c>
      <c r="S230">
        <v>36</v>
      </c>
      <c r="T230">
        <v>0</v>
      </c>
      <c r="U230">
        <v>0</v>
      </c>
      <c r="V230">
        <v>1</v>
      </c>
      <c r="W230" t="s">
        <v>39</v>
      </c>
      <c r="X230">
        <v>1</v>
      </c>
      <c r="Y230" t="str">
        <f t="shared" si="3"/>
        <v>Medium</v>
      </c>
    </row>
    <row r="231" spans="1:25">
      <c r="A231" t="s">
        <v>344</v>
      </c>
      <c r="B231" s="1">
        <v>44929</v>
      </c>
      <c r="C231" s="2">
        <v>0.59375</v>
      </c>
      <c r="D231" t="s">
        <v>41</v>
      </c>
      <c r="E231" t="s">
        <v>157</v>
      </c>
      <c r="F231" t="s">
        <v>194</v>
      </c>
      <c r="G231" t="s">
        <v>80</v>
      </c>
      <c r="H231" s="2">
        <v>0.59583333333333333</v>
      </c>
      <c r="I231" s="2">
        <v>0.62222222222222223</v>
      </c>
      <c r="J231">
        <v>-2</v>
      </c>
      <c r="K231">
        <v>24</v>
      </c>
      <c r="L231" t="s">
        <v>30</v>
      </c>
      <c r="M231">
        <v>22.3</v>
      </c>
      <c r="N231">
        <v>75</v>
      </c>
      <c r="O231">
        <v>2</v>
      </c>
      <c r="P231">
        <v>1.2</v>
      </c>
      <c r="Q231" t="s">
        <v>31</v>
      </c>
      <c r="R231">
        <v>0</v>
      </c>
      <c r="S231">
        <v>74</v>
      </c>
      <c r="T231">
        <v>0</v>
      </c>
      <c r="U231">
        <v>1</v>
      </c>
      <c r="V231">
        <v>1</v>
      </c>
      <c r="W231" t="s">
        <v>39</v>
      </c>
      <c r="X231">
        <v>1</v>
      </c>
      <c r="Y231" t="str">
        <f t="shared" si="3"/>
        <v>High</v>
      </c>
    </row>
    <row r="232" spans="1:25">
      <c r="A232" t="s">
        <v>345</v>
      </c>
      <c r="B232" s="1">
        <v>44929</v>
      </c>
      <c r="C232" s="2">
        <v>0.60416666666666663</v>
      </c>
      <c r="D232" t="s">
        <v>74</v>
      </c>
      <c r="E232" t="s">
        <v>126</v>
      </c>
      <c r="F232" t="s">
        <v>44</v>
      </c>
      <c r="G232" t="s">
        <v>109</v>
      </c>
      <c r="H232" s="2">
        <v>0.60486111111111107</v>
      </c>
      <c r="I232" s="2">
        <v>0.62638888888888888</v>
      </c>
      <c r="J232">
        <v>17</v>
      </c>
      <c r="K232">
        <v>15</v>
      </c>
      <c r="L232" t="s">
        <v>84</v>
      </c>
      <c r="M232">
        <v>6.2</v>
      </c>
      <c r="N232">
        <v>98</v>
      </c>
      <c r="O232">
        <v>56</v>
      </c>
      <c r="P232">
        <v>8</v>
      </c>
      <c r="Q232" t="s">
        <v>101</v>
      </c>
      <c r="R232">
        <v>10000</v>
      </c>
      <c r="S232">
        <v>72</v>
      </c>
      <c r="T232">
        <v>0</v>
      </c>
      <c r="U232">
        <v>1</v>
      </c>
      <c r="V232">
        <v>1</v>
      </c>
      <c r="W232" t="s">
        <v>39</v>
      </c>
      <c r="X232">
        <v>1</v>
      </c>
      <c r="Y232" t="str">
        <f t="shared" si="3"/>
        <v>High</v>
      </c>
    </row>
    <row r="233" spans="1:25">
      <c r="A233" t="s">
        <v>346</v>
      </c>
      <c r="B233" s="1">
        <v>44929</v>
      </c>
      <c r="C233" s="2">
        <v>0.61458333333333337</v>
      </c>
      <c r="D233" t="s">
        <v>34</v>
      </c>
      <c r="E233" t="s">
        <v>157</v>
      </c>
      <c r="F233" t="s">
        <v>49</v>
      </c>
      <c r="G233" t="s">
        <v>96</v>
      </c>
      <c r="H233" s="2">
        <v>0.61458333333333337</v>
      </c>
      <c r="I233" s="2">
        <v>0.63402777777777775</v>
      </c>
      <c r="J233">
        <v>2</v>
      </c>
      <c r="K233">
        <v>1</v>
      </c>
      <c r="L233" t="s">
        <v>38</v>
      </c>
      <c r="M233">
        <v>22</v>
      </c>
      <c r="N233">
        <v>58</v>
      </c>
      <c r="O233">
        <v>32</v>
      </c>
      <c r="P233">
        <v>19.8</v>
      </c>
      <c r="Q233" t="s">
        <v>31</v>
      </c>
      <c r="R233">
        <v>2000</v>
      </c>
      <c r="S233">
        <v>70</v>
      </c>
      <c r="T233">
        <v>0</v>
      </c>
      <c r="U233">
        <v>0</v>
      </c>
      <c r="V233">
        <v>1</v>
      </c>
      <c r="W233" t="s">
        <v>39</v>
      </c>
      <c r="X233">
        <v>0</v>
      </c>
      <c r="Y233" t="str">
        <f t="shared" si="3"/>
        <v>High</v>
      </c>
    </row>
    <row r="234" spans="1:25">
      <c r="A234" t="s">
        <v>347</v>
      </c>
      <c r="B234" s="1">
        <v>44929</v>
      </c>
      <c r="C234" s="2">
        <v>0.625</v>
      </c>
      <c r="D234" t="s">
        <v>34</v>
      </c>
      <c r="E234" t="s">
        <v>79</v>
      </c>
      <c r="F234" t="s">
        <v>148</v>
      </c>
      <c r="G234" t="s">
        <v>154</v>
      </c>
      <c r="H234" s="2">
        <v>0.62638888888888888</v>
      </c>
      <c r="I234" s="2">
        <v>0.66111111111111109</v>
      </c>
      <c r="J234">
        <v>3</v>
      </c>
      <c r="K234">
        <v>29</v>
      </c>
      <c r="L234" t="s">
        <v>38</v>
      </c>
      <c r="M234">
        <v>32.1</v>
      </c>
      <c r="N234">
        <v>76</v>
      </c>
      <c r="O234">
        <v>6</v>
      </c>
      <c r="P234">
        <v>12</v>
      </c>
      <c r="Q234" t="s">
        <v>101</v>
      </c>
      <c r="R234">
        <v>50000</v>
      </c>
      <c r="S234">
        <v>13</v>
      </c>
      <c r="T234">
        <v>0</v>
      </c>
      <c r="U234">
        <v>0</v>
      </c>
      <c r="V234">
        <v>1</v>
      </c>
      <c r="W234" t="s">
        <v>72</v>
      </c>
      <c r="X234">
        <v>1</v>
      </c>
      <c r="Y234" t="str">
        <f t="shared" si="3"/>
        <v>Low</v>
      </c>
    </row>
    <row r="235" spans="1:25">
      <c r="A235" t="s">
        <v>348</v>
      </c>
      <c r="B235" s="1">
        <v>44929</v>
      </c>
      <c r="C235" s="2">
        <v>0.63541666666666663</v>
      </c>
      <c r="D235" t="s">
        <v>34</v>
      </c>
      <c r="E235" t="s">
        <v>157</v>
      </c>
      <c r="F235" t="s">
        <v>76</v>
      </c>
      <c r="G235" t="s">
        <v>107</v>
      </c>
      <c r="H235" s="2">
        <v>0.63680555555555551</v>
      </c>
      <c r="I235" s="2">
        <v>0.65833333333333333</v>
      </c>
      <c r="J235">
        <v>8</v>
      </c>
      <c r="K235">
        <v>16</v>
      </c>
      <c r="L235" t="s">
        <v>38</v>
      </c>
      <c r="M235">
        <v>8.9</v>
      </c>
      <c r="N235">
        <v>54</v>
      </c>
      <c r="O235">
        <v>3</v>
      </c>
      <c r="P235">
        <v>10.3</v>
      </c>
      <c r="Q235" t="s">
        <v>31</v>
      </c>
      <c r="R235">
        <v>0</v>
      </c>
      <c r="S235">
        <v>93</v>
      </c>
      <c r="T235">
        <v>0</v>
      </c>
      <c r="U235">
        <v>0</v>
      </c>
      <c r="V235">
        <v>1</v>
      </c>
      <c r="W235" t="s">
        <v>39</v>
      </c>
      <c r="X235">
        <v>1</v>
      </c>
      <c r="Y235" t="str">
        <f t="shared" si="3"/>
        <v>High</v>
      </c>
    </row>
    <row r="236" spans="1:25">
      <c r="A236" t="s">
        <v>349</v>
      </c>
      <c r="B236" s="1">
        <v>44929</v>
      </c>
      <c r="C236" s="2">
        <v>0.64583333333333337</v>
      </c>
      <c r="D236" t="s">
        <v>34</v>
      </c>
      <c r="E236" t="s">
        <v>57</v>
      </c>
      <c r="F236" t="s">
        <v>168</v>
      </c>
      <c r="G236" t="s">
        <v>194</v>
      </c>
      <c r="H236" s="2">
        <v>0.64583333333333337</v>
      </c>
      <c r="I236" s="2">
        <v>0.67291666666666672</v>
      </c>
      <c r="J236">
        <v>5</v>
      </c>
      <c r="K236">
        <v>26</v>
      </c>
      <c r="L236" t="s">
        <v>30</v>
      </c>
      <c r="M236">
        <v>8.1999999999999993</v>
      </c>
      <c r="N236">
        <v>45</v>
      </c>
      <c r="O236">
        <v>38</v>
      </c>
      <c r="P236">
        <v>3.5</v>
      </c>
      <c r="Q236" t="s">
        <v>31</v>
      </c>
      <c r="R236">
        <v>50000</v>
      </c>
      <c r="S236">
        <v>23</v>
      </c>
      <c r="T236">
        <v>0</v>
      </c>
      <c r="U236">
        <v>0</v>
      </c>
      <c r="V236">
        <v>1</v>
      </c>
      <c r="W236" t="s">
        <v>72</v>
      </c>
      <c r="X236">
        <v>1</v>
      </c>
      <c r="Y236" t="str">
        <f t="shared" si="3"/>
        <v>Low</v>
      </c>
    </row>
    <row r="237" spans="1:25">
      <c r="A237" t="s">
        <v>350</v>
      </c>
      <c r="B237" s="1">
        <v>44929</v>
      </c>
      <c r="C237" s="2">
        <v>0.65625</v>
      </c>
      <c r="D237" t="s">
        <v>34</v>
      </c>
      <c r="E237" t="s">
        <v>35</v>
      </c>
      <c r="F237" t="s">
        <v>113</v>
      </c>
      <c r="G237" t="s">
        <v>49</v>
      </c>
      <c r="H237" s="2">
        <v>0.65625</v>
      </c>
      <c r="I237" s="2">
        <v>0.67986111111111114</v>
      </c>
      <c r="J237">
        <v>4</v>
      </c>
      <c r="K237">
        <v>4</v>
      </c>
      <c r="L237" t="s">
        <v>30</v>
      </c>
      <c r="M237">
        <v>17.899999999999999</v>
      </c>
      <c r="N237">
        <v>70</v>
      </c>
      <c r="O237">
        <v>47</v>
      </c>
      <c r="P237">
        <v>11.3</v>
      </c>
      <c r="Q237" t="s">
        <v>31</v>
      </c>
      <c r="R237">
        <v>0</v>
      </c>
      <c r="S237">
        <v>66</v>
      </c>
      <c r="T237">
        <v>0</v>
      </c>
      <c r="U237">
        <v>1</v>
      </c>
      <c r="V237">
        <v>1</v>
      </c>
      <c r="W237" t="s">
        <v>32</v>
      </c>
      <c r="X237">
        <v>0</v>
      </c>
      <c r="Y237" t="str">
        <f t="shared" si="3"/>
        <v>Medium</v>
      </c>
    </row>
    <row r="238" spans="1:25">
      <c r="A238" t="s">
        <v>351</v>
      </c>
      <c r="B238" s="1">
        <v>44929</v>
      </c>
      <c r="C238" s="2">
        <v>0.66666666666666663</v>
      </c>
      <c r="D238" t="s">
        <v>74</v>
      </c>
      <c r="E238" t="s">
        <v>57</v>
      </c>
      <c r="F238" t="s">
        <v>96</v>
      </c>
      <c r="G238" t="s">
        <v>151</v>
      </c>
      <c r="H238" s="2">
        <v>0.66874999999999996</v>
      </c>
      <c r="I238" s="2">
        <v>0.70208333333333328</v>
      </c>
      <c r="J238">
        <v>1</v>
      </c>
      <c r="K238">
        <v>13</v>
      </c>
      <c r="L238" t="s">
        <v>54</v>
      </c>
      <c r="M238">
        <v>4.8</v>
      </c>
      <c r="N238">
        <v>94</v>
      </c>
      <c r="O238">
        <v>9</v>
      </c>
      <c r="P238">
        <v>8.8000000000000007</v>
      </c>
      <c r="Q238" t="s">
        <v>59</v>
      </c>
      <c r="R238">
        <v>2000</v>
      </c>
      <c r="S238">
        <v>47</v>
      </c>
      <c r="T238">
        <v>1</v>
      </c>
      <c r="U238">
        <v>0</v>
      </c>
      <c r="V238">
        <v>1</v>
      </c>
      <c r="W238" t="s">
        <v>72</v>
      </c>
      <c r="X238">
        <v>1</v>
      </c>
      <c r="Y238" t="str">
        <f t="shared" si="3"/>
        <v>Medium</v>
      </c>
    </row>
    <row r="239" spans="1:25">
      <c r="A239" t="s">
        <v>352</v>
      </c>
      <c r="B239" s="1">
        <v>44929</v>
      </c>
      <c r="C239" s="2">
        <v>0.67708333333333337</v>
      </c>
      <c r="D239" t="s">
        <v>74</v>
      </c>
      <c r="E239" t="s">
        <v>98</v>
      </c>
      <c r="F239" t="s">
        <v>128</v>
      </c>
      <c r="G239" t="s">
        <v>83</v>
      </c>
      <c r="H239" s="2">
        <v>0.67708333333333337</v>
      </c>
      <c r="I239" s="2">
        <v>0.71319444444444446</v>
      </c>
      <c r="J239">
        <v>3</v>
      </c>
      <c r="K239">
        <v>-3</v>
      </c>
      <c r="L239" t="s">
        <v>77</v>
      </c>
      <c r="M239">
        <v>21.1</v>
      </c>
      <c r="N239">
        <v>98</v>
      </c>
      <c r="O239">
        <v>14</v>
      </c>
      <c r="P239">
        <v>2.5</v>
      </c>
      <c r="Q239" t="s">
        <v>46</v>
      </c>
      <c r="R239">
        <v>0</v>
      </c>
      <c r="S239">
        <v>90</v>
      </c>
      <c r="T239">
        <v>0</v>
      </c>
      <c r="U239">
        <v>0</v>
      </c>
      <c r="V239">
        <v>1</v>
      </c>
      <c r="W239" t="s">
        <v>32</v>
      </c>
      <c r="X239">
        <v>0</v>
      </c>
      <c r="Y239" t="str">
        <f t="shared" si="3"/>
        <v>High</v>
      </c>
    </row>
    <row r="240" spans="1:25">
      <c r="A240" t="s">
        <v>353</v>
      </c>
      <c r="B240" s="1">
        <v>44929</v>
      </c>
      <c r="C240" s="2">
        <v>0.6875</v>
      </c>
      <c r="D240" t="s">
        <v>26</v>
      </c>
      <c r="E240" t="s">
        <v>161</v>
      </c>
      <c r="F240" t="s">
        <v>86</v>
      </c>
      <c r="G240" t="s">
        <v>135</v>
      </c>
      <c r="H240" s="2">
        <v>0.68958333333333333</v>
      </c>
      <c r="I240" s="2">
        <v>0.71250000000000002</v>
      </c>
      <c r="J240">
        <v>13</v>
      </c>
      <c r="K240">
        <v>-1</v>
      </c>
      <c r="L240" t="s">
        <v>54</v>
      </c>
      <c r="M240">
        <v>28.3</v>
      </c>
      <c r="N240">
        <v>49</v>
      </c>
      <c r="O240">
        <v>15</v>
      </c>
      <c r="P240">
        <v>9.3000000000000007</v>
      </c>
      <c r="Q240" t="s">
        <v>31</v>
      </c>
      <c r="R240">
        <v>0</v>
      </c>
      <c r="S240">
        <v>64</v>
      </c>
      <c r="T240">
        <v>0</v>
      </c>
      <c r="U240">
        <v>1</v>
      </c>
      <c r="V240">
        <v>1</v>
      </c>
      <c r="W240" t="s">
        <v>39</v>
      </c>
      <c r="X240">
        <v>0</v>
      </c>
      <c r="Y240" t="str">
        <f t="shared" si="3"/>
        <v>Medium</v>
      </c>
    </row>
    <row r="241" spans="1:25">
      <c r="A241" t="s">
        <v>354</v>
      </c>
      <c r="B241" s="1">
        <v>44929</v>
      </c>
      <c r="C241" s="2">
        <v>0.69791666666666663</v>
      </c>
      <c r="D241" t="s">
        <v>34</v>
      </c>
      <c r="E241" t="s">
        <v>79</v>
      </c>
      <c r="F241" t="s">
        <v>58</v>
      </c>
      <c r="G241" t="s">
        <v>28</v>
      </c>
      <c r="H241" s="2">
        <v>0.7</v>
      </c>
      <c r="I241" s="2">
        <v>0.72777777777777775</v>
      </c>
      <c r="J241">
        <v>17</v>
      </c>
      <c r="K241">
        <v>22</v>
      </c>
      <c r="L241" t="s">
        <v>54</v>
      </c>
      <c r="M241">
        <v>13.4</v>
      </c>
      <c r="N241">
        <v>98</v>
      </c>
      <c r="O241">
        <v>37</v>
      </c>
      <c r="P241">
        <v>3.3</v>
      </c>
      <c r="Q241" t="s">
        <v>31</v>
      </c>
      <c r="R241">
        <v>0</v>
      </c>
      <c r="S241">
        <v>37</v>
      </c>
      <c r="T241">
        <v>0</v>
      </c>
      <c r="U241">
        <v>0</v>
      </c>
      <c r="V241">
        <v>1</v>
      </c>
      <c r="W241" t="s">
        <v>32</v>
      </c>
      <c r="X241">
        <v>1</v>
      </c>
      <c r="Y241" t="str">
        <f t="shared" si="3"/>
        <v>Medium</v>
      </c>
    </row>
    <row r="242" spans="1:25">
      <c r="A242" t="s">
        <v>355</v>
      </c>
      <c r="B242" s="1">
        <v>44929</v>
      </c>
      <c r="C242" s="2">
        <v>0.70833333333333337</v>
      </c>
      <c r="D242" t="s">
        <v>74</v>
      </c>
      <c r="E242" t="s">
        <v>79</v>
      </c>
      <c r="F242" t="s">
        <v>107</v>
      </c>
      <c r="G242" t="s">
        <v>69</v>
      </c>
      <c r="H242" s="2">
        <v>0.71111111111111114</v>
      </c>
      <c r="I242" s="2">
        <v>0.74236111111111114</v>
      </c>
      <c r="J242">
        <v>12</v>
      </c>
      <c r="K242">
        <v>27</v>
      </c>
      <c r="L242" t="s">
        <v>30</v>
      </c>
      <c r="M242">
        <v>22.2</v>
      </c>
      <c r="N242">
        <v>65</v>
      </c>
      <c r="O242">
        <v>3</v>
      </c>
      <c r="P242">
        <v>14.6</v>
      </c>
      <c r="Q242" t="s">
        <v>31</v>
      </c>
      <c r="R242">
        <v>0</v>
      </c>
      <c r="S242">
        <v>89</v>
      </c>
      <c r="T242">
        <v>0</v>
      </c>
      <c r="U242">
        <v>0</v>
      </c>
      <c r="V242">
        <v>1</v>
      </c>
      <c r="W242" t="s">
        <v>32</v>
      </c>
      <c r="X242">
        <v>1</v>
      </c>
      <c r="Y242" t="str">
        <f t="shared" si="3"/>
        <v>High</v>
      </c>
    </row>
    <row r="243" spans="1:25">
      <c r="A243" t="s">
        <v>356</v>
      </c>
      <c r="B243" s="1">
        <v>44929</v>
      </c>
      <c r="C243" s="2">
        <v>0.71875</v>
      </c>
      <c r="D243" t="s">
        <v>26</v>
      </c>
      <c r="E243" t="s">
        <v>111</v>
      </c>
      <c r="F243" t="s">
        <v>151</v>
      </c>
      <c r="G243" t="s">
        <v>144</v>
      </c>
      <c r="H243" s="2">
        <v>0.72013888888888888</v>
      </c>
      <c r="I243" s="2">
        <v>0.74097222222222225</v>
      </c>
      <c r="J243">
        <v>11</v>
      </c>
      <c r="K243">
        <v>4</v>
      </c>
      <c r="L243" t="s">
        <v>77</v>
      </c>
      <c r="M243">
        <v>21.1</v>
      </c>
      <c r="N243">
        <v>87</v>
      </c>
      <c r="O243">
        <v>3</v>
      </c>
      <c r="P243">
        <v>19.5</v>
      </c>
      <c r="Q243" t="s">
        <v>31</v>
      </c>
      <c r="R243">
        <v>0</v>
      </c>
      <c r="S243">
        <v>69</v>
      </c>
      <c r="T243">
        <v>0</v>
      </c>
      <c r="U243">
        <v>0</v>
      </c>
      <c r="V243">
        <v>1</v>
      </c>
      <c r="W243" t="s">
        <v>72</v>
      </c>
      <c r="X243">
        <v>0</v>
      </c>
      <c r="Y243" t="str">
        <f t="shared" si="3"/>
        <v>High</v>
      </c>
    </row>
    <row r="244" spans="1:25">
      <c r="A244" t="s">
        <v>357</v>
      </c>
      <c r="B244" s="1">
        <v>44929</v>
      </c>
      <c r="C244" s="2">
        <v>0.72916666666666663</v>
      </c>
      <c r="D244" t="s">
        <v>34</v>
      </c>
      <c r="E244" t="s">
        <v>27</v>
      </c>
      <c r="F244" t="s">
        <v>28</v>
      </c>
      <c r="G244" t="s">
        <v>96</v>
      </c>
      <c r="H244" s="2">
        <v>0.73055555555555551</v>
      </c>
      <c r="I244" s="2">
        <v>0.75347222222222221</v>
      </c>
      <c r="J244">
        <v>9</v>
      </c>
      <c r="K244">
        <v>4</v>
      </c>
      <c r="L244" t="s">
        <v>77</v>
      </c>
      <c r="M244">
        <v>-3.5</v>
      </c>
      <c r="N244">
        <v>77</v>
      </c>
      <c r="O244">
        <v>55</v>
      </c>
      <c r="P244">
        <v>9.4</v>
      </c>
      <c r="Q244" t="s">
        <v>31</v>
      </c>
      <c r="R244">
        <v>0</v>
      </c>
      <c r="S244">
        <v>58</v>
      </c>
      <c r="T244">
        <v>0</v>
      </c>
      <c r="U244">
        <v>1</v>
      </c>
      <c r="V244">
        <v>1</v>
      </c>
      <c r="W244" t="s">
        <v>32</v>
      </c>
      <c r="X244">
        <v>0</v>
      </c>
      <c r="Y244" t="str">
        <f t="shared" si="3"/>
        <v>Medium</v>
      </c>
    </row>
    <row r="245" spans="1:25">
      <c r="A245" t="s">
        <v>358</v>
      </c>
      <c r="B245" s="1">
        <v>44929</v>
      </c>
      <c r="C245" s="2">
        <v>0.73958333333333337</v>
      </c>
      <c r="D245" t="s">
        <v>41</v>
      </c>
      <c r="E245" t="s">
        <v>35</v>
      </c>
      <c r="F245" t="s">
        <v>105</v>
      </c>
      <c r="G245" t="s">
        <v>105</v>
      </c>
      <c r="H245" s="2">
        <v>0.74097222222222225</v>
      </c>
      <c r="I245" s="2">
        <v>0.75416666666666665</v>
      </c>
      <c r="J245">
        <v>9</v>
      </c>
      <c r="K245">
        <v>24</v>
      </c>
      <c r="L245" t="s">
        <v>38</v>
      </c>
      <c r="M245">
        <v>2.2999999999999998</v>
      </c>
      <c r="N245">
        <v>31</v>
      </c>
      <c r="O245">
        <v>54</v>
      </c>
      <c r="P245">
        <v>12.6</v>
      </c>
      <c r="Q245" t="s">
        <v>101</v>
      </c>
      <c r="R245">
        <v>0</v>
      </c>
      <c r="S245">
        <v>11</v>
      </c>
      <c r="T245">
        <v>0</v>
      </c>
      <c r="U245">
        <v>0</v>
      </c>
      <c r="V245">
        <v>1</v>
      </c>
      <c r="W245" t="s">
        <v>55</v>
      </c>
      <c r="X245">
        <v>1</v>
      </c>
      <c r="Y245" t="str">
        <f t="shared" si="3"/>
        <v>Low</v>
      </c>
    </row>
    <row r="246" spans="1:25">
      <c r="A246" t="s">
        <v>359</v>
      </c>
      <c r="B246" s="1">
        <v>44929</v>
      </c>
      <c r="C246" s="2">
        <v>0.75</v>
      </c>
      <c r="D246" t="s">
        <v>26</v>
      </c>
      <c r="E246" t="s">
        <v>157</v>
      </c>
      <c r="F246" t="s">
        <v>96</v>
      </c>
      <c r="G246" t="s">
        <v>37</v>
      </c>
      <c r="H246" s="2">
        <v>0.75277777777777777</v>
      </c>
      <c r="I246" s="2">
        <v>0.77500000000000002</v>
      </c>
      <c r="J246">
        <v>13</v>
      </c>
      <c r="K246">
        <v>0</v>
      </c>
      <c r="L246" t="s">
        <v>30</v>
      </c>
      <c r="M246">
        <v>30.7</v>
      </c>
      <c r="N246">
        <v>58</v>
      </c>
      <c r="O246">
        <v>35</v>
      </c>
      <c r="P246">
        <v>8.6</v>
      </c>
      <c r="Q246" t="s">
        <v>46</v>
      </c>
      <c r="R246">
        <v>0</v>
      </c>
      <c r="S246">
        <v>53</v>
      </c>
      <c r="T246">
        <v>0</v>
      </c>
      <c r="U246">
        <v>0</v>
      </c>
      <c r="V246">
        <v>1</v>
      </c>
      <c r="W246" t="s">
        <v>32</v>
      </c>
      <c r="X246">
        <v>0</v>
      </c>
      <c r="Y246" t="str">
        <f t="shared" si="3"/>
        <v>Medium</v>
      </c>
    </row>
    <row r="247" spans="1:25">
      <c r="A247" t="s">
        <v>360</v>
      </c>
      <c r="B247" s="1">
        <v>44929</v>
      </c>
      <c r="C247" s="2">
        <v>0.76041666666666663</v>
      </c>
      <c r="D247" t="s">
        <v>74</v>
      </c>
      <c r="E247" t="s">
        <v>130</v>
      </c>
      <c r="F247" t="s">
        <v>100</v>
      </c>
      <c r="G247" t="s">
        <v>109</v>
      </c>
      <c r="H247" s="2">
        <v>0.76249999999999996</v>
      </c>
      <c r="I247" s="2">
        <v>0.79583333333333328</v>
      </c>
      <c r="J247">
        <v>12</v>
      </c>
      <c r="K247">
        <v>12</v>
      </c>
      <c r="L247" t="s">
        <v>77</v>
      </c>
      <c r="M247">
        <v>32.6</v>
      </c>
      <c r="N247">
        <v>45</v>
      </c>
      <c r="O247">
        <v>26</v>
      </c>
      <c r="P247">
        <v>2.8</v>
      </c>
      <c r="Q247" t="s">
        <v>31</v>
      </c>
      <c r="R247">
        <v>0</v>
      </c>
      <c r="S247">
        <v>50</v>
      </c>
      <c r="T247">
        <v>0</v>
      </c>
      <c r="U247">
        <v>0</v>
      </c>
      <c r="V247">
        <v>1</v>
      </c>
      <c r="W247" t="s">
        <v>39</v>
      </c>
      <c r="X247">
        <v>1</v>
      </c>
      <c r="Y247" t="str">
        <f t="shared" si="3"/>
        <v>Medium</v>
      </c>
    </row>
    <row r="248" spans="1:25">
      <c r="A248" t="s">
        <v>361</v>
      </c>
      <c r="B248" s="1">
        <v>44929</v>
      </c>
      <c r="C248" s="2">
        <v>0.77083333333333337</v>
      </c>
      <c r="D248" t="s">
        <v>41</v>
      </c>
      <c r="E248" t="s">
        <v>126</v>
      </c>
      <c r="F248" t="s">
        <v>109</v>
      </c>
      <c r="G248" t="s">
        <v>151</v>
      </c>
      <c r="H248" s="2">
        <v>0.7729166666666667</v>
      </c>
      <c r="I248" s="2">
        <v>0.7895833333333333</v>
      </c>
      <c r="J248">
        <v>10</v>
      </c>
      <c r="K248">
        <v>9</v>
      </c>
      <c r="L248" t="s">
        <v>54</v>
      </c>
      <c r="M248">
        <v>26.2</v>
      </c>
      <c r="N248">
        <v>64</v>
      </c>
      <c r="O248">
        <v>21</v>
      </c>
      <c r="P248">
        <v>19.399999999999999</v>
      </c>
      <c r="Q248" t="s">
        <v>63</v>
      </c>
      <c r="R248">
        <v>0</v>
      </c>
      <c r="S248">
        <v>37</v>
      </c>
      <c r="T248">
        <v>0</v>
      </c>
      <c r="U248">
        <v>1</v>
      </c>
      <c r="V248">
        <v>1</v>
      </c>
      <c r="W248" t="s">
        <v>32</v>
      </c>
      <c r="X248">
        <v>1</v>
      </c>
      <c r="Y248" t="str">
        <f t="shared" si="3"/>
        <v>Medium</v>
      </c>
    </row>
    <row r="249" spans="1:25">
      <c r="A249" t="s">
        <v>362</v>
      </c>
      <c r="B249" s="1">
        <v>44929</v>
      </c>
      <c r="C249" s="2">
        <v>0.78125</v>
      </c>
      <c r="D249" t="s">
        <v>41</v>
      </c>
      <c r="E249" t="s">
        <v>35</v>
      </c>
      <c r="F249" t="s">
        <v>36</v>
      </c>
      <c r="G249" t="s">
        <v>105</v>
      </c>
      <c r="H249" s="2">
        <v>0.78125</v>
      </c>
      <c r="I249" s="2">
        <v>0.79652777777777772</v>
      </c>
      <c r="J249">
        <v>8</v>
      </c>
      <c r="K249">
        <v>16</v>
      </c>
      <c r="L249" t="s">
        <v>84</v>
      </c>
      <c r="M249">
        <v>31.8</v>
      </c>
      <c r="N249">
        <v>91</v>
      </c>
      <c r="O249">
        <v>21</v>
      </c>
      <c r="P249">
        <v>2.6</v>
      </c>
      <c r="Q249" t="s">
        <v>101</v>
      </c>
      <c r="R249">
        <v>10000</v>
      </c>
      <c r="S249">
        <v>45</v>
      </c>
      <c r="T249">
        <v>0</v>
      </c>
      <c r="U249">
        <v>0</v>
      </c>
      <c r="V249">
        <v>1</v>
      </c>
      <c r="W249" t="s">
        <v>55</v>
      </c>
      <c r="X249">
        <v>1</v>
      </c>
      <c r="Y249" t="str">
        <f t="shared" si="3"/>
        <v>Medium</v>
      </c>
    </row>
    <row r="250" spans="1:25">
      <c r="A250" t="s">
        <v>363</v>
      </c>
      <c r="B250" s="1">
        <v>44929</v>
      </c>
      <c r="C250" s="2">
        <v>0.79166666666666663</v>
      </c>
      <c r="D250" t="s">
        <v>41</v>
      </c>
      <c r="E250" t="s">
        <v>104</v>
      </c>
      <c r="F250" t="s">
        <v>151</v>
      </c>
      <c r="G250" t="s">
        <v>44</v>
      </c>
      <c r="H250" s="2">
        <v>0.7944444444444444</v>
      </c>
      <c r="I250" s="2">
        <v>0.81319444444444444</v>
      </c>
      <c r="J250">
        <v>14</v>
      </c>
      <c r="K250">
        <v>1</v>
      </c>
      <c r="L250" t="s">
        <v>84</v>
      </c>
      <c r="M250">
        <v>7.2</v>
      </c>
      <c r="N250">
        <v>33</v>
      </c>
      <c r="O250">
        <v>16</v>
      </c>
      <c r="P250">
        <v>2.2000000000000002</v>
      </c>
      <c r="Q250" t="s">
        <v>31</v>
      </c>
      <c r="R250">
        <v>500</v>
      </c>
      <c r="S250">
        <v>98</v>
      </c>
      <c r="T250">
        <v>0</v>
      </c>
      <c r="U250">
        <v>0</v>
      </c>
      <c r="V250">
        <v>1</v>
      </c>
      <c r="W250" t="s">
        <v>72</v>
      </c>
      <c r="X250">
        <v>0</v>
      </c>
      <c r="Y250" t="str">
        <f t="shared" si="3"/>
        <v>High</v>
      </c>
    </row>
    <row r="251" spans="1:25">
      <c r="A251" t="s">
        <v>364</v>
      </c>
      <c r="B251" s="1">
        <v>44929</v>
      </c>
      <c r="C251" s="2">
        <v>0.80208333333333337</v>
      </c>
      <c r="D251" t="s">
        <v>26</v>
      </c>
      <c r="E251" t="s">
        <v>147</v>
      </c>
      <c r="F251" t="s">
        <v>65</v>
      </c>
      <c r="G251" t="s">
        <v>194</v>
      </c>
      <c r="H251" s="2">
        <v>0.80208333333333337</v>
      </c>
      <c r="I251" s="2">
        <v>0.82916666666666672</v>
      </c>
      <c r="J251">
        <v>18</v>
      </c>
      <c r="K251">
        <v>16</v>
      </c>
      <c r="L251" t="s">
        <v>30</v>
      </c>
      <c r="M251">
        <v>4.9000000000000004</v>
      </c>
      <c r="N251">
        <v>97</v>
      </c>
      <c r="O251">
        <v>44</v>
      </c>
      <c r="P251">
        <v>9.1999999999999993</v>
      </c>
      <c r="Q251" t="s">
        <v>31</v>
      </c>
      <c r="R251">
        <v>0</v>
      </c>
      <c r="S251">
        <v>9</v>
      </c>
      <c r="T251">
        <v>0</v>
      </c>
      <c r="U251">
        <v>1</v>
      </c>
      <c r="V251">
        <v>1</v>
      </c>
      <c r="W251" t="s">
        <v>32</v>
      </c>
      <c r="X251">
        <v>1</v>
      </c>
      <c r="Y251" t="str">
        <f t="shared" si="3"/>
        <v>Low</v>
      </c>
    </row>
    <row r="252" spans="1:25">
      <c r="A252" t="s">
        <v>365</v>
      </c>
      <c r="B252" s="1">
        <v>44929</v>
      </c>
      <c r="C252" s="2">
        <v>0.8125</v>
      </c>
      <c r="D252" t="s">
        <v>74</v>
      </c>
      <c r="E252" t="s">
        <v>161</v>
      </c>
      <c r="F252" t="s">
        <v>80</v>
      </c>
      <c r="G252" t="s">
        <v>197</v>
      </c>
      <c r="H252" s="2">
        <v>0.81527777777777777</v>
      </c>
      <c r="I252" s="2">
        <v>0.83680555555555558</v>
      </c>
      <c r="J252">
        <v>12</v>
      </c>
      <c r="K252">
        <v>20</v>
      </c>
      <c r="L252" t="s">
        <v>38</v>
      </c>
      <c r="M252">
        <v>10.4</v>
      </c>
      <c r="N252">
        <v>80</v>
      </c>
      <c r="O252">
        <v>33</v>
      </c>
      <c r="P252">
        <v>13.2</v>
      </c>
      <c r="Q252" t="s">
        <v>101</v>
      </c>
      <c r="R252">
        <v>0</v>
      </c>
      <c r="S252">
        <v>8</v>
      </c>
      <c r="T252">
        <v>0</v>
      </c>
      <c r="U252">
        <v>1</v>
      </c>
      <c r="V252">
        <v>1</v>
      </c>
      <c r="W252" t="s">
        <v>55</v>
      </c>
      <c r="X252">
        <v>1</v>
      </c>
      <c r="Y252" t="str">
        <f t="shared" si="3"/>
        <v>Low</v>
      </c>
    </row>
    <row r="253" spans="1:25">
      <c r="A253" t="s">
        <v>366</v>
      </c>
      <c r="B253" s="1">
        <v>44929</v>
      </c>
      <c r="C253" s="2">
        <v>0.82291666666666663</v>
      </c>
      <c r="D253" t="s">
        <v>41</v>
      </c>
      <c r="E253" t="s">
        <v>68</v>
      </c>
      <c r="F253" t="s">
        <v>151</v>
      </c>
      <c r="G253" t="s">
        <v>44</v>
      </c>
      <c r="H253" s="2">
        <v>0.82291666666666663</v>
      </c>
      <c r="I253" s="2">
        <v>0.84583333333333333</v>
      </c>
      <c r="J253">
        <v>11</v>
      </c>
      <c r="K253">
        <v>15</v>
      </c>
      <c r="L253" t="s">
        <v>38</v>
      </c>
      <c r="M253">
        <v>-2.8</v>
      </c>
      <c r="N253">
        <v>62</v>
      </c>
      <c r="O253">
        <v>31</v>
      </c>
      <c r="P253">
        <v>7.1</v>
      </c>
      <c r="Q253" t="s">
        <v>71</v>
      </c>
      <c r="R253">
        <v>2000</v>
      </c>
      <c r="S253">
        <v>86</v>
      </c>
      <c r="T253">
        <v>0</v>
      </c>
      <c r="U253">
        <v>1</v>
      </c>
      <c r="V253">
        <v>1</v>
      </c>
      <c r="W253" t="s">
        <v>39</v>
      </c>
      <c r="X253">
        <v>1</v>
      </c>
      <c r="Y253" t="str">
        <f t="shared" si="3"/>
        <v>High</v>
      </c>
    </row>
    <row r="254" spans="1:25">
      <c r="A254" t="s">
        <v>367</v>
      </c>
      <c r="B254" s="1">
        <v>44929</v>
      </c>
      <c r="C254" s="2">
        <v>0.83333333333333337</v>
      </c>
      <c r="D254" t="s">
        <v>34</v>
      </c>
      <c r="E254" t="s">
        <v>27</v>
      </c>
      <c r="F254" t="s">
        <v>28</v>
      </c>
      <c r="G254" t="s">
        <v>80</v>
      </c>
      <c r="H254" s="2">
        <v>0.83402777777777781</v>
      </c>
      <c r="I254" s="2">
        <v>0.85763888888888884</v>
      </c>
      <c r="J254">
        <v>7</v>
      </c>
      <c r="K254">
        <v>13</v>
      </c>
      <c r="L254" t="s">
        <v>77</v>
      </c>
      <c r="M254">
        <v>27.4</v>
      </c>
      <c r="N254">
        <v>53</v>
      </c>
      <c r="O254">
        <v>51</v>
      </c>
      <c r="P254">
        <v>3.9</v>
      </c>
      <c r="Q254" t="s">
        <v>31</v>
      </c>
      <c r="R254">
        <v>0</v>
      </c>
      <c r="S254">
        <v>93</v>
      </c>
      <c r="T254">
        <v>0</v>
      </c>
      <c r="U254">
        <v>0</v>
      </c>
      <c r="V254">
        <v>1</v>
      </c>
      <c r="W254" t="s">
        <v>39</v>
      </c>
      <c r="X254">
        <v>1</v>
      </c>
      <c r="Y254" t="str">
        <f t="shared" si="3"/>
        <v>High</v>
      </c>
    </row>
    <row r="255" spans="1:25">
      <c r="A255" t="s">
        <v>368</v>
      </c>
      <c r="B255" s="1">
        <v>44929</v>
      </c>
      <c r="C255" s="2">
        <v>0.84375</v>
      </c>
      <c r="D255" t="s">
        <v>41</v>
      </c>
      <c r="E255" t="s">
        <v>27</v>
      </c>
      <c r="F255" t="s">
        <v>90</v>
      </c>
      <c r="G255" t="s">
        <v>107</v>
      </c>
      <c r="H255" s="2">
        <v>0.84513888888888888</v>
      </c>
      <c r="I255" s="2">
        <v>0.87986111111111109</v>
      </c>
      <c r="J255">
        <v>9</v>
      </c>
      <c r="K255">
        <v>1</v>
      </c>
      <c r="L255" t="s">
        <v>30</v>
      </c>
      <c r="M255">
        <v>34.4</v>
      </c>
      <c r="N255">
        <v>54</v>
      </c>
      <c r="O255">
        <v>5</v>
      </c>
      <c r="P255">
        <v>16.399999999999999</v>
      </c>
      <c r="Q255" t="s">
        <v>46</v>
      </c>
      <c r="R255">
        <v>0</v>
      </c>
      <c r="S255">
        <v>51</v>
      </c>
      <c r="T255">
        <v>1</v>
      </c>
      <c r="U255">
        <v>1</v>
      </c>
      <c r="V255">
        <v>1</v>
      </c>
      <c r="W255" t="s">
        <v>72</v>
      </c>
      <c r="X255">
        <v>0</v>
      </c>
      <c r="Y255" t="str">
        <f t="shared" si="3"/>
        <v>Medium</v>
      </c>
    </row>
    <row r="256" spans="1:25">
      <c r="A256" t="s">
        <v>369</v>
      </c>
      <c r="B256" s="1">
        <v>44929</v>
      </c>
      <c r="C256" s="2">
        <v>0.85416666666666663</v>
      </c>
      <c r="D256" t="s">
        <v>41</v>
      </c>
      <c r="E256" t="s">
        <v>48</v>
      </c>
      <c r="F256" t="s">
        <v>176</v>
      </c>
      <c r="G256" t="s">
        <v>99</v>
      </c>
      <c r="H256" s="2">
        <v>0.85555555555555551</v>
      </c>
      <c r="I256" s="2">
        <v>0.8881944444444444</v>
      </c>
      <c r="J256">
        <v>13</v>
      </c>
      <c r="K256">
        <v>21</v>
      </c>
      <c r="L256" t="s">
        <v>84</v>
      </c>
      <c r="M256">
        <v>28</v>
      </c>
      <c r="N256">
        <v>57</v>
      </c>
      <c r="O256">
        <v>53</v>
      </c>
      <c r="P256">
        <v>7.3</v>
      </c>
      <c r="Q256" t="s">
        <v>31</v>
      </c>
      <c r="R256">
        <v>0</v>
      </c>
      <c r="S256">
        <v>50</v>
      </c>
      <c r="T256">
        <v>0</v>
      </c>
      <c r="U256">
        <v>0</v>
      </c>
      <c r="V256">
        <v>1</v>
      </c>
      <c r="W256" t="s">
        <v>39</v>
      </c>
      <c r="X256">
        <v>1</v>
      </c>
      <c r="Y256" t="str">
        <f t="shared" si="3"/>
        <v>Medium</v>
      </c>
    </row>
    <row r="257" spans="1:25">
      <c r="A257" t="s">
        <v>370</v>
      </c>
      <c r="B257" s="1">
        <v>44929</v>
      </c>
      <c r="C257" s="2">
        <v>0.86458333333333337</v>
      </c>
      <c r="D257" t="s">
        <v>26</v>
      </c>
      <c r="E257" t="s">
        <v>147</v>
      </c>
      <c r="F257" t="s">
        <v>83</v>
      </c>
      <c r="G257" t="s">
        <v>113</v>
      </c>
      <c r="H257" s="2">
        <v>0.8666666666666667</v>
      </c>
      <c r="I257" s="2">
        <v>0.88611111111111107</v>
      </c>
      <c r="J257">
        <v>12</v>
      </c>
      <c r="K257">
        <v>14</v>
      </c>
      <c r="L257" t="s">
        <v>54</v>
      </c>
      <c r="M257">
        <v>17.2</v>
      </c>
      <c r="N257">
        <v>36</v>
      </c>
      <c r="O257">
        <v>32</v>
      </c>
      <c r="P257">
        <v>3.9</v>
      </c>
      <c r="Q257" t="s">
        <v>101</v>
      </c>
      <c r="R257">
        <v>50000</v>
      </c>
      <c r="S257">
        <v>21</v>
      </c>
      <c r="T257">
        <v>0</v>
      </c>
      <c r="U257">
        <v>0</v>
      </c>
      <c r="V257">
        <v>1</v>
      </c>
      <c r="W257" t="s">
        <v>55</v>
      </c>
      <c r="X257">
        <v>1</v>
      </c>
      <c r="Y257" t="str">
        <f t="shared" si="3"/>
        <v>Low</v>
      </c>
    </row>
    <row r="258" spans="1:25">
      <c r="A258" t="s">
        <v>371</v>
      </c>
      <c r="B258" s="1">
        <v>44929</v>
      </c>
      <c r="C258" s="2">
        <v>0.875</v>
      </c>
      <c r="D258" t="s">
        <v>26</v>
      </c>
      <c r="E258" t="s">
        <v>141</v>
      </c>
      <c r="F258" t="s">
        <v>49</v>
      </c>
      <c r="G258" t="s">
        <v>49</v>
      </c>
      <c r="H258" s="2">
        <v>0.87569444444444444</v>
      </c>
      <c r="I258" s="2">
        <v>0.89861111111111114</v>
      </c>
      <c r="J258">
        <v>7</v>
      </c>
      <c r="K258">
        <v>4</v>
      </c>
      <c r="L258" t="s">
        <v>77</v>
      </c>
      <c r="M258">
        <v>6.8</v>
      </c>
      <c r="N258">
        <v>65</v>
      </c>
      <c r="O258">
        <v>7</v>
      </c>
      <c r="P258">
        <v>7.3</v>
      </c>
      <c r="Q258" t="s">
        <v>31</v>
      </c>
      <c r="R258">
        <v>0</v>
      </c>
      <c r="S258">
        <v>72</v>
      </c>
      <c r="T258">
        <v>0</v>
      </c>
      <c r="U258">
        <v>0</v>
      </c>
      <c r="V258">
        <v>1</v>
      </c>
      <c r="W258" t="s">
        <v>32</v>
      </c>
      <c r="X258">
        <v>0</v>
      </c>
      <c r="Y258" t="str">
        <f t="shared" ref="Y258:Y321" si="4">IF(S258&lt;=33,"Low",IF(S258&lt;=66,"Medium","High"))</f>
        <v>High</v>
      </c>
    </row>
    <row r="259" spans="1:25">
      <c r="A259" t="s">
        <v>372</v>
      </c>
      <c r="B259" s="1">
        <v>44929</v>
      </c>
      <c r="C259" s="2">
        <v>0.88541666666666663</v>
      </c>
      <c r="D259" t="s">
        <v>74</v>
      </c>
      <c r="E259" t="s">
        <v>111</v>
      </c>
      <c r="F259" t="s">
        <v>36</v>
      </c>
      <c r="G259" t="s">
        <v>96</v>
      </c>
      <c r="H259" s="2">
        <v>0.88680555555555551</v>
      </c>
      <c r="I259" s="2">
        <v>0.91111111111111109</v>
      </c>
      <c r="J259">
        <v>1</v>
      </c>
      <c r="K259">
        <v>23</v>
      </c>
      <c r="L259" t="s">
        <v>54</v>
      </c>
      <c r="M259">
        <v>2.9</v>
      </c>
      <c r="N259">
        <v>39</v>
      </c>
      <c r="O259">
        <v>49</v>
      </c>
      <c r="P259">
        <v>4.3</v>
      </c>
      <c r="Q259" t="s">
        <v>71</v>
      </c>
      <c r="R259">
        <v>2000</v>
      </c>
      <c r="S259">
        <v>82</v>
      </c>
      <c r="T259">
        <v>0</v>
      </c>
      <c r="U259">
        <v>0</v>
      </c>
      <c r="V259">
        <v>1</v>
      </c>
      <c r="W259" t="s">
        <v>55</v>
      </c>
      <c r="X259">
        <v>1</v>
      </c>
      <c r="Y259" t="str">
        <f t="shared" si="4"/>
        <v>High</v>
      </c>
    </row>
    <row r="260" spans="1:25">
      <c r="A260" t="s">
        <v>373</v>
      </c>
      <c r="B260" s="1">
        <v>44929</v>
      </c>
      <c r="C260" s="2">
        <v>0.89583333333333337</v>
      </c>
      <c r="D260" t="s">
        <v>34</v>
      </c>
      <c r="E260" t="s">
        <v>141</v>
      </c>
      <c r="F260" t="s">
        <v>83</v>
      </c>
      <c r="G260" t="s">
        <v>58</v>
      </c>
      <c r="H260" s="2">
        <v>0.8979166666666667</v>
      </c>
      <c r="I260" s="2">
        <v>0.92847222222222225</v>
      </c>
      <c r="J260">
        <v>6</v>
      </c>
      <c r="K260">
        <v>11</v>
      </c>
      <c r="L260" t="s">
        <v>77</v>
      </c>
      <c r="M260">
        <v>9.6</v>
      </c>
      <c r="N260">
        <v>65</v>
      </c>
      <c r="O260">
        <v>52</v>
      </c>
      <c r="P260">
        <v>10.4</v>
      </c>
      <c r="Q260" t="s">
        <v>31</v>
      </c>
      <c r="R260">
        <v>0</v>
      </c>
      <c r="S260">
        <v>71</v>
      </c>
      <c r="T260">
        <v>0</v>
      </c>
      <c r="U260">
        <v>0</v>
      </c>
      <c r="V260">
        <v>1</v>
      </c>
      <c r="W260" t="s">
        <v>72</v>
      </c>
      <c r="X260">
        <v>1</v>
      </c>
      <c r="Y260" t="str">
        <f t="shared" si="4"/>
        <v>High</v>
      </c>
    </row>
    <row r="261" spans="1:25">
      <c r="A261" t="s">
        <v>374</v>
      </c>
      <c r="B261" s="1">
        <v>44929</v>
      </c>
      <c r="C261" s="2">
        <v>0.90625</v>
      </c>
      <c r="D261" t="s">
        <v>26</v>
      </c>
      <c r="E261" t="s">
        <v>157</v>
      </c>
      <c r="F261" t="s">
        <v>95</v>
      </c>
      <c r="G261" t="s">
        <v>83</v>
      </c>
      <c r="H261" s="2">
        <v>0.90694444444444444</v>
      </c>
      <c r="I261" s="2">
        <v>0.93541666666666667</v>
      </c>
      <c r="J261">
        <v>18</v>
      </c>
      <c r="K261">
        <v>9</v>
      </c>
      <c r="L261" t="s">
        <v>45</v>
      </c>
      <c r="M261">
        <v>21.7</v>
      </c>
      <c r="N261">
        <v>47</v>
      </c>
      <c r="O261">
        <v>35</v>
      </c>
      <c r="P261">
        <v>13.4</v>
      </c>
      <c r="Q261" t="s">
        <v>31</v>
      </c>
      <c r="R261">
        <v>2000</v>
      </c>
      <c r="S261">
        <v>67</v>
      </c>
      <c r="T261">
        <v>0</v>
      </c>
      <c r="U261">
        <v>0</v>
      </c>
      <c r="V261">
        <v>1</v>
      </c>
      <c r="W261" t="s">
        <v>32</v>
      </c>
      <c r="X261">
        <v>1</v>
      </c>
      <c r="Y261" t="str">
        <f t="shared" si="4"/>
        <v>High</v>
      </c>
    </row>
    <row r="262" spans="1:25">
      <c r="A262" t="s">
        <v>375</v>
      </c>
      <c r="B262" s="1">
        <v>44929</v>
      </c>
      <c r="C262" s="2">
        <v>0.91666666666666663</v>
      </c>
      <c r="D262" t="s">
        <v>41</v>
      </c>
      <c r="E262" t="s">
        <v>57</v>
      </c>
      <c r="F262" t="s">
        <v>81</v>
      </c>
      <c r="G262" t="s">
        <v>100</v>
      </c>
      <c r="H262" s="2">
        <v>0.91805555555555551</v>
      </c>
      <c r="I262" s="2">
        <v>0.93958333333333333</v>
      </c>
      <c r="J262">
        <v>17</v>
      </c>
      <c r="K262">
        <v>12</v>
      </c>
      <c r="L262" t="s">
        <v>54</v>
      </c>
      <c r="M262">
        <v>12.9</v>
      </c>
      <c r="N262">
        <v>35</v>
      </c>
      <c r="O262">
        <v>4</v>
      </c>
      <c r="P262">
        <v>16</v>
      </c>
      <c r="Q262" t="s">
        <v>31</v>
      </c>
      <c r="R262">
        <v>0</v>
      </c>
      <c r="S262">
        <v>4</v>
      </c>
      <c r="T262">
        <v>0</v>
      </c>
      <c r="U262">
        <v>1</v>
      </c>
      <c r="V262">
        <v>1</v>
      </c>
      <c r="W262" t="s">
        <v>55</v>
      </c>
      <c r="X262">
        <v>1</v>
      </c>
      <c r="Y262" t="str">
        <f t="shared" si="4"/>
        <v>Low</v>
      </c>
    </row>
    <row r="263" spans="1:25">
      <c r="A263" t="s">
        <v>376</v>
      </c>
      <c r="B263" s="1">
        <v>44929</v>
      </c>
      <c r="C263" s="2">
        <v>0.92708333333333337</v>
      </c>
      <c r="D263" t="s">
        <v>74</v>
      </c>
      <c r="E263" t="s">
        <v>130</v>
      </c>
      <c r="F263" t="s">
        <v>90</v>
      </c>
      <c r="G263" t="s">
        <v>96</v>
      </c>
      <c r="H263" s="2">
        <v>0.92708333333333337</v>
      </c>
      <c r="I263" s="2">
        <v>0.96111111111111114</v>
      </c>
      <c r="J263">
        <v>6</v>
      </c>
      <c r="K263">
        <v>18</v>
      </c>
      <c r="L263" t="s">
        <v>30</v>
      </c>
      <c r="M263">
        <v>32.4</v>
      </c>
      <c r="N263">
        <v>36</v>
      </c>
      <c r="O263">
        <v>4</v>
      </c>
      <c r="P263">
        <v>4.5999999999999996</v>
      </c>
      <c r="Q263" t="s">
        <v>31</v>
      </c>
      <c r="R263">
        <v>0</v>
      </c>
      <c r="S263">
        <v>82</v>
      </c>
      <c r="T263">
        <v>0</v>
      </c>
      <c r="U263">
        <v>0</v>
      </c>
      <c r="V263">
        <v>1</v>
      </c>
      <c r="W263" t="s">
        <v>72</v>
      </c>
      <c r="X263">
        <v>1</v>
      </c>
      <c r="Y263" t="str">
        <f t="shared" si="4"/>
        <v>High</v>
      </c>
    </row>
    <row r="264" spans="1:25">
      <c r="A264" t="s">
        <v>377</v>
      </c>
      <c r="B264" s="1">
        <v>44929</v>
      </c>
      <c r="C264" s="2">
        <v>0.9375</v>
      </c>
      <c r="D264" t="s">
        <v>41</v>
      </c>
      <c r="E264" t="s">
        <v>93</v>
      </c>
      <c r="F264" t="s">
        <v>96</v>
      </c>
      <c r="G264" t="s">
        <v>168</v>
      </c>
      <c r="H264" s="2">
        <v>0.94027777777777777</v>
      </c>
      <c r="I264" s="2">
        <v>0.97361111111111109</v>
      </c>
      <c r="J264">
        <v>18</v>
      </c>
      <c r="K264">
        <v>16</v>
      </c>
      <c r="L264" t="s">
        <v>54</v>
      </c>
      <c r="M264">
        <v>29.2</v>
      </c>
      <c r="N264">
        <v>41</v>
      </c>
      <c r="O264">
        <v>46</v>
      </c>
      <c r="P264">
        <v>3.3</v>
      </c>
      <c r="Q264" t="s">
        <v>46</v>
      </c>
      <c r="R264">
        <v>0</v>
      </c>
      <c r="S264">
        <v>81</v>
      </c>
      <c r="T264">
        <v>0</v>
      </c>
      <c r="U264">
        <v>0</v>
      </c>
      <c r="V264">
        <v>1</v>
      </c>
      <c r="W264" t="s">
        <v>72</v>
      </c>
      <c r="X264">
        <v>1</v>
      </c>
      <c r="Y264" t="str">
        <f t="shared" si="4"/>
        <v>High</v>
      </c>
    </row>
    <row r="265" spans="1:25">
      <c r="A265" t="s">
        <v>378</v>
      </c>
      <c r="B265" s="1">
        <v>44929</v>
      </c>
      <c r="C265" s="2">
        <v>0.94791666666666663</v>
      </c>
      <c r="D265" t="s">
        <v>41</v>
      </c>
      <c r="E265" t="s">
        <v>89</v>
      </c>
      <c r="F265" t="s">
        <v>144</v>
      </c>
      <c r="G265" t="s">
        <v>91</v>
      </c>
      <c r="H265" s="2">
        <v>0.94861111111111107</v>
      </c>
      <c r="I265" s="2">
        <v>0.97152777777777777</v>
      </c>
      <c r="J265">
        <v>17</v>
      </c>
      <c r="K265">
        <v>9</v>
      </c>
      <c r="L265" t="s">
        <v>54</v>
      </c>
      <c r="M265">
        <v>-0.9</v>
      </c>
      <c r="N265">
        <v>70</v>
      </c>
      <c r="O265">
        <v>9</v>
      </c>
      <c r="P265">
        <v>0.4</v>
      </c>
      <c r="Q265" t="s">
        <v>31</v>
      </c>
      <c r="R265">
        <v>50000</v>
      </c>
      <c r="S265">
        <v>28</v>
      </c>
      <c r="T265">
        <v>0</v>
      </c>
      <c r="U265">
        <v>0</v>
      </c>
      <c r="V265">
        <v>1</v>
      </c>
      <c r="W265" t="s">
        <v>32</v>
      </c>
      <c r="X265">
        <v>1</v>
      </c>
      <c r="Y265" t="str">
        <f t="shared" si="4"/>
        <v>Low</v>
      </c>
    </row>
    <row r="266" spans="1:25">
      <c r="A266" t="s">
        <v>379</v>
      </c>
      <c r="B266" s="1">
        <v>44929</v>
      </c>
      <c r="C266" s="2">
        <v>0.95833333333333337</v>
      </c>
      <c r="D266" t="s">
        <v>26</v>
      </c>
      <c r="E266" t="s">
        <v>104</v>
      </c>
      <c r="F266" t="s">
        <v>83</v>
      </c>
      <c r="G266" t="s">
        <v>135</v>
      </c>
      <c r="H266" s="2">
        <v>0.9604166666666667</v>
      </c>
      <c r="I266" s="2">
        <v>0.97638888888888886</v>
      </c>
      <c r="J266">
        <v>8</v>
      </c>
      <c r="K266">
        <v>16</v>
      </c>
      <c r="L266" t="s">
        <v>77</v>
      </c>
      <c r="M266">
        <v>0.3</v>
      </c>
      <c r="N266">
        <v>92</v>
      </c>
      <c r="O266">
        <v>39</v>
      </c>
      <c r="P266">
        <v>4.5999999999999996</v>
      </c>
      <c r="Q266" t="s">
        <v>31</v>
      </c>
      <c r="R266">
        <v>0</v>
      </c>
      <c r="S266">
        <v>82</v>
      </c>
      <c r="T266">
        <v>0</v>
      </c>
      <c r="U266">
        <v>1</v>
      </c>
      <c r="V266">
        <v>1</v>
      </c>
      <c r="W266" t="s">
        <v>32</v>
      </c>
      <c r="X266">
        <v>1</v>
      </c>
      <c r="Y266" t="str">
        <f t="shared" si="4"/>
        <v>High</v>
      </c>
    </row>
    <row r="267" spans="1:25">
      <c r="A267" t="s">
        <v>380</v>
      </c>
      <c r="B267" s="1">
        <v>44929</v>
      </c>
      <c r="C267" s="2">
        <v>0.96875</v>
      </c>
      <c r="D267" t="s">
        <v>74</v>
      </c>
      <c r="E267" t="s">
        <v>27</v>
      </c>
      <c r="F267" t="s">
        <v>65</v>
      </c>
      <c r="G267" t="s">
        <v>91</v>
      </c>
      <c r="H267" s="2">
        <v>0.96944444444444444</v>
      </c>
      <c r="I267" s="2">
        <v>0.99236111111111114</v>
      </c>
      <c r="J267">
        <v>8</v>
      </c>
      <c r="K267">
        <v>-2</v>
      </c>
      <c r="L267" t="s">
        <v>84</v>
      </c>
      <c r="M267">
        <v>22</v>
      </c>
      <c r="N267">
        <v>54</v>
      </c>
      <c r="O267">
        <v>57</v>
      </c>
      <c r="P267">
        <v>0.5</v>
      </c>
      <c r="Q267" t="s">
        <v>31</v>
      </c>
      <c r="R267">
        <v>0</v>
      </c>
      <c r="S267">
        <v>5</v>
      </c>
      <c r="T267">
        <v>0</v>
      </c>
      <c r="U267">
        <v>0</v>
      </c>
      <c r="V267">
        <v>1</v>
      </c>
      <c r="W267" t="s">
        <v>39</v>
      </c>
      <c r="X267">
        <v>0</v>
      </c>
      <c r="Y267" t="str">
        <f t="shared" si="4"/>
        <v>Low</v>
      </c>
    </row>
    <row r="268" spans="1:25">
      <c r="A268" t="s">
        <v>381</v>
      </c>
      <c r="B268" s="1">
        <v>44929</v>
      </c>
      <c r="C268" s="2">
        <v>0.97916666666666663</v>
      </c>
      <c r="D268" t="s">
        <v>34</v>
      </c>
      <c r="E268" t="s">
        <v>147</v>
      </c>
      <c r="F268" t="s">
        <v>116</v>
      </c>
      <c r="G268" t="s">
        <v>44</v>
      </c>
      <c r="H268" s="2">
        <v>0.98124999999999996</v>
      </c>
      <c r="I268" s="2">
        <v>1.8749999999999999E-2</v>
      </c>
      <c r="J268">
        <v>4</v>
      </c>
      <c r="K268">
        <v>15</v>
      </c>
      <c r="L268" t="s">
        <v>45</v>
      </c>
      <c r="M268">
        <v>4.2</v>
      </c>
      <c r="N268">
        <v>82</v>
      </c>
      <c r="O268">
        <v>6</v>
      </c>
      <c r="P268">
        <v>6.9</v>
      </c>
      <c r="Q268" t="s">
        <v>71</v>
      </c>
      <c r="R268">
        <v>2000</v>
      </c>
      <c r="S268">
        <v>68</v>
      </c>
      <c r="T268">
        <v>0</v>
      </c>
      <c r="U268">
        <v>0</v>
      </c>
      <c r="V268">
        <v>1</v>
      </c>
      <c r="W268" t="s">
        <v>39</v>
      </c>
      <c r="X268">
        <v>1</v>
      </c>
      <c r="Y268" t="str">
        <f t="shared" si="4"/>
        <v>High</v>
      </c>
    </row>
    <row r="269" spans="1:25">
      <c r="A269" t="s">
        <v>382</v>
      </c>
      <c r="B269" s="1">
        <v>44929</v>
      </c>
      <c r="C269" s="2">
        <v>0.98958333333333337</v>
      </c>
      <c r="D269" t="s">
        <v>34</v>
      </c>
      <c r="E269" t="s">
        <v>126</v>
      </c>
      <c r="F269" t="s">
        <v>118</v>
      </c>
      <c r="G269" t="s">
        <v>116</v>
      </c>
      <c r="H269" s="2">
        <v>0.99027777777777781</v>
      </c>
      <c r="I269" s="2">
        <v>1.0416666666666666E-2</v>
      </c>
      <c r="J269">
        <v>18</v>
      </c>
      <c r="K269">
        <v>2</v>
      </c>
      <c r="L269" t="s">
        <v>54</v>
      </c>
      <c r="M269">
        <v>26.6</v>
      </c>
      <c r="N269">
        <v>62</v>
      </c>
      <c r="O269">
        <v>11</v>
      </c>
      <c r="P269">
        <v>2.9</v>
      </c>
      <c r="Q269" t="s">
        <v>31</v>
      </c>
      <c r="R269">
        <v>0</v>
      </c>
      <c r="S269">
        <v>57</v>
      </c>
      <c r="T269">
        <v>1</v>
      </c>
      <c r="U269">
        <v>0</v>
      </c>
      <c r="V269">
        <v>1</v>
      </c>
      <c r="W269" t="s">
        <v>32</v>
      </c>
      <c r="X269">
        <v>0</v>
      </c>
      <c r="Y269" t="str">
        <f t="shared" si="4"/>
        <v>Medium</v>
      </c>
    </row>
    <row r="270" spans="1:25">
      <c r="A270" t="s">
        <v>383</v>
      </c>
      <c r="B270" s="1">
        <v>44930</v>
      </c>
      <c r="C270" s="2">
        <v>0</v>
      </c>
      <c r="D270" t="s">
        <v>26</v>
      </c>
      <c r="E270" t="s">
        <v>141</v>
      </c>
      <c r="F270" t="s">
        <v>53</v>
      </c>
      <c r="G270" t="s">
        <v>36</v>
      </c>
      <c r="H270" s="2">
        <v>2.0833333333333333E-3</v>
      </c>
      <c r="I270" s="2">
        <v>3.3333333333333333E-2</v>
      </c>
      <c r="J270">
        <v>7</v>
      </c>
      <c r="K270">
        <v>10</v>
      </c>
      <c r="L270" t="s">
        <v>84</v>
      </c>
      <c r="M270">
        <v>18.7</v>
      </c>
      <c r="N270">
        <v>35</v>
      </c>
      <c r="O270">
        <v>29</v>
      </c>
      <c r="P270">
        <v>11.6</v>
      </c>
      <c r="Q270" t="s">
        <v>31</v>
      </c>
      <c r="R270">
        <v>0</v>
      </c>
      <c r="S270">
        <v>42</v>
      </c>
      <c r="T270">
        <v>0</v>
      </c>
      <c r="U270">
        <v>1</v>
      </c>
      <c r="V270">
        <v>2</v>
      </c>
      <c r="W270" t="s">
        <v>39</v>
      </c>
      <c r="X270">
        <v>1</v>
      </c>
      <c r="Y270" t="str">
        <f t="shared" si="4"/>
        <v>Medium</v>
      </c>
    </row>
    <row r="271" spans="1:25">
      <c r="A271" t="s">
        <v>384</v>
      </c>
      <c r="B271" s="1">
        <v>44930</v>
      </c>
      <c r="C271" s="2">
        <v>1.0416666666666666E-2</v>
      </c>
      <c r="D271" t="s">
        <v>26</v>
      </c>
      <c r="E271" t="s">
        <v>27</v>
      </c>
      <c r="F271" t="s">
        <v>37</v>
      </c>
      <c r="G271" t="s">
        <v>197</v>
      </c>
      <c r="H271" s="2">
        <v>1.1805555555555555E-2</v>
      </c>
      <c r="I271" s="2">
        <v>4.5138888888888888E-2</v>
      </c>
      <c r="J271">
        <v>1</v>
      </c>
      <c r="K271">
        <v>0</v>
      </c>
      <c r="L271" t="s">
        <v>38</v>
      </c>
      <c r="M271">
        <v>4.2</v>
      </c>
      <c r="N271">
        <v>91</v>
      </c>
      <c r="O271">
        <v>24</v>
      </c>
      <c r="P271">
        <v>7.7</v>
      </c>
      <c r="Q271" t="s">
        <v>101</v>
      </c>
      <c r="R271">
        <v>0</v>
      </c>
      <c r="S271">
        <v>68</v>
      </c>
      <c r="T271">
        <v>0</v>
      </c>
      <c r="U271">
        <v>0</v>
      </c>
      <c r="V271">
        <v>2</v>
      </c>
      <c r="W271" t="s">
        <v>32</v>
      </c>
      <c r="X271">
        <v>0</v>
      </c>
      <c r="Y271" t="str">
        <f t="shared" si="4"/>
        <v>High</v>
      </c>
    </row>
    <row r="272" spans="1:25">
      <c r="A272" t="s">
        <v>385</v>
      </c>
      <c r="B272" s="1">
        <v>44930</v>
      </c>
      <c r="C272" s="2">
        <v>2.0833333333333332E-2</v>
      </c>
      <c r="D272" t="s">
        <v>74</v>
      </c>
      <c r="E272" t="s">
        <v>111</v>
      </c>
      <c r="F272" t="s">
        <v>154</v>
      </c>
      <c r="G272" t="s">
        <v>36</v>
      </c>
      <c r="H272" s="2">
        <v>2.0833333333333332E-2</v>
      </c>
      <c r="I272" s="2">
        <v>5.1388888888888887E-2</v>
      </c>
      <c r="J272">
        <v>2</v>
      </c>
      <c r="K272">
        <v>18</v>
      </c>
      <c r="L272" t="s">
        <v>45</v>
      </c>
      <c r="M272">
        <v>14.1</v>
      </c>
      <c r="N272">
        <v>95</v>
      </c>
      <c r="O272">
        <v>27</v>
      </c>
      <c r="P272">
        <v>1.9</v>
      </c>
      <c r="Q272" t="s">
        <v>31</v>
      </c>
      <c r="R272">
        <v>0</v>
      </c>
      <c r="S272">
        <v>71</v>
      </c>
      <c r="T272">
        <v>0</v>
      </c>
      <c r="U272">
        <v>0</v>
      </c>
      <c r="V272">
        <v>2</v>
      </c>
      <c r="W272" t="s">
        <v>39</v>
      </c>
      <c r="X272">
        <v>1</v>
      </c>
      <c r="Y272" t="str">
        <f t="shared" si="4"/>
        <v>High</v>
      </c>
    </row>
    <row r="273" spans="1:25">
      <c r="A273" t="s">
        <v>386</v>
      </c>
      <c r="B273" s="1">
        <v>44930</v>
      </c>
      <c r="C273" s="2">
        <v>3.125E-2</v>
      </c>
      <c r="D273" t="s">
        <v>34</v>
      </c>
      <c r="E273" t="s">
        <v>126</v>
      </c>
      <c r="F273" t="s">
        <v>176</v>
      </c>
      <c r="G273" t="s">
        <v>203</v>
      </c>
      <c r="H273" s="2">
        <v>3.2638888888888891E-2</v>
      </c>
      <c r="I273" s="2">
        <v>6.1111111111111109E-2</v>
      </c>
      <c r="J273">
        <v>2</v>
      </c>
      <c r="K273">
        <v>23</v>
      </c>
      <c r="L273" t="s">
        <v>45</v>
      </c>
      <c r="M273">
        <v>11.2</v>
      </c>
      <c r="N273">
        <v>38</v>
      </c>
      <c r="O273">
        <v>42</v>
      </c>
      <c r="P273">
        <v>8</v>
      </c>
      <c r="Q273" t="s">
        <v>101</v>
      </c>
      <c r="R273">
        <v>0</v>
      </c>
      <c r="S273">
        <v>90</v>
      </c>
      <c r="T273">
        <v>0</v>
      </c>
      <c r="U273">
        <v>0</v>
      </c>
      <c r="V273">
        <v>2</v>
      </c>
      <c r="W273" t="s">
        <v>55</v>
      </c>
      <c r="X273">
        <v>1</v>
      </c>
      <c r="Y273" t="str">
        <f t="shared" si="4"/>
        <v>High</v>
      </c>
    </row>
    <row r="274" spans="1:25">
      <c r="A274" t="s">
        <v>387</v>
      </c>
      <c r="B274" s="1">
        <v>44930</v>
      </c>
      <c r="C274" s="2">
        <v>4.1666666666666664E-2</v>
      </c>
      <c r="D274" t="s">
        <v>34</v>
      </c>
      <c r="E274" t="s">
        <v>147</v>
      </c>
      <c r="F274" t="s">
        <v>95</v>
      </c>
      <c r="G274" t="s">
        <v>197</v>
      </c>
      <c r="H274" s="2">
        <v>4.1666666666666664E-2</v>
      </c>
      <c r="I274" s="2">
        <v>6.805555555555555E-2</v>
      </c>
      <c r="J274">
        <v>8</v>
      </c>
      <c r="K274">
        <v>3</v>
      </c>
      <c r="L274" t="s">
        <v>77</v>
      </c>
      <c r="M274">
        <v>29.9</v>
      </c>
      <c r="N274">
        <v>96</v>
      </c>
      <c r="O274">
        <v>12</v>
      </c>
      <c r="P274">
        <v>4.2</v>
      </c>
      <c r="Q274" t="s">
        <v>31</v>
      </c>
      <c r="R274">
        <v>10000</v>
      </c>
      <c r="S274">
        <v>36</v>
      </c>
      <c r="T274">
        <v>0</v>
      </c>
      <c r="U274">
        <v>1</v>
      </c>
      <c r="V274">
        <v>2</v>
      </c>
      <c r="W274" t="s">
        <v>72</v>
      </c>
      <c r="X274">
        <v>0</v>
      </c>
      <c r="Y274" t="str">
        <f t="shared" si="4"/>
        <v>Medium</v>
      </c>
    </row>
    <row r="275" spans="1:25">
      <c r="A275" t="s">
        <v>388</v>
      </c>
      <c r="B275" s="1">
        <v>44930</v>
      </c>
      <c r="C275" s="2">
        <v>5.2083333333333336E-2</v>
      </c>
      <c r="D275" t="s">
        <v>34</v>
      </c>
      <c r="E275" t="s">
        <v>130</v>
      </c>
      <c r="F275" t="s">
        <v>29</v>
      </c>
      <c r="G275" t="s">
        <v>163</v>
      </c>
      <c r="H275" s="2">
        <v>5.347222222222222E-2</v>
      </c>
      <c r="I275" s="2">
        <v>6.6666666666666666E-2</v>
      </c>
      <c r="J275">
        <v>6</v>
      </c>
      <c r="K275">
        <v>-1</v>
      </c>
      <c r="L275" t="s">
        <v>54</v>
      </c>
      <c r="M275">
        <v>-3.7</v>
      </c>
      <c r="N275">
        <v>45</v>
      </c>
      <c r="O275">
        <v>46</v>
      </c>
      <c r="P275">
        <v>13.6</v>
      </c>
      <c r="Q275" t="s">
        <v>71</v>
      </c>
      <c r="R275">
        <v>0</v>
      </c>
      <c r="S275">
        <v>57</v>
      </c>
      <c r="T275">
        <v>0</v>
      </c>
      <c r="U275">
        <v>0</v>
      </c>
      <c r="V275">
        <v>2</v>
      </c>
      <c r="W275" t="s">
        <v>32</v>
      </c>
      <c r="X275">
        <v>0</v>
      </c>
      <c r="Y275" t="str">
        <f t="shared" si="4"/>
        <v>Medium</v>
      </c>
    </row>
    <row r="276" spans="1:25">
      <c r="A276" t="s">
        <v>389</v>
      </c>
      <c r="B276" s="1">
        <v>44930</v>
      </c>
      <c r="C276" s="2">
        <v>6.25E-2</v>
      </c>
      <c r="D276" t="s">
        <v>41</v>
      </c>
      <c r="E276" t="s">
        <v>57</v>
      </c>
      <c r="F276" t="s">
        <v>65</v>
      </c>
      <c r="G276" t="s">
        <v>81</v>
      </c>
      <c r="H276" s="2">
        <v>6.3888888888888884E-2</v>
      </c>
      <c r="I276" s="2">
        <v>9.0972222222222218E-2</v>
      </c>
      <c r="J276">
        <v>13</v>
      </c>
      <c r="K276">
        <v>29</v>
      </c>
      <c r="L276" t="s">
        <v>38</v>
      </c>
      <c r="M276">
        <v>30.8</v>
      </c>
      <c r="N276">
        <v>84</v>
      </c>
      <c r="O276">
        <v>48</v>
      </c>
      <c r="P276">
        <v>7.3</v>
      </c>
      <c r="Q276" t="s">
        <v>31</v>
      </c>
      <c r="R276">
        <v>10000</v>
      </c>
      <c r="S276">
        <v>36</v>
      </c>
      <c r="T276">
        <v>0</v>
      </c>
      <c r="U276">
        <v>0</v>
      </c>
      <c r="V276">
        <v>2</v>
      </c>
      <c r="W276" t="s">
        <v>32</v>
      </c>
      <c r="X276">
        <v>1</v>
      </c>
      <c r="Y276" t="str">
        <f t="shared" si="4"/>
        <v>Medium</v>
      </c>
    </row>
    <row r="277" spans="1:25">
      <c r="A277" t="s">
        <v>390</v>
      </c>
      <c r="B277" s="1">
        <v>44930</v>
      </c>
      <c r="C277" s="2">
        <v>7.2916666666666671E-2</v>
      </c>
      <c r="D277" t="s">
        <v>34</v>
      </c>
      <c r="E277" t="s">
        <v>35</v>
      </c>
      <c r="F277" t="s">
        <v>62</v>
      </c>
      <c r="G277" t="s">
        <v>65</v>
      </c>
      <c r="H277" s="2">
        <v>7.3611111111111113E-2</v>
      </c>
      <c r="I277" s="2">
        <v>0.1</v>
      </c>
      <c r="J277">
        <v>6</v>
      </c>
      <c r="K277">
        <v>-2</v>
      </c>
      <c r="L277" t="s">
        <v>77</v>
      </c>
      <c r="M277">
        <v>21.1</v>
      </c>
      <c r="N277">
        <v>69</v>
      </c>
      <c r="O277">
        <v>21</v>
      </c>
      <c r="P277">
        <v>2.9</v>
      </c>
      <c r="Q277" t="s">
        <v>59</v>
      </c>
      <c r="R277">
        <v>0</v>
      </c>
      <c r="S277">
        <v>81</v>
      </c>
      <c r="T277">
        <v>0</v>
      </c>
      <c r="U277">
        <v>0</v>
      </c>
      <c r="V277">
        <v>2</v>
      </c>
      <c r="W277" t="s">
        <v>32</v>
      </c>
      <c r="X277">
        <v>0</v>
      </c>
      <c r="Y277" t="str">
        <f t="shared" si="4"/>
        <v>High</v>
      </c>
    </row>
    <row r="278" spans="1:25">
      <c r="A278" t="s">
        <v>391</v>
      </c>
      <c r="B278" s="1">
        <v>44930</v>
      </c>
      <c r="C278" s="2">
        <v>8.3333333333333329E-2</v>
      </c>
      <c r="D278" t="s">
        <v>41</v>
      </c>
      <c r="E278" t="s">
        <v>27</v>
      </c>
      <c r="F278" t="s">
        <v>50</v>
      </c>
      <c r="G278" t="s">
        <v>105</v>
      </c>
      <c r="H278" s="2">
        <v>8.611111111111111E-2</v>
      </c>
      <c r="I278" s="2">
        <v>0.11944444444444445</v>
      </c>
      <c r="J278">
        <v>19</v>
      </c>
      <c r="K278">
        <v>12</v>
      </c>
      <c r="L278" t="s">
        <v>30</v>
      </c>
      <c r="M278">
        <v>24.5</v>
      </c>
      <c r="N278">
        <v>55</v>
      </c>
      <c r="O278">
        <v>53</v>
      </c>
      <c r="P278">
        <v>7</v>
      </c>
      <c r="Q278" t="s">
        <v>31</v>
      </c>
      <c r="R278">
        <v>0</v>
      </c>
      <c r="S278">
        <v>25</v>
      </c>
      <c r="T278">
        <v>0</v>
      </c>
      <c r="U278">
        <v>1</v>
      </c>
      <c r="V278">
        <v>2</v>
      </c>
      <c r="W278" t="s">
        <v>55</v>
      </c>
      <c r="X278">
        <v>1</v>
      </c>
      <c r="Y278" t="str">
        <f t="shared" si="4"/>
        <v>Low</v>
      </c>
    </row>
    <row r="279" spans="1:25">
      <c r="A279" t="s">
        <v>392</v>
      </c>
      <c r="B279" s="1">
        <v>44930</v>
      </c>
      <c r="C279" s="2">
        <v>9.375E-2</v>
      </c>
      <c r="D279" t="s">
        <v>74</v>
      </c>
      <c r="E279" t="s">
        <v>42</v>
      </c>
      <c r="F279" t="s">
        <v>142</v>
      </c>
      <c r="G279" t="s">
        <v>148</v>
      </c>
      <c r="H279" s="2">
        <v>9.583333333333334E-2</v>
      </c>
      <c r="I279" s="2">
        <v>0.1125</v>
      </c>
      <c r="J279">
        <v>1</v>
      </c>
      <c r="K279">
        <v>21</v>
      </c>
      <c r="L279" t="s">
        <v>84</v>
      </c>
      <c r="M279">
        <v>-4.9000000000000004</v>
      </c>
      <c r="N279">
        <v>67</v>
      </c>
      <c r="O279">
        <v>17</v>
      </c>
      <c r="P279">
        <v>4.5</v>
      </c>
      <c r="Q279" t="s">
        <v>31</v>
      </c>
      <c r="R279">
        <v>0</v>
      </c>
      <c r="S279">
        <v>41</v>
      </c>
      <c r="T279">
        <v>0</v>
      </c>
      <c r="U279">
        <v>0</v>
      </c>
      <c r="V279">
        <v>2</v>
      </c>
      <c r="W279" t="s">
        <v>72</v>
      </c>
      <c r="X279">
        <v>1</v>
      </c>
      <c r="Y279" t="str">
        <f t="shared" si="4"/>
        <v>Medium</v>
      </c>
    </row>
    <row r="280" spans="1:25">
      <c r="A280" t="s">
        <v>393</v>
      </c>
      <c r="B280" s="1">
        <v>44930</v>
      </c>
      <c r="C280" s="2">
        <v>0.10416666666666667</v>
      </c>
      <c r="D280" t="s">
        <v>41</v>
      </c>
      <c r="E280" t="s">
        <v>61</v>
      </c>
      <c r="F280" t="s">
        <v>76</v>
      </c>
      <c r="G280" t="s">
        <v>37</v>
      </c>
      <c r="H280" s="2">
        <v>0.10625</v>
      </c>
      <c r="I280" s="2">
        <v>0.13472222222222222</v>
      </c>
      <c r="J280">
        <v>-1</v>
      </c>
      <c r="K280">
        <v>11</v>
      </c>
      <c r="L280" t="s">
        <v>84</v>
      </c>
      <c r="M280">
        <v>20.100000000000001</v>
      </c>
      <c r="N280">
        <v>64</v>
      </c>
      <c r="O280">
        <v>26</v>
      </c>
      <c r="P280">
        <v>15.9</v>
      </c>
      <c r="Q280" t="s">
        <v>31</v>
      </c>
      <c r="R280">
        <v>500</v>
      </c>
      <c r="S280">
        <v>15</v>
      </c>
      <c r="T280">
        <v>0</v>
      </c>
      <c r="U280">
        <v>0</v>
      </c>
      <c r="V280">
        <v>2</v>
      </c>
      <c r="W280" t="s">
        <v>39</v>
      </c>
      <c r="X280">
        <v>1</v>
      </c>
      <c r="Y280" t="str">
        <f t="shared" si="4"/>
        <v>Low</v>
      </c>
    </row>
    <row r="281" spans="1:25">
      <c r="A281" t="s">
        <v>394</v>
      </c>
      <c r="B281" s="1">
        <v>44930</v>
      </c>
      <c r="C281" s="2">
        <v>0.11458333333333333</v>
      </c>
      <c r="D281" t="s">
        <v>74</v>
      </c>
      <c r="E281" t="s">
        <v>126</v>
      </c>
      <c r="F281" t="s">
        <v>176</v>
      </c>
      <c r="G281" t="s">
        <v>76</v>
      </c>
      <c r="H281" s="2">
        <v>0.11666666666666667</v>
      </c>
      <c r="I281" s="2">
        <v>0.13402777777777777</v>
      </c>
      <c r="J281">
        <v>11</v>
      </c>
      <c r="K281">
        <v>20</v>
      </c>
      <c r="L281" t="s">
        <v>77</v>
      </c>
      <c r="M281">
        <v>18.5</v>
      </c>
      <c r="N281">
        <v>97</v>
      </c>
      <c r="O281">
        <v>7</v>
      </c>
      <c r="P281">
        <v>19.7</v>
      </c>
      <c r="Q281" t="s">
        <v>59</v>
      </c>
      <c r="R281">
        <v>0</v>
      </c>
      <c r="S281">
        <v>21</v>
      </c>
      <c r="T281">
        <v>0</v>
      </c>
      <c r="U281">
        <v>0</v>
      </c>
      <c r="V281">
        <v>2</v>
      </c>
      <c r="W281" t="s">
        <v>39</v>
      </c>
      <c r="X281">
        <v>1</v>
      </c>
      <c r="Y281" t="str">
        <f t="shared" si="4"/>
        <v>Low</v>
      </c>
    </row>
    <row r="282" spans="1:25">
      <c r="A282" t="s">
        <v>395</v>
      </c>
      <c r="B282" s="1">
        <v>44930</v>
      </c>
      <c r="C282" s="2">
        <v>0.125</v>
      </c>
      <c r="D282" t="s">
        <v>34</v>
      </c>
      <c r="E282" t="s">
        <v>68</v>
      </c>
      <c r="F282" t="s">
        <v>128</v>
      </c>
      <c r="G282" t="s">
        <v>44</v>
      </c>
      <c r="H282" s="2">
        <v>0.125</v>
      </c>
      <c r="I282" s="2">
        <v>0.16180555555555556</v>
      </c>
      <c r="J282">
        <v>0</v>
      </c>
      <c r="K282">
        <v>11</v>
      </c>
      <c r="L282" t="s">
        <v>84</v>
      </c>
      <c r="M282">
        <v>16.5</v>
      </c>
      <c r="N282">
        <v>88</v>
      </c>
      <c r="O282">
        <v>5</v>
      </c>
      <c r="P282">
        <v>0.5</v>
      </c>
      <c r="Q282" t="s">
        <v>101</v>
      </c>
      <c r="R282">
        <v>2000</v>
      </c>
      <c r="S282">
        <v>22</v>
      </c>
      <c r="T282">
        <v>0</v>
      </c>
      <c r="U282">
        <v>0</v>
      </c>
      <c r="V282">
        <v>2</v>
      </c>
      <c r="W282" t="s">
        <v>72</v>
      </c>
      <c r="X282">
        <v>1</v>
      </c>
      <c r="Y282" t="str">
        <f t="shared" si="4"/>
        <v>Low</v>
      </c>
    </row>
    <row r="283" spans="1:25">
      <c r="A283" t="s">
        <v>396</v>
      </c>
      <c r="B283" s="1">
        <v>44930</v>
      </c>
      <c r="C283" s="2">
        <v>0.13541666666666666</v>
      </c>
      <c r="D283" t="s">
        <v>34</v>
      </c>
      <c r="E283" t="s">
        <v>48</v>
      </c>
      <c r="F283" t="s">
        <v>28</v>
      </c>
      <c r="G283" t="s">
        <v>58</v>
      </c>
      <c r="H283" s="2">
        <v>0.13750000000000001</v>
      </c>
      <c r="I283" s="2">
        <v>0.16458333333333333</v>
      </c>
      <c r="J283">
        <v>15</v>
      </c>
      <c r="K283">
        <v>27</v>
      </c>
      <c r="L283" t="s">
        <v>54</v>
      </c>
      <c r="M283">
        <v>26.4</v>
      </c>
      <c r="N283">
        <v>43</v>
      </c>
      <c r="O283">
        <v>10</v>
      </c>
      <c r="P283">
        <v>13.8</v>
      </c>
      <c r="Q283" t="s">
        <v>31</v>
      </c>
      <c r="R283">
        <v>2000</v>
      </c>
      <c r="S283">
        <v>46</v>
      </c>
      <c r="T283">
        <v>0</v>
      </c>
      <c r="U283">
        <v>0</v>
      </c>
      <c r="V283">
        <v>2</v>
      </c>
      <c r="W283" t="s">
        <v>39</v>
      </c>
      <c r="X283">
        <v>1</v>
      </c>
      <c r="Y283" t="str">
        <f t="shared" si="4"/>
        <v>Medium</v>
      </c>
    </row>
    <row r="284" spans="1:25">
      <c r="A284" t="s">
        <v>397</v>
      </c>
      <c r="B284" s="1">
        <v>44930</v>
      </c>
      <c r="C284" s="2">
        <v>0.14583333333333334</v>
      </c>
      <c r="D284" t="s">
        <v>74</v>
      </c>
      <c r="E284" t="s">
        <v>61</v>
      </c>
      <c r="F284" t="s">
        <v>163</v>
      </c>
      <c r="G284" t="s">
        <v>144</v>
      </c>
      <c r="H284" s="2">
        <v>0.14791666666666667</v>
      </c>
      <c r="I284" s="2">
        <v>0.16250000000000001</v>
      </c>
      <c r="J284">
        <v>18</v>
      </c>
      <c r="K284">
        <v>10</v>
      </c>
      <c r="L284" t="s">
        <v>84</v>
      </c>
      <c r="M284">
        <v>17.2</v>
      </c>
      <c r="N284">
        <v>76</v>
      </c>
      <c r="O284">
        <v>28</v>
      </c>
      <c r="P284">
        <v>5.3</v>
      </c>
      <c r="Q284" t="s">
        <v>31</v>
      </c>
      <c r="R284">
        <v>0</v>
      </c>
      <c r="S284">
        <v>66</v>
      </c>
      <c r="T284">
        <v>0</v>
      </c>
      <c r="U284">
        <v>0</v>
      </c>
      <c r="V284">
        <v>2</v>
      </c>
      <c r="W284" t="s">
        <v>32</v>
      </c>
      <c r="X284">
        <v>1</v>
      </c>
      <c r="Y284" t="str">
        <f t="shared" si="4"/>
        <v>Medium</v>
      </c>
    </row>
    <row r="285" spans="1:25">
      <c r="A285" t="s">
        <v>398</v>
      </c>
      <c r="B285" s="1">
        <v>44930</v>
      </c>
      <c r="C285" s="2">
        <v>0.15625</v>
      </c>
      <c r="D285" t="s">
        <v>26</v>
      </c>
      <c r="E285" t="s">
        <v>130</v>
      </c>
      <c r="F285" t="s">
        <v>91</v>
      </c>
      <c r="G285" t="s">
        <v>128</v>
      </c>
      <c r="H285" s="2">
        <v>0.15694444444444444</v>
      </c>
      <c r="I285" s="2">
        <v>0.18680555555555556</v>
      </c>
      <c r="J285">
        <v>3</v>
      </c>
      <c r="K285">
        <v>10</v>
      </c>
      <c r="L285" t="s">
        <v>54</v>
      </c>
      <c r="M285">
        <v>29.3</v>
      </c>
      <c r="N285">
        <v>71</v>
      </c>
      <c r="O285">
        <v>57</v>
      </c>
      <c r="P285">
        <v>1.3</v>
      </c>
      <c r="Q285" t="s">
        <v>46</v>
      </c>
      <c r="R285">
        <v>0</v>
      </c>
      <c r="S285">
        <v>2</v>
      </c>
      <c r="T285">
        <v>0</v>
      </c>
      <c r="U285">
        <v>1</v>
      </c>
      <c r="V285">
        <v>2</v>
      </c>
      <c r="W285" t="s">
        <v>72</v>
      </c>
      <c r="X285">
        <v>1</v>
      </c>
      <c r="Y285" t="str">
        <f t="shared" si="4"/>
        <v>Low</v>
      </c>
    </row>
    <row r="286" spans="1:25">
      <c r="A286" t="s">
        <v>399</v>
      </c>
      <c r="B286" s="1">
        <v>44930</v>
      </c>
      <c r="C286" s="2">
        <v>0.16666666666666666</v>
      </c>
      <c r="D286" t="s">
        <v>74</v>
      </c>
      <c r="E286" t="s">
        <v>161</v>
      </c>
      <c r="F286" t="s">
        <v>163</v>
      </c>
      <c r="G286" t="s">
        <v>90</v>
      </c>
      <c r="H286" s="2">
        <v>0.16805555555555557</v>
      </c>
      <c r="I286" s="2">
        <v>0.18541666666666667</v>
      </c>
      <c r="J286">
        <v>8</v>
      </c>
      <c r="K286">
        <v>2</v>
      </c>
      <c r="L286" t="s">
        <v>30</v>
      </c>
      <c r="M286">
        <v>4.3</v>
      </c>
      <c r="N286">
        <v>80</v>
      </c>
      <c r="O286">
        <v>40</v>
      </c>
      <c r="P286">
        <v>0.3</v>
      </c>
      <c r="Q286" t="s">
        <v>101</v>
      </c>
      <c r="R286">
        <v>0</v>
      </c>
      <c r="S286">
        <v>11</v>
      </c>
      <c r="T286">
        <v>0</v>
      </c>
      <c r="U286">
        <v>0</v>
      </c>
      <c r="V286">
        <v>2</v>
      </c>
      <c r="W286" t="s">
        <v>55</v>
      </c>
      <c r="X286">
        <v>0</v>
      </c>
      <c r="Y286" t="str">
        <f t="shared" si="4"/>
        <v>Low</v>
      </c>
    </row>
    <row r="287" spans="1:25">
      <c r="A287" t="s">
        <v>400</v>
      </c>
      <c r="B287" s="1">
        <v>44930</v>
      </c>
      <c r="C287" s="2">
        <v>0.17708333333333334</v>
      </c>
      <c r="D287" t="s">
        <v>26</v>
      </c>
      <c r="E287" t="s">
        <v>68</v>
      </c>
      <c r="F287" t="s">
        <v>29</v>
      </c>
      <c r="G287" t="s">
        <v>44</v>
      </c>
      <c r="H287" s="2">
        <v>0.17916666666666667</v>
      </c>
      <c r="I287" s="2">
        <v>0.2013888888888889</v>
      </c>
      <c r="J287">
        <v>18</v>
      </c>
      <c r="K287">
        <v>10</v>
      </c>
      <c r="L287" t="s">
        <v>38</v>
      </c>
      <c r="M287">
        <v>27.2</v>
      </c>
      <c r="N287">
        <v>48</v>
      </c>
      <c r="O287">
        <v>57</v>
      </c>
      <c r="P287">
        <v>17.600000000000001</v>
      </c>
      <c r="Q287" t="s">
        <v>71</v>
      </c>
      <c r="R287">
        <v>2000</v>
      </c>
      <c r="S287">
        <v>22</v>
      </c>
      <c r="T287">
        <v>0</v>
      </c>
      <c r="U287">
        <v>1</v>
      </c>
      <c r="V287">
        <v>2</v>
      </c>
      <c r="W287" t="s">
        <v>72</v>
      </c>
      <c r="X287">
        <v>1</v>
      </c>
      <c r="Y287" t="str">
        <f t="shared" si="4"/>
        <v>Low</v>
      </c>
    </row>
    <row r="288" spans="1:25">
      <c r="A288" t="s">
        <v>401</v>
      </c>
      <c r="B288" s="1">
        <v>44930</v>
      </c>
      <c r="C288" s="2">
        <v>0.1875</v>
      </c>
      <c r="D288" t="s">
        <v>41</v>
      </c>
      <c r="E288" t="s">
        <v>27</v>
      </c>
      <c r="F288" t="s">
        <v>43</v>
      </c>
      <c r="G288" t="s">
        <v>151</v>
      </c>
      <c r="H288" s="2">
        <v>0.19027777777777777</v>
      </c>
      <c r="I288" s="2">
        <v>0.21111111111111111</v>
      </c>
      <c r="J288">
        <v>15</v>
      </c>
      <c r="K288">
        <v>13</v>
      </c>
      <c r="L288" t="s">
        <v>45</v>
      </c>
      <c r="M288">
        <v>2.2000000000000002</v>
      </c>
      <c r="N288">
        <v>95</v>
      </c>
      <c r="O288">
        <v>4</v>
      </c>
      <c r="P288">
        <v>7.1</v>
      </c>
      <c r="Q288" t="s">
        <v>101</v>
      </c>
      <c r="R288">
        <v>0</v>
      </c>
      <c r="S288">
        <v>10</v>
      </c>
      <c r="T288">
        <v>0</v>
      </c>
      <c r="U288">
        <v>0</v>
      </c>
      <c r="V288">
        <v>2</v>
      </c>
      <c r="W288" t="s">
        <v>32</v>
      </c>
      <c r="X288">
        <v>1</v>
      </c>
      <c r="Y288" t="str">
        <f t="shared" si="4"/>
        <v>Low</v>
      </c>
    </row>
    <row r="289" spans="1:25">
      <c r="A289" t="s">
        <v>402</v>
      </c>
      <c r="B289" s="1">
        <v>44930</v>
      </c>
      <c r="C289" s="2">
        <v>0.19791666666666666</v>
      </c>
      <c r="D289" t="s">
        <v>41</v>
      </c>
      <c r="E289" t="s">
        <v>141</v>
      </c>
      <c r="F289" t="s">
        <v>86</v>
      </c>
      <c r="G289" t="s">
        <v>70</v>
      </c>
      <c r="H289" s="2">
        <v>0.2</v>
      </c>
      <c r="I289" s="2">
        <v>0.21180555555555555</v>
      </c>
      <c r="J289">
        <v>9</v>
      </c>
      <c r="K289">
        <v>14</v>
      </c>
      <c r="L289" t="s">
        <v>77</v>
      </c>
      <c r="M289">
        <v>27.5</v>
      </c>
      <c r="N289">
        <v>76</v>
      </c>
      <c r="O289">
        <v>6</v>
      </c>
      <c r="P289">
        <v>19.899999999999999</v>
      </c>
      <c r="Q289" t="s">
        <v>31</v>
      </c>
      <c r="R289">
        <v>2000</v>
      </c>
      <c r="S289">
        <v>51</v>
      </c>
      <c r="T289">
        <v>0</v>
      </c>
      <c r="U289">
        <v>1</v>
      </c>
      <c r="V289">
        <v>2</v>
      </c>
      <c r="W289" t="s">
        <v>72</v>
      </c>
      <c r="X289">
        <v>1</v>
      </c>
      <c r="Y289" t="str">
        <f t="shared" si="4"/>
        <v>Medium</v>
      </c>
    </row>
    <row r="290" spans="1:25">
      <c r="A290" t="s">
        <v>403</v>
      </c>
      <c r="B290" s="1">
        <v>44930</v>
      </c>
      <c r="C290" s="2">
        <v>0.20833333333333334</v>
      </c>
      <c r="D290" t="s">
        <v>41</v>
      </c>
      <c r="E290" t="s">
        <v>130</v>
      </c>
      <c r="F290" t="s">
        <v>99</v>
      </c>
      <c r="G290" t="s">
        <v>203</v>
      </c>
      <c r="H290" s="2">
        <v>0.20833333333333334</v>
      </c>
      <c r="I290" s="2">
        <v>0.23680555555555555</v>
      </c>
      <c r="J290">
        <v>2</v>
      </c>
      <c r="K290">
        <v>16</v>
      </c>
      <c r="L290" t="s">
        <v>77</v>
      </c>
      <c r="M290">
        <v>32.6</v>
      </c>
      <c r="N290">
        <v>94</v>
      </c>
      <c r="O290">
        <v>21</v>
      </c>
      <c r="P290">
        <v>8.8000000000000007</v>
      </c>
      <c r="Q290" t="s">
        <v>31</v>
      </c>
      <c r="R290">
        <v>0</v>
      </c>
      <c r="S290">
        <v>49</v>
      </c>
      <c r="T290">
        <v>0</v>
      </c>
      <c r="U290">
        <v>0</v>
      </c>
      <c r="V290">
        <v>2</v>
      </c>
      <c r="W290" t="s">
        <v>55</v>
      </c>
      <c r="X290">
        <v>1</v>
      </c>
      <c r="Y290" t="str">
        <f t="shared" si="4"/>
        <v>Medium</v>
      </c>
    </row>
    <row r="291" spans="1:25">
      <c r="A291" t="s">
        <v>404</v>
      </c>
      <c r="B291" s="1">
        <v>44930</v>
      </c>
      <c r="C291" s="2">
        <v>0.21875</v>
      </c>
      <c r="D291" t="s">
        <v>34</v>
      </c>
      <c r="E291" t="s">
        <v>57</v>
      </c>
      <c r="F291" t="s">
        <v>168</v>
      </c>
      <c r="G291" t="s">
        <v>168</v>
      </c>
      <c r="H291" s="2">
        <v>0.21875</v>
      </c>
      <c r="I291" s="2">
        <v>0.23402777777777778</v>
      </c>
      <c r="J291">
        <v>6</v>
      </c>
      <c r="K291">
        <v>13</v>
      </c>
      <c r="L291" t="s">
        <v>54</v>
      </c>
      <c r="M291">
        <v>8.4</v>
      </c>
      <c r="N291">
        <v>71</v>
      </c>
      <c r="O291">
        <v>58</v>
      </c>
      <c r="P291">
        <v>3.8</v>
      </c>
      <c r="Q291" t="s">
        <v>31</v>
      </c>
      <c r="R291">
        <v>2000</v>
      </c>
      <c r="S291">
        <v>56</v>
      </c>
      <c r="T291">
        <v>0</v>
      </c>
      <c r="U291">
        <v>0</v>
      </c>
      <c r="V291">
        <v>2</v>
      </c>
      <c r="W291" t="s">
        <v>55</v>
      </c>
      <c r="X291">
        <v>1</v>
      </c>
      <c r="Y291" t="str">
        <f t="shared" si="4"/>
        <v>Medium</v>
      </c>
    </row>
    <row r="292" spans="1:25">
      <c r="A292" t="s">
        <v>405</v>
      </c>
      <c r="B292" s="1">
        <v>44930</v>
      </c>
      <c r="C292" s="2">
        <v>0.22916666666666666</v>
      </c>
      <c r="D292" t="s">
        <v>41</v>
      </c>
      <c r="E292" t="s">
        <v>35</v>
      </c>
      <c r="F292" t="s">
        <v>100</v>
      </c>
      <c r="G292" t="s">
        <v>62</v>
      </c>
      <c r="H292" s="2">
        <v>0.22916666666666666</v>
      </c>
      <c r="I292" s="2">
        <v>0.26874999999999999</v>
      </c>
      <c r="J292">
        <v>17</v>
      </c>
      <c r="K292">
        <v>12</v>
      </c>
      <c r="L292" t="s">
        <v>30</v>
      </c>
      <c r="M292">
        <v>16.2</v>
      </c>
      <c r="N292">
        <v>67</v>
      </c>
      <c r="O292">
        <v>46</v>
      </c>
      <c r="P292">
        <v>15.5</v>
      </c>
      <c r="Q292" t="s">
        <v>71</v>
      </c>
      <c r="R292">
        <v>0</v>
      </c>
      <c r="S292">
        <v>63</v>
      </c>
      <c r="T292">
        <v>0</v>
      </c>
      <c r="U292">
        <v>0</v>
      </c>
      <c r="V292">
        <v>2</v>
      </c>
      <c r="W292" t="s">
        <v>72</v>
      </c>
      <c r="X292">
        <v>1</v>
      </c>
      <c r="Y292" t="str">
        <f t="shared" si="4"/>
        <v>Medium</v>
      </c>
    </row>
    <row r="293" spans="1:25">
      <c r="A293" t="s">
        <v>406</v>
      </c>
      <c r="B293" s="1">
        <v>44930</v>
      </c>
      <c r="C293" s="2">
        <v>0.23958333333333334</v>
      </c>
      <c r="D293" t="s">
        <v>26</v>
      </c>
      <c r="E293" t="s">
        <v>79</v>
      </c>
      <c r="F293" t="s">
        <v>99</v>
      </c>
      <c r="G293" t="s">
        <v>81</v>
      </c>
      <c r="H293" s="2">
        <v>0.24166666666666667</v>
      </c>
      <c r="I293" s="2">
        <v>0.26250000000000001</v>
      </c>
      <c r="J293">
        <v>15</v>
      </c>
      <c r="K293">
        <v>28</v>
      </c>
      <c r="L293" t="s">
        <v>30</v>
      </c>
      <c r="M293">
        <v>21.3</v>
      </c>
      <c r="N293">
        <v>42</v>
      </c>
      <c r="O293">
        <v>52</v>
      </c>
      <c r="P293">
        <v>18.5</v>
      </c>
      <c r="Q293" t="s">
        <v>31</v>
      </c>
      <c r="R293">
        <v>0</v>
      </c>
      <c r="S293">
        <v>45</v>
      </c>
      <c r="T293">
        <v>0</v>
      </c>
      <c r="U293">
        <v>1</v>
      </c>
      <c r="V293">
        <v>2</v>
      </c>
      <c r="W293" t="s">
        <v>72</v>
      </c>
      <c r="X293">
        <v>1</v>
      </c>
      <c r="Y293" t="str">
        <f t="shared" si="4"/>
        <v>Medium</v>
      </c>
    </row>
    <row r="294" spans="1:25">
      <c r="A294" t="s">
        <v>407</v>
      </c>
      <c r="B294" s="1">
        <v>44930</v>
      </c>
      <c r="C294" s="2">
        <v>0.25</v>
      </c>
      <c r="D294" t="s">
        <v>41</v>
      </c>
      <c r="E294" t="s">
        <v>27</v>
      </c>
      <c r="F294" t="s">
        <v>144</v>
      </c>
      <c r="G294" t="s">
        <v>83</v>
      </c>
      <c r="H294" s="2">
        <v>0.25069444444444444</v>
      </c>
      <c r="I294" s="2">
        <v>0.28819444444444442</v>
      </c>
      <c r="J294">
        <v>16</v>
      </c>
      <c r="K294">
        <v>5</v>
      </c>
      <c r="L294" t="s">
        <v>45</v>
      </c>
      <c r="M294">
        <v>-1.8</v>
      </c>
      <c r="N294">
        <v>73</v>
      </c>
      <c r="O294">
        <v>53</v>
      </c>
      <c r="P294">
        <v>16.3</v>
      </c>
      <c r="Q294" t="s">
        <v>31</v>
      </c>
      <c r="R294">
        <v>50000</v>
      </c>
      <c r="S294">
        <v>28</v>
      </c>
      <c r="T294">
        <v>0</v>
      </c>
      <c r="U294">
        <v>1</v>
      </c>
      <c r="V294">
        <v>2</v>
      </c>
      <c r="W294" t="s">
        <v>39</v>
      </c>
      <c r="X294">
        <v>0</v>
      </c>
      <c r="Y294" t="str">
        <f t="shared" si="4"/>
        <v>Low</v>
      </c>
    </row>
    <row r="295" spans="1:25">
      <c r="A295" t="s">
        <v>408</v>
      </c>
      <c r="B295" s="1">
        <v>44930</v>
      </c>
      <c r="C295" s="2">
        <v>0.26041666666666669</v>
      </c>
      <c r="D295" t="s">
        <v>74</v>
      </c>
      <c r="E295" t="s">
        <v>35</v>
      </c>
      <c r="F295" t="s">
        <v>69</v>
      </c>
      <c r="G295" t="s">
        <v>100</v>
      </c>
      <c r="H295" s="2">
        <v>0.26319444444444445</v>
      </c>
      <c r="I295" s="2">
        <v>0.28611111111111109</v>
      </c>
      <c r="J295">
        <v>0</v>
      </c>
      <c r="K295">
        <v>23</v>
      </c>
      <c r="L295" t="s">
        <v>38</v>
      </c>
      <c r="M295">
        <v>14.8</v>
      </c>
      <c r="N295">
        <v>53</v>
      </c>
      <c r="O295">
        <v>3</v>
      </c>
      <c r="P295">
        <v>14.9</v>
      </c>
      <c r="Q295" t="s">
        <v>31</v>
      </c>
      <c r="R295">
        <v>2000</v>
      </c>
      <c r="S295">
        <v>69</v>
      </c>
      <c r="T295">
        <v>0</v>
      </c>
      <c r="U295">
        <v>0</v>
      </c>
      <c r="V295">
        <v>2</v>
      </c>
      <c r="W295" t="s">
        <v>39</v>
      </c>
      <c r="X295">
        <v>1</v>
      </c>
      <c r="Y295" t="str">
        <f t="shared" si="4"/>
        <v>High</v>
      </c>
    </row>
    <row r="296" spans="1:25">
      <c r="A296" t="s">
        <v>409</v>
      </c>
      <c r="B296" s="1">
        <v>44930</v>
      </c>
      <c r="C296" s="2">
        <v>0.27083333333333331</v>
      </c>
      <c r="D296" t="s">
        <v>74</v>
      </c>
      <c r="E296" t="s">
        <v>42</v>
      </c>
      <c r="F296" t="s">
        <v>87</v>
      </c>
      <c r="G296" t="s">
        <v>116</v>
      </c>
      <c r="H296" s="2">
        <v>0.27291666666666664</v>
      </c>
      <c r="I296" s="2">
        <v>0.29652777777777778</v>
      </c>
      <c r="J296">
        <v>6</v>
      </c>
      <c r="K296">
        <v>29</v>
      </c>
      <c r="L296" t="s">
        <v>77</v>
      </c>
      <c r="M296">
        <v>9.4</v>
      </c>
      <c r="N296">
        <v>59</v>
      </c>
      <c r="O296">
        <v>31</v>
      </c>
      <c r="P296">
        <v>6.7</v>
      </c>
      <c r="Q296" t="s">
        <v>31</v>
      </c>
      <c r="R296">
        <v>0</v>
      </c>
      <c r="S296">
        <v>45</v>
      </c>
      <c r="T296">
        <v>0</v>
      </c>
      <c r="U296">
        <v>0</v>
      </c>
      <c r="V296">
        <v>2</v>
      </c>
      <c r="W296" t="s">
        <v>32</v>
      </c>
      <c r="X296">
        <v>1</v>
      </c>
      <c r="Y296" t="str">
        <f t="shared" si="4"/>
        <v>Medium</v>
      </c>
    </row>
    <row r="297" spans="1:25">
      <c r="A297" t="s">
        <v>410</v>
      </c>
      <c r="B297" s="1">
        <v>44930</v>
      </c>
      <c r="C297" s="2">
        <v>0.28125</v>
      </c>
      <c r="D297" t="s">
        <v>34</v>
      </c>
      <c r="E297" t="s">
        <v>52</v>
      </c>
      <c r="F297" t="s">
        <v>96</v>
      </c>
      <c r="G297" t="s">
        <v>90</v>
      </c>
      <c r="H297" s="2">
        <v>0.28194444444444444</v>
      </c>
      <c r="I297" s="2">
        <v>0.29652777777777778</v>
      </c>
      <c r="J297">
        <v>1</v>
      </c>
      <c r="K297">
        <v>6</v>
      </c>
      <c r="L297" t="s">
        <v>54</v>
      </c>
      <c r="M297">
        <v>29.9</v>
      </c>
      <c r="N297">
        <v>99</v>
      </c>
      <c r="O297">
        <v>18</v>
      </c>
      <c r="P297">
        <v>1.3</v>
      </c>
      <c r="Q297" t="s">
        <v>31</v>
      </c>
      <c r="R297">
        <v>500</v>
      </c>
      <c r="S297">
        <v>15</v>
      </c>
      <c r="T297">
        <v>0</v>
      </c>
      <c r="U297">
        <v>0</v>
      </c>
      <c r="V297">
        <v>2</v>
      </c>
      <c r="W297" t="s">
        <v>39</v>
      </c>
      <c r="X297">
        <v>1</v>
      </c>
      <c r="Y297" t="str">
        <f t="shared" si="4"/>
        <v>Low</v>
      </c>
    </row>
    <row r="298" spans="1:25">
      <c r="A298" t="s">
        <v>411</v>
      </c>
      <c r="B298" s="1">
        <v>44930</v>
      </c>
      <c r="C298" s="2">
        <v>0.29166666666666669</v>
      </c>
      <c r="D298" t="s">
        <v>74</v>
      </c>
      <c r="E298" t="s">
        <v>111</v>
      </c>
      <c r="F298" t="s">
        <v>128</v>
      </c>
      <c r="G298" t="s">
        <v>203</v>
      </c>
      <c r="H298" s="2">
        <v>0.29236111111111113</v>
      </c>
      <c r="I298" s="2">
        <v>0.31180555555555556</v>
      </c>
      <c r="J298">
        <v>14</v>
      </c>
      <c r="K298">
        <v>13</v>
      </c>
      <c r="L298" t="s">
        <v>30</v>
      </c>
      <c r="M298">
        <v>30.1</v>
      </c>
      <c r="N298">
        <v>67</v>
      </c>
      <c r="O298">
        <v>44</v>
      </c>
      <c r="P298">
        <v>4</v>
      </c>
      <c r="Q298" t="s">
        <v>31</v>
      </c>
      <c r="R298">
        <v>500</v>
      </c>
      <c r="S298">
        <v>97</v>
      </c>
      <c r="T298">
        <v>0</v>
      </c>
      <c r="U298">
        <v>0</v>
      </c>
      <c r="V298">
        <v>2</v>
      </c>
      <c r="W298" t="s">
        <v>32</v>
      </c>
      <c r="X298">
        <v>1</v>
      </c>
      <c r="Y298" t="str">
        <f t="shared" si="4"/>
        <v>High</v>
      </c>
    </row>
    <row r="299" spans="1:25">
      <c r="A299" t="s">
        <v>412</v>
      </c>
      <c r="B299" s="1">
        <v>44930</v>
      </c>
      <c r="C299" s="2">
        <v>0.30208333333333331</v>
      </c>
      <c r="D299" t="s">
        <v>26</v>
      </c>
      <c r="E299" t="s">
        <v>57</v>
      </c>
      <c r="F299" t="s">
        <v>83</v>
      </c>
      <c r="G299" t="s">
        <v>118</v>
      </c>
      <c r="H299" s="2">
        <v>0.30416666666666664</v>
      </c>
      <c r="I299" s="2">
        <v>0.34236111111111112</v>
      </c>
      <c r="J299">
        <v>14</v>
      </c>
      <c r="K299">
        <v>13</v>
      </c>
      <c r="L299" t="s">
        <v>77</v>
      </c>
      <c r="M299">
        <v>23</v>
      </c>
      <c r="N299">
        <v>52</v>
      </c>
      <c r="O299">
        <v>32</v>
      </c>
      <c r="P299">
        <v>8.9</v>
      </c>
      <c r="Q299" t="s">
        <v>101</v>
      </c>
      <c r="R299">
        <v>0</v>
      </c>
      <c r="S299">
        <v>50</v>
      </c>
      <c r="T299">
        <v>0</v>
      </c>
      <c r="U299">
        <v>0</v>
      </c>
      <c r="V299">
        <v>2</v>
      </c>
      <c r="W299" t="s">
        <v>32</v>
      </c>
      <c r="X299">
        <v>1</v>
      </c>
      <c r="Y299" t="str">
        <f t="shared" si="4"/>
        <v>Medium</v>
      </c>
    </row>
    <row r="300" spans="1:25">
      <c r="A300" t="s">
        <v>413</v>
      </c>
      <c r="B300" s="1">
        <v>44930</v>
      </c>
      <c r="C300" s="2">
        <v>0.3125</v>
      </c>
      <c r="D300" t="s">
        <v>41</v>
      </c>
      <c r="E300" t="s">
        <v>52</v>
      </c>
      <c r="F300" t="s">
        <v>96</v>
      </c>
      <c r="G300" t="s">
        <v>37</v>
      </c>
      <c r="H300" s="2">
        <v>0.31458333333333333</v>
      </c>
      <c r="I300" s="2">
        <v>0.3263888888888889</v>
      </c>
      <c r="J300">
        <v>-1</v>
      </c>
      <c r="K300">
        <v>14</v>
      </c>
      <c r="L300" t="s">
        <v>54</v>
      </c>
      <c r="M300">
        <v>21.2</v>
      </c>
      <c r="N300">
        <v>86</v>
      </c>
      <c r="O300">
        <v>0</v>
      </c>
      <c r="P300">
        <v>19.100000000000001</v>
      </c>
      <c r="Q300" t="s">
        <v>31</v>
      </c>
      <c r="R300">
        <v>0</v>
      </c>
      <c r="S300">
        <v>10</v>
      </c>
      <c r="T300">
        <v>1</v>
      </c>
      <c r="U300">
        <v>0</v>
      </c>
      <c r="V300">
        <v>2</v>
      </c>
      <c r="W300" t="s">
        <v>72</v>
      </c>
      <c r="X300">
        <v>1</v>
      </c>
      <c r="Y300" t="str">
        <f t="shared" si="4"/>
        <v>Low</v>
      </c>
    </row>
    <row r="301" spans="1:25">
      <c r="A301" t="s">
        <v>414</v>
      </c>
      <c r="B301" s="1">
        <v>44930</v>
      </c>
      <c r="C301" s="2">
        <v>0.32291666666666669</v>
      </c>
      <c r="D301" t="s">
        <v>34</v>
      </c>
      <c r="E301" t="s">
        <v>27</v>
      </c>
      <c r="F301" t="s">
        <v>28</v>
      </c>
      <c r="G301" t="s">
        <v>49</v>
      </c>
      <c r="H301" s="2">
        <v>0.32361111111111113</v>
      </c>
      <c r="I301" s="2">
        <v>0.35486111111111113</v>
      </c>
      <c r="J301">
        <v>6</v>
      </c>
      <c r="K301">
        <v>19</v>
      </c>
      <c r="L301" t="s">
        <v>84</v>
      </c>
      <c r="M301">
        <v>24.3</v>
      </c>
      <c r="N301">
        <v>52</v>
      </c>
      <c r="O301">
        <v>53</v>
      </c>
      <c r="P301">
        <v>14.5</v>
      </c>
      <c r="Q301" t="s">
        <v>31</v>
      </c>
      <c r="R301">
        <v>0</v>
      </c>
      <c r="S301">
        <v>10</v>
      </c>
      <c r="T301">
        <v>0</v>
      </c>
      <c r="U301">
        <v>0</v>
      </c>
      <c r="V301">
        <v>2</v>
      </c>
      <c r="W301" t="s">
        <v>39</v>
      </c>
      <c r="X301">
        <v>1</v>
      </c>
      <c r="Y301" t="str">
        <f t="shared" si="4"/>
        <v>Low</v>
      </c>
    </row>
    <row r="302" spans="1:25">
      <c r="A302" t="s">
        <v>415</v>
      </c>
      <c r="B302" s="1">
        <v>44930</v>
      </c>
      <c r="C302" s="2">
        <v>0.33333333333333331</v>
      </c>
      <c r="D302" t="s">
        <v>41</v>
      </c>
      <c r="E302" t="s">
        <v>111</v>
      </c>
      <c r="F302" t="s">
        <v>105</v>
      </c>
      <c r="G302" t="s">
        <v>148</v>
      </c>
      <c r="H302" s="2">
        <v>0.33402777777777776</v>
      </c>
      <c r="I302" s="2">
        <v>0.36527777777777776</v>
      </c>
      <c r="J302">
        <v>6</v>
      </c>
      <c r="K302">
        <v>4</v>
      </c>
      <c r="L302" t="s">
        <v>77</v>
      </c>
      <c r="M302">
        <v>9.6</v>
      </c>
      <c r="N302">
        <v>65</v>
      </c>
      <c r="O302">
        <v>45</v>
      </c>
      <c r="P302">
        <v>16.600000000000001</v>
      </c>
      <c r="Q302" t="s">
        <v>71</v>
      </c>
      <c r="R302">
        <v>50000</v>
      </c>
      <c r="S302">
        <v>62</v>
      </c>
      <c r="T302">
        <v>0</v>
      </c>
      <c r="U302">
        <v>1</v>
      </c>
      <c r="V302">
        <v>2</v>
      </c>
      <c r="W302" t="s">
        <v>55</v>
      </c>
      <c r="X302">
        <v>0</v>
      </c>
      <c r="Y302" t="str">
        <f t="shared" si="4"/>
        <v>Medium</v>
      </c>
    </row>
    <row r="303" spans="1:25">
      <c r="A303" t="s">
        <v>416</v>
      </c>
      <c r="B303" s="1">
        <v>44930</v>
      </c>
      <c r="C303" s="2">
        <v>0.34375</v>
      </c>
      <c r="D303" t="s">
        <v>41</v>
      </c>
      <c r="E303" t="s">
        <v>79</v>
      </c>
      <c r="F303" t="s">
        <v>99</v>
      </c>
      <c r="G303" t="s">
        <v>197</v>
      </c>
      <c r="H303" s="2">
        <v>0.34444444444444444</v>
      </c>
      <c r="I303" s="2">
        <v>0.36458333333333331</v>
      </c>
      <c r="J303">
        <v>2</v>
      </c>
      <c r="K303">
        <v>9</v>
      </c>
      <c r="L303" t="s">
        <v>38</v>
      </c>
      <c r="M303">
        <v>11.2</v>
      </c>
      <c r="N303">
        <v>86</v>
      </c>
      <c r="O303">
        <v>40</v>
      </c>
      <c r="P303">
        <v>5.5</v>
      </c>
      <c r="Q303" t="s">
        <v>101</v>
      </c>
      <c r="R303">
        <v>0</v>
      </c>
      <c r="S303">
        <v>52</v>
      </c>
      <c r="T303">
        <v>0</v>
      </c>
      <c r="U303">
        <v>1</v>
      </c>
      <c r="V303">
        <v>2</v>
      </c>
      <c r="W303" t="s">
        <v>55</v>
      </c>
      <c r="X303">
        <v>1</v>
      </c>
      <c r="Y303" t="str">
        <f t="shared" si="4"/>
        <v>Medium</v>
      </c>
    </row>
    <row r="304" spans="1:25">
      <c r="A304" t="s">
        <v>417</v>
      </c>
      <c r="B304" s="1">
        <v>44930</v>
      </c>
      <c r="C304" s="2">
        <v>0.35416666666666669</v>
      </c>
      <c r="D304" t="s">
        <v>26</v>
      </c>
      <c r="E304" t="s">
        <v>126</v>
      </c>
      <c r="F304" t="s">
        <v>29</v>
      </c>
      <c r="G304" t="s">
        <v>135</v>
      </c>
      <c r="H304" s="2">
        <v>0.35625000000000001</v>
      </c>
      <c r="I304" s="2">
        <v>0.37083333333333335</v>
      </c>
      <c r="J304">
        <v>12</v>
      </c>
      <c r="K304">
        <v>19</v>
      </c>
      <c r="L304" t="s">
        <v>54</v>
      </c>
      <c r="M304">
        <v>17.100000000000001</v>
      </c>
      <c r="N304">
        <v>30</v>
      </c>
      <c r="O304">
        <v>55</v>
      </c>
      <c r="P304">
        <v>13.7</v>
      </c>
      <c r="Q304" t="s">
        <v>71</v>
      </c>
      <c r="R304">
        <v>0</v>
      </c>
      <c r="S304">
        <v>88</v>
      </c>
      <c r="T304">
        <v>0</v>
      </c>
      <c r="U304">
        <v>0</v>
      </c>
      <c r="V304">
        <v>2</v>
      </c>
      <c r="W304" t="s">
        <v>72</v>
      </c>
      <c r="X304">
        <v>1</v>
      </c>
      <c r="Y304" t="str">
        <f t="shared" si="4"/>
        <v>High</v>
      </c>
    </row>
    <row r="305" spans="1:25">
      <c r="A305" t="s">
        <v>418</v>
      </c>
      <c r="B305" s="1">
        <v>44930</v>
      </c>
      <c r="C305" s="2">
        <v>0.36458333333333331</v>
      </c>
      <c r="D305" t="s">
        <v>74</v>
      </c>
      <c r="E305" t="s">
        <v>104</v>
      </c>
      <c r="F305" t="s">
        <v>90</v>
      </c>
      <c r="G305" t="s">
        <v>58</v>
      </c>
      <c r="H305" s="2">
        <v>0.36527777777777776</v>
      </c>
      <c r="I305" s="2">
        <v>0.38263888888888886</v>
      </c>
      <c r="J305">
        <v>12</v>
      </c>
      <c r="K305">
        <v>16</v>
      </c>
      <c r="L305" t="s">
        <v>38</v>
      </c>
      <c r="M305">
        <v>32.5</v>
      </c>
      <c r="N305">
        <v>32</v>
      </c>
      <c r="O305">
        <v>43</v>
      </c>
      <c r="P305">
        <v>17.2</v>
      </c>
      <c r="Q305" t="s">
        <v>31</v>
      </c>
      <c r="R305">
        <v>0</v>
      </c>
      <c r="S305">
        <v>57</v>
      </c>
      <c r="T305">
        <v>0</v>
      </c>
      <c r="U305">
        <v>1</v>
      </c>
      <c r="V305">
        <v>2</v>
      </c>
      <c r="W305" t="s">
        <v>55</v>
      </c>
      <c r="X305">
        <v>1</v>
      </c>
      <c r="Y305" t="str">
        <f t="shared" si="4"/>
        <v>Medium</v>
      </c>
    </row>
    <row r="306" spans="1:25">
      <c r="A306" t="s">
        <v>419</v>
      </c>
      <c r="B306" s="1">
        <v>44930</v>
      </c>
      <c r="C306" s="2">
        <v>0.375</v>
      </c>
      <c r="D306" t="s">
        <v>74</v>
      </c>
      <c r="E306" t="s">
        <v>130</v>
      </c>
      <c r="F306" t="s">
        <v>203</v>
      </c>
      <c r="G306" t="s">
        <v>66</v>
      </c>
      <c r="H306" s="2">
        <v>0.375</v>
      </c>
      <c r="I306" s="2">
        <v>0.40138888888888891</v>
      </c>
      <c r="J306">
        <v>0</v>
      </c>
      <c r="K306">
        <v>18</v>
      </c>
      <c r="L306" t="s">
        <v>77</v>
      </c>
      <c r="M306">
        <v>24</v>
      </c>
      <c r="N306">
        <v>43</v>
      </c>
      <c r="O306">
        <v>49</v>
      </c>
      <c r="P306">
        <v>9.6</v>
      </c>
      <c r="Q306" t="s">
        <v>101</v>
      </c>
      <c r="R306">
        <v>0</v>
      </c>
      <c r="S306">
        <v>18</v>
      </c>
      <c r="T306">
        <v>0</v>
      </c>
      <c r="U306">
        <v>0</v>
      </c>
      <c r="V306">
        <v>2</v>
      </c>
      <c r="W306" t="s">
        <v>55</v>
      </c>
      <c r="X306">
        <v>1</v>
      </c>
      <c r="Y306" t="str">
        <f t="shared" si="4"/>
        <v>Low</v>
      </c>
    </row>
    <row r="307" spans="1:25">
      <c r="A307" t="s">
        <v>420</v>
      </c>
      <c r="B307" s="1">
        <v>44930</v>
      </c>
      <c r="C307" s="2">
        <v>0.38541666666666669</v>
      </c>
      <c r="D307" t="s">
        <v>41</v>
      </c>
      <c r="E307" t="s">
        <v>35</v>
      </c>
      <c r="F307" t="s">
        <v>107</v>
      </c>
      <c r="G307" t="s">
        <v>135</v>
      </c>
      <c r="H307" s="2">
        <v>0.38750000000000001</v>
      </c>
      <c r="I307" s="2">
        <v>0.41875000000000001</v>
      </c>
      <c r="J307">
        <v>16</v>
      </c>
      <c r="K307">
        <v>19</v>
      </c>
      <c r="L307" t="s">
        <v>84</v>
      </c>
      <c r="M307">
        <v>17</v>
      </c>
      <c r="N307">
        <v>63</v>
      </c>
      <c r="O307">
        <v>40</v>
      </c>
      <c r="P307">
        <v>8.6</v>
      </c>
      <c r="Q307" t="s">
        <v>31</v>
      </c>
      <c r="R307">
        <v>0</v>
      </c>
      <c r="S307">
        <v>31</v>
      </c>
      <c r="T307">
        <v>0</v>
      </c>
      <c r="U307">
        <v>1</v>
      </c>
      <c r="V307">
        <v>2</v>
      </c>
      <c r="W307" t="s">
        <v>72</v>
      </c>
      <c r="X307">
        <v>1</v>
      </c>
      <c r="Y307" t="str">
        <f t="shared" si="4"/>
        <v>Low</v>
      </c>
    </row>
    <row r="308" spans="1:25">
      <c r="A308" t="s">
        <v>421</v>
      </c>
      <c r="B308" s="1">
        <v>44930</v>
      </c>
      <c r="C308" s="2">
        <v>0.39583333333333331</v>
      </c>
      <c r="D308" t="s">
        <v>34</v>
      </c>
      <c r="E308" t="s">
        <v>130</v>
      </c>
      <c r="F308" t="s">
        <v>123</v>
      </c>
      <c r="G308" t="s">
        <v>49</v>
      </c>
      <c r="H308" s="2">
        <v>0.39583333333333331</v>
      </c>
      <c r="I308" s="2">
        <v>0.41944444444444445</v>
      </c>
      <c r="J308">
        <v>0</v>
      </c>
      <c r="K308">
        <v>-1</v>
      </c>
      <c r="L308" t="s">
        <v>38</v>
      </c>
      <c r="M308">
        <v>25.8</v>
      </c>
      <c r="N308">
        <v>99</v>
      </c>
      <c r="O308">
        <v>7</v>
      </c>
      <c r="P308">
        <v>14.4</v>
      </c>
      <c r="Q308" t="s">
        <v>31</v>
      </c>
      <c r="R308">
        <v>0</v>
      </c>
      <c r="S308">
        <v>49</v>
      </c>
      <c r="T308">
        <v>0</v>
      </c>
      <c r="U308">
        <v>0</v>
      </c>
      <c r="V308">
        <v>2</v>
      </c>
      <c r="W308" t="s">
        <v>55</v>
      </c>
      <c r="X308">
        <v>0</v>
      </c>
      <c r="Y308" t="str">
        <f t="shared" si="4"/>
        <v>Medium</v>
      </c>
    </row>
    <row r="309" spans="1:25">
      <c r="A309" t="s">
        <v>422</v>
      </c>
      <c r="B309" s="1">
        <v>44930</v>
      </c>
      <c r="C309" s="2">
        <v>0.40625</v>
      </c>
      <c r="D309" t="s">
        <v>74</v>
      </c>
      <c r="E309" t="s">
        <v>126</v>
      </c>
      <c r="F309" t="s">
        <v>87</v>
      </c>
      <c r="G309" t="s">
        <v>66</v>
      </c>
      <c r="H309" s="2">
        <v>0.40763888888888888</v>
      </c>
      <c r="I309" s="2">
        <v>0.44374999999999998</v>
      </c>
      <c r="J309">
        <v>3</v>
      </c>
      <c r="K309">
        <v>29</v>
      </c>
      <c r="L309" t="s">
        <v>30</v>
      </c>
      <c r="M309">
        <v>9.8000000000000007</v>
      </c>
      <c r="N309">
        <v>98</v>
      </c>
      <c r="O309">
        <v>31</v>
      </c>
      <c r="P309">
        <v>11.2</v>
      </c>
      <c r="Q309" t="s">
        <v>71</v>
      </c>
      <c r="R309">
        <v>0</v>
      </c>
      <c r="S309">
        <v>71</v>
      </c>
      <c r="T309">
        <v>0</v>
      </c>
      <c r="U309">
        <v>1</v>
      </c>
      <c r="V309">
        <v>2</v>
      </c>
      <c r="W309" t="s">
        <v>72</v>
      </c>
      <c r="X309">
        <v>1</v>
      </c>
      <c r="Y309" t="str">
        <f t="shared" si="4"/>
        <v>High</v>
      </c>
    </row>
    <row r="310" spans="1:25">
      <c r="A310" t="s">
        <v>423</v>
      </c>
      <c r="B310" s="1">
        <v>44930</v>
      </c>
      <c r="C310" s="2">
        <v>0.41666666666666669</v>
      </c>
      <c r="D310" t="s">
        <v>34</v>
      </c>
      <c r="E310" t="s">
        <v>111</v>
      </c>
      <c r="F310" t="s">
        <v>49</v>
      </c>
      <c r="G310" t="s">
        <v>76</v>
      </c>
      <c r="H310" s="2">
        <v>0.41875000000000001</v>
      </c>
      <c r="I310" s="2">
        <v>0.45555555555555555</v>
      </c>
      <c r="J310">
        <v>1</v>
      </c>
      <c r="K310">
        <v>13</v>
      </c>
      <c r="L310" t="s">
        <v>54</v>
      </c>
      <c r="M310">
        <v>24.2</v>
      </c>
      <c r="N310">
        <v>80</v>
      </c>
      <c r="O310">
        <v>29</v>
      </c>
      <c r="P310">
        <v>19.899999999999999</v>
      </c>
      <c r="Q310" t="s">
        <v>46</v>
      </c>
      <c r="R310">
        <v>50000</v>
      </c>
      <c r="S310">
        <v>54</v>
      </c>
      <c r="T310">
        <v>0</v>
      </c>
      <c r="U310">
        <v>0</v>
      </c>
      <c r="V310">
        <v>2</v>
      </c>
      <c r="W310" t="s">
        <v>32</v>
      </c>
      <c r="X310">
        <v>1</v>
      </c>
      <c r="Y310" t="str">
        <f t="shared" si="4"/>
        <v>Medium</v>
      </c>
    </row>
    <row r="311" spans="1:25">
      <c r="A311" t="s">
        <v>424</v>
      </c>
      <c r="B311" s="1">
        <v>44930</v>
      </c>
      <c r="C311" s="2">
        <v>0.42708333333333331</v>
      </c>
      <c r="D311" t="s">
        <v>74</v>
      </c>
      <c r="E311" t="s">
        <v>27</v>
      </c>
      <c r="F311" t="s">
        <v>135</v>
      </c>
      <c r="G311" t="s">
        <v>37</v>
      </c>
      <c r="H311" s="2">
        <v>0.4284722222222222</v>
      </c>
      <c r="I311" s="2">
        <v>0.44861111111111113</v>
      </c>
      <c r="J311">
        <v>10</v>
      </c>
      <c r="K311">
        <v>15</v>
      </c>
      <c r="L311" t="s">
        <v>77</v>
      </c>
      <c r="M311">
        <v>11.4</v>
      </c>
      <c r="N311">
        <v>58</v>
      </c>
      <c r="O311">
        <v>45</v>
      </c>
      <c r="P311">
        <v>8.5</v>
      </c>
      <c r="Q311" t="s">
        <v>31</v>
      </c>
      <c r="R311">
        <v>50000</v>
      </c>
      <c r="S311">
        <v>75</v>
      </c>
      <c r="T311">
        <v>0</v>
      </c>
      <c r="U311">
        <v>0</v>
      </c>
      <c r="V311">
        <v>2</v>
      </c>
      <c r="W311" t="s">
        <v>39</v>
      </c>
      <c r="X311">
        <v>1</v>
      </c>
      <c r="Y311" t="str">
        <f t="shared" si="4"/>
        <v>High</v>
      </c>
    </row>
    <row r="312" spans="1:25">
      <c r="A312" t="s">
        <v>425</v>
      </c>
      <c r="B312" s="1">
        <v>44930</v>
      </c>
      <c r="C312" s="2">
        <v>0.4375</v>
      </c>
      <c r="D312" t="s">
        <v>34</v>
      </c>
      <c r="E312" t="s">
        <v>111</v>
      </c>
      <c r="F312" t="s">
        <v>96</v>
      </c>
      <c r="G312" t="s">
        <v>118</v>
      </c>
      <c r="H312" s="2">
        <v>0.43819444444444444</v>
      </c>
      <c r="I312" s="2">
        <v>0.47152777777777777</v>
      </c>
      <c r="J312">
        <v>10</v>
      </c>
      <c r="K312">
        <v>26</v>
      </c>
      <c r="L312" t="s">
        <v>84</v>
      </c>
      <c r="M312">
        <v>6.2</v>
      </c>
      <c r="N312">
        <v>77</v>
      </c>
      <c r="O312">
        <v>27</v>
      </c>
      <c r="P312">
        <v>3.5</v>
      </c>
      <c r="Q312" t="s">
        <v>101</v>
      </c>
      <c r="R312">
        <v>0</v>
      </c>
      <c r="S312">
        <v>40</v>
      </c>
      <c r="T312">
        <v>0</v>
      </c>
      <c r="U312">
        <v>0</v>
      </c>
      <c r="V312">
        <v>2</v>
      </c>
      <c r="W312" t="s">
        <v>55</v>
      </c>
      <c r="X312">
        <v>1</v>
      </c>
      <c r="Y312" t="str">
        <f t="shared" si="4"/>
        <v>Medium</v>
      </c>
    </row>
    <row r="313" spans="1:25">
      <c r="A313" t="s">
        <v>426</v>
      </c>
      <c r="B313" s="1">
        <v>44930</v>
      </c>
      <c r="C313" s="2">
        <v>0.44791666666666669</v>
      </c>
      <c r="D313" t="s">
        <v>26</v>
      </c>
      <c r="E313" t="s">
        <v>104</v>
      </c>
      <c r="F313" t="s">
        <v>70</v>
      </c>
      <c r="G313" t="s">
        <v>87</v>
      </c>
      <c r="H313" s="2">
        <v>0.44861111111111113</v>
      </c>
      <c r="I313" s="2">
        <v>0.47499999999999998</v>
      </c>
      <c r="J313">
        <v>8</v>
      </c>
      <c r="K313">
        <v>19</v>
      </c>
      <c r="L313" t="s">
        <v>30</v>
      </c>
      <c r="M313">
        <v>19.399999999999999</v>
      </c>
      <c r="N313">
        <v>45</v>
      </c>
      <c r="O313">
        <v>40</v>
      </c>
      <c r="P313">
        <v>9.4</v>
      </c>
      <c r="Q313" t="s">
        <v>71</v>
      </c>
      <c r="R313">
        <v>0</v>
      </c>
      <c r="S313">
        <v>98</v>
      </c>
      <c r="T313">
        <v>0</v>
      </c>
      <c r="U313">
        <v>0</v>
      </c>
      <c r="V313">
        <v>2</v>
      </c>
      <c r="W313" t="s">
        <v>72</v>
      </c>
      <c r="X313">
        <v>1</v>
      </c>
      <c r="Y313" t="str">
        <f t="shared" si="4"/>
        <v>High</v>
      </c>
    </row>
    <row r="314" spans="1:25">
      <c r="A314" t="s">
        <v>427</v>
      </c>
      <c r="B314" s="1">
        <v>44930</v>
      </c>
      <c r="C314" s="2">
        <v>0.45833333333333331</v>
      </c>
      <c r="D314" t="s">
        <v>34</v>
      </c>
      <c r="E314" t="s">
        <v>57</v>
      </c>
      <c r="F314" t="s">
        <v>148</v>
      </c>
      <c r="G314" t="s">
        <v>81</v>
      </c>
      <c r="H314" s="2">
        <v>0.46111111111111114</v>
      </c>
      <c r="I314" s="2">
        <v>0.49722222222222223</v>
      </c>
      <c r="J314">
        <v>2</v>
      </c>
      <c r="K314">
        <v>11</v>
      </c>
      <c r="L314" t="s">
        <v>77</v>
      </c>
      <c r="M314">
        <v>22.5</v>
      </c>
      <c r="N314">
        <v>86</v>
      </c>
      <c r="O314">
        <v>51</v>
      </c>
      <c r="P314">
        <v>4.7</v>
      </c>
      <c r="Q314" t="s">
        <v>101</v>
      </c>
      <c r="R314">
        <v>10000</v>
      </c>
      <c r="S314">
        <v>69</v>
      </c>
      <c r="T314">
        <v>0</v>
      </c>
      <c r="U314">
        <v>0</v>
      </c>
      <c r="V314">
        <v>2</v>
      </c>
      <c r="W314" t="s">
        <v>55</v>
      </c>
      <c r="X314">
        <v>1</v>
      </c>
      <c r="Y314" t="str">
        <f t="shared" si="4"/>
        <v>High</v>
      </c>
    </row>
    <row r="315" spans="1:25">
      <c r="A315" t="s">
        <v>428</v>
      </c>
      <c r="B315" s="1">
        <v>44930</v>
      </c>
      <c r="C315" s="2">
        <v>0.46875</v>
      </c>
      <c r="D315" t="s">
        <v>26</v>
      </c>
      <c r="E315" t="s">
        <v>35</v>
      </c>
      <c r="F315" t="s">
        <v>50</v>
      </c>
      <c r="G315" t="s">
        <v>185</v>
      </c>
      <c r="H315" s="2">
        <v>0.46944444444444444</v>
      </c>
      <c r="I315" s="2">
        <v>0.48402777777777778</v>
      </c>
      <c r="J315">
        <v>-2</v>
      </c>
      <c r="K315">
        <v>10</v>
      </c>
      <c r="L315" t="s">
        <v>84</v>
      </c>
      <c r="M315">
        <v>13.4</v>
      </c>
      <c r="N315">
        <v>39</v>
      </c>
      <c r="O315">
        <v>31</v>
      </c>
      <c r="P315">
        <v>11.2</v>
      </c>
      <c r="Q315" t="s">
        <v>31</v>
      </c>
      <c r="R315">
        <v>0</v>
      </c>
      <c r="S315">
        <v>20</v>
      </c>
      <c r="T315">
        <v>0</v>
      </c>
      <c r="U315">
        <v>0</v>
      </c>
      <c r="V315">
        <v>2</v>
      </c>
      <c r="W315" t="s">
        <v>39</v>
      </c>
      <c r="X315">
        <v>1</v>
      </c>
      <c r="Y315" t="str">
        <f t="shared" si="4"/>
        <v>Low</v>
      </c>
    </row>
    <row r="316" spans="1:25">
      <c r="A316" t="s">
        <v>429</v>
      </c>
      <c r="B316" s="1">
        <v>44930</v>
      </c>
      <c r="C316" s="2">
        <v>0.47916666666666669</v>
      </c>
      <c r="D316" t="s">
        <v>26</v>
      </c>
      <c r="E316" t="s">
        <v>126</v>
      </c>
      <c r="F316" t="s">
        <v>113</v>
      </c>
      <c r="G316" t="s">
        <v>197</v>
      </c>
      <c r="H316" s="2">
        <v>0.48055555555555557</v>
      </c>
      <c r="I316" s="2">
        <v>0.49861111111111112</v>
      </c>
      <c r="J316">
        <v>6</v>
      </c>
      <c r="K316">
        <v>-2</v>
      </c>
      <c r="L316" t="s">
        <v>30</v>
      </c>
      <c r="M316">
        <v>17.600000000000001</v>
      </c>
      <c r="N316">
        <v>48</v>
      </c>
      <c r="O316">
        <v>24</v>
      </c>
      <c r="P316">
        <v>2.5</v>
      </c>
      <c r="Q316" t="s">
        <v>31</v>
      </c>
      <c r="R316">
        <v>2000</v>
      </c>
      <c r="S316">
        <v>25</v>
      </c>
      <c r="T316">
        <v>0</v>
      </c>
      <c r="U316">
        <v>1</v>
      </c>
      <c r="V316">
        <v>2</v>
      </c>
      <c r="W316" t="s">
        <v>55</v>
      </c>
      <c r="X316">
        <v>0</v>
      </c>
      <c r="Y316" t="str">
        <f t="shared" si="4"/>
        <v>Low</v>
      </c>
    </row>
    <row r="317" spans="1:25">
      <c r="A317" t="s">
        <v>430</v>
      </c>
      <c r="B317" s="1">
        <v>44930</v>
      </c>
      <c r="C317" s="2">
        <v>0.48958333333333331</v>
      </c>
      <c r="D317" t="s">
        <v>34</v>
      </c>
      <c r="E317" t="s">
        <v>157</v>
      </c>
      <c r="F317" t="s">
        <v>75</v>
      </c>
      <c r="G317" t="s">
        <v>109</v>
      </c>
      <c r="H317" s="2">
        <v>0.49027777777777776</v>
      </c>
      <c r="I317" s="2">
        <v>0.52986111111111112</v>
      </c>
      <c r="J317">
        <v>14</v>
      </c>
      <c r="K317">
        <v>14</v>
      </c>
      <c r="L317" t="s">
        <v>38</v>
      </c>
      <c r="M317">
        <v>22.8</v>
      </c>
      <c r="N317">
        <v>96</v>
      </c>
      <c r="O317">
        <v>33</v>
      </c>
      <c r="P317">
        <v>19</v>
      </c>
      <c r="Q317" t="s">
        <v>31</v>
      </c>
      <c r="R317">
        <v>10000</v>
      </c>
      <c r="S317">
        <v>0</v>
      </c>
      <c r="T317">
        <v>0</v>
      </c>
      <c r="U317">
        <v>0</v>
      </c>
      <c r="V317">
        <v>2</v>
      </c>
      <c r="W317" t="s">
        <v>32</v>
      </c>
      <c r="X317">
        <v>1</v>
      </c>
      <c r="Y317" t="str">
        <f t="shared" si="4"/>
        <v>Low</v>
      </c>
    </row>
    <row r="318" spans="1:25">
      <c r="A318" t="s">
        <v>431</v>
      </c>
      <c r="B318" s="1">
        <v>44930</v>
      </c>
      <c r="C318" s="2">
        <v>0.5</v>
      </c>
      <c r="D318" t="s">
        <v>26</v>
      </c>
      <c r="E318" t="s">
        <v>89</v>
      </c>
      <c r="F318" t="s">
        <v>65</v>
      </c>
      <c r="G318" t="s">
        <v>122</v>
      </c>
      <c r="H318" s="2">
        <v>0.50208333333333333</v>
      </c>
      <c r="I318" s="2">
        <v>0.53125</v>
      </c>
      <c r="J318">
        <v>19</v>
      </c>
      <c r="K318">
        <v>2</v>
      </c>
      <c r="L318" t="s">
        <v>77</v>
      </c>
      <c r="M318">
        <v>25.7</v>
      </c>
      <c r="N318">
        <v>65</v>
      </c>
      <c r="O318">
        <v>32</v>
      </c>
      <c r="P318">
        <v>17.2</v>
      </c>
      <c r="Q318" t="s">
        <v>31</v>
      </c>
      <c r="R318">
        <v>500</v>
      </c>
      <c r="S318">
        <v>80</v>
      </c>
      <c r="T318">
        <v>0</v>
      </c>
      <c r="U318">
        <v>0</v>
      </c>
      <c r="V318">
        <v>2</v>
      </c>
      <c r="W318" t="s">
        <v>72</v>
      </c>
      <c r="X318">
        <v>0</v>
      </c>
      <c r="Y318" t="str">
        <f t="shared" si="4"/>
        <v>High</v>
      </c>
    </row>
    <row r="319" spans="1:25">
      <c r="A319" t="s">
        <v>432</v>
      </c>
      <c r="B319" s="1">
        <v>44930</v>
      </c>
      <c r="C319" s="2">
        <v>0.51041666666666663</v>
      </c>
      <c r="D319" t="s">
        <v>41</v>
      </c>
      <c r="E319" t="s">
        <v>68</v>
      </c>
      <c r="F319" t="s">
        <v>50</v>
      </c>
      <c r="G319" t="s">
        <v>80</v>
      </c>
      <c r="H319" s="2">
        <v>0.51111111111111107</v>
      </c>
      <c r="I319" s="2">
        <v>0.52500000000000002</v>
      </c>
      <c r="J319">
        <v>-2</v>
      </c>
      <c r="K319">
        <v>28</v>
      </c>
      <c r="L319" t="s">
        <v>77</v>
      </c>
      <c r="M319">
        <v>30.8</v>
      </c>
      <c r="N319">
        <v>33</v>
      </c>
      <c r="O319">
        <v>12</v>
      </c>
      <c r="P319">
        <v>3.1</v>
      </c>
      <c r="Q319" t="s">
        <v>31</v>
      </c>
      <c r="R319">
        <v>0</v>
      </c>
      <c r="S319">
        <v>98</v>
      </c>
      <c r="T319">
        <v>0</v>
      </c>
      <c r="U319">
        <v>0</v>
      </c>
      <c r="V319">
        <v>2</v>
      </c>
      <c r="W319" t="s">
        <v>39</v>
      </c>
      <c r="X319">
        <v>1</v>
      </c>
      <c r="Y319" t="str">
        <f t="shared" si="4"/>
        <v>High</v>
      </c>
    </row>
    <row r="320" spans="1:25">
      <c r="A320" t="s">
        <v>433</v>
      </c>
      <c r="B320" s="1">
        <v>44930</v>
      </c>
      <c r="C320" s="2">
        <v>0.52083333333333337</v>
      </c>
      <c r="D320" t="s">
        <v>26</v>
      </c>
      <c r="E320" t="s">
        <v>42</v>
      </c>
      <c r="F320" t="s">
        <v>49</v>
      </c>
      <c r="G320" t="s">
        <v>116</v>
      </c>
      <c r="H320" s="2">
        <v>0.52361111111111114</v>
      </c>
      <c r="I320" s="2">
        <v>0.55000000000000004</v>
      </c>
      <c r="J320">
        <v>0</v>
      </c>
      <c r="K320">
        <v>17</v>
      </c>
      <c r="L320" t="s">
        <v>38</v>
      </c>
      <c r="M320">
        <v>9.1999999999999993</v>
      </c>
      <c r="N320">
        <v>62</v>
      </c>
      <c r="O320">
        <v>24</v>
      </c>
      <c r="P320">
        <v>3.4</v>
      </c>
      <c r="Q320" t="s">
        <v>46</v>
      </c>
      <c r="R320">
        <v>50000</v>
      </c>
      <c r="S320">
        <v>26</v>
      </c>
      <c r="T320">
        <v>0</v>
      </c>
      <c r="U320">
        <v>0</v>
      </c>
      <c r="V320">
        <v>2</v>
      </c>
      <c r="W320" t="s">
        <v>32</v>
      </c>
      <c r="X320">
        <v>1</v>
      </c>
      <c r="Y320" t="str">
        <f t="shared" si="4"/>
        <v>Low</v>
      </c>
    </row>
    <row r="321" spans="1:25">
      <c r="A321" t="s">
        <v>434</v>
      </c>
      <c r="B321" s="1">
        <v>44930</v>
      </c>
      <c r="C321" s="2">
        <v>0.53125</v>
      </c>
      <c r="D321" t="s">
        <v>74</v>
      </c>
      <c r="E321" t="s">
        <v>141</v>
      </c>
      <c r="F321" t="s">
        <v>29</v>
      </c>
      <c r="G321" t="s">
        <v>197</v>
      </c>
      <c r="H321" s="2">
        <v>0.53194444444444444</v>
      </c>
      <c r="I321" s="2">
        <v>0.56041666666666667</v>
      </c>
      <c r="J321">
        <v>12</v>
      </c>
      <c r="K321">
        <v>24</v>
      </c>
      <c r="L321" t="s">
        <v>45</v>
      </c>
      <c r="M321">
        <v>33.1</v>
      </c>
      <c r="N321">
        <v>57</v>
      </c>
      <c r="O321">
        <v>41</v>
      </c>
      <c r="P321">
        <v>10.199999999999999</v>
      </c>
      <c r="Q321" t="s">
        <v>71</v>
      </c>
      <c r="R321">
        <v>10000</v>
      </c>
      <c r="S321">
        <v>49</v>
      </c>
      <c r="T321">
        <v>0</v>
      </c>
      <c r="U321">
        <v>0</v>
      </c>
      <c r="V321">
        <v>2</v>
      </c>
      <c r="W321" t="s">
        <v>55</v>
      </c>
      <c r="X321">
        <v>1</v>
      </c>
      <c r="Y321" t="str">
        <f t="shared" si="4"/>
        <v>Medium</v>
      </c>
    </row>
    <row r="322" spans="1:25">
      <c r="A322" t="s">
        <v>435</v>
      </c>
      <c r="B322" s="1">
        <v>44930</v>
      </c>
      <c r="C322" s="2">
        <v>0.54166666666666663</v>
      </c>
      <c r="D322" t="s">
        <v>34</v>
      </c>
      <c r="E322" t="s">
        <v>52</v>
      </c>
      <c r="F322" t="s">
        <v>107</v>
      </c>
      <c r="G322" t="s">
        <v>28</v>
      </c>
      <c r="H322" s="2">
        <v>0.54305555555555551</v>
      </c>
      <c r="I322" s="2">
        <v>0.56944444444444442</v>
      </c>
      <c r="J322">
        <v>18</v>
      </c>
      <c r="K322">
        <v>23</v>
      </c>
      <c r="L322" t="s">
        <v>30</v>
      </c>
      <c r="M322">
        <v>20.5</v>
      </c>
      <c r="N322">
        <v>38</v>
      </c>
      <c r="O322">
        <v>39</v>
      </c>
      <c r="P322">
        <v>15.5</v>
      </c>
      <c r="Q322" t="s">
        <v>31</v>
      </c>
      <c r="R322">
        <v>2000</v>
      </c>
      <c r="S322">
        <v>65</v>
      </c>
      <c r="T322">
        <v>0</v>
      </c>
      <c r="U322">
        <v>1</v>
      </c>
      <c r="V322">
        <v>2</v>
      </c>
      <c r="W322" t="s">
        <v>55</v>
      </c>
      <c r="X322">
        <v>1</v>
      </c>
      <c r="Y322" t="str">
        <f t="shared" ref="Y322:Y385" si="5">IF(S322&lt;=33,"Low",IF(S322&lt;=66,"Medium","High"))</f>
        <v>Medium</v>
      </c>
    </row>
    <row r="323" spans="1:25">
      <c r="A323" t="s">
        <v>436</v>
      </c>
      <c r="B323" s="1">
        <v>44930</v>
      </c>
      <c r="C323" s="2">
        <v>0.55208333333333337</v>
      </c>
      <c r="D323" t="s">
        <v>41</v>
      </c>
      <c r="E323" t="s">
        <v>147</v>
      </c>
      <c r="F323" t="s">
        <v>99</v>
      </c>
      <c r="G323" t="s">
        <v>142</v>
      </c>
      <c r="H323" s="2">
        <v>0.55347222222222225</v>
      </c>
      <c r="I323" s="2">
        <v>0.57638888888888884</v>
      </c>
      <c r="J323">
        <v>7</v>
      </c>
      <c r="K323">
        <v>-2</v>
      </c>
      <c r="L323" t="s">
        <v>38</v>
      </c>
      <c r="M323">
        <v>26.5</v>
      </c>
      <c r="N323">
        <v>35</v>
      </c>
      <c r="O323">
        <v>38</v>
      </c>
      <c r="P323">
        <v>4.4000000000000004</v>
      </c>
      <c r="Q323" t="s">
        <v>31</v>
      </c>
      <c r="R323">
        <v>0</v>
      </c>
      <c r="S323">
        <v>99</v>
      </c>
      <c r="T323">
        <v>0</v>
      </c>
      <c r="U323">
        <v>0</v>
      </c>
      <c r="V323">
        <v>2</v>
      </c>
      <c r="W323" t="s">
        <v>55</v>
      </c>
      <c r="X323">
        <v>0</v>
      </c>
      <c r="Y323" t="str">
        <f t="shared" si="5"/>
        <v>High</v>
      </c>
    </row>
    <row r="324" spans="1:25">
      <c r="A324" t="s">
        <v>437</v>
      </c>
      <c r="B324" s="1">
        <v>44930</v>
      </c>
      <c r="C324" s="2">
        <v>0.5625</v>
      </c>
      <c r="D324" t="s">
        <v>34</v>
      </c>
      <c r="E324" t="s">
        <v>93</v>
      </c>
      <c r="F324" t="s">
        <v>43</v>
      </c>
      <c r="G324" t="s">
        <v>197</v>
      </c>
      <c r="H324" s="2">
        <v>0.56319444444444444</v>
      </c>
      <c r="I324" s="2">
        <v>0.58194444444444449</v>
      </c>
      <c r="J324">
        <v>5</v>
      </c>
      <c r="K324">
        <v>29</v>
      </c>
      <c r="L324" t="s">
        <v>77</v>
      </c>
      <c r="M324">
        <v>23</v>
      </c>
      <c r="N324">
        <v>78</v>
      </c>
      <c r="O324">
        <v>55</v>
      </c>
      <c r="P324">
        <v>1.2</v>
      </c>
      <c r="Q324" t="s">
        <v>31</v>
      </c>
      <c r="R324">
        <v>2000</v>
      </c>
      <c r="S324">
        <v>64</v>
      </c>
      <c r="T324">
        <v>0</v>
      </c>
      <c r="U324">
        <v>0</v>
      </c>
      <c r="V324">
        <v>2</v>
      </c>
      <c r="W324" t="s">
        <v>39</v>
      </c>
      <c r="X324">
        <v>1</v>
      </c>
      <c r="Y324" t="str">
        <f t="shared" si="5"/>
        <v>Medium</v>
      </c>
    </row>
    <row r="325" spans="1:25">
      <c r="A325" t="s">
        <v>438</v>
      </c>
      <c r="B325" s="1">
        <v>44930</v>
      </c>
      <c r="C325" s="2">
        <v>0.57291666666666663</v>
      </c>
      <c r="D325" t="s">
        <v>74</v>
      </c>
      <c r="E325" t="s">
        <v>57</v>
      </c>
      <c r="F325" t="s">
        <v>118</v>
      </c>
      <c r="G325" t="s">
        <v>43</v>
      </c>
      <c r="H325" s="2">
        <v>0.57430555555555551</v>
      </c>
      <c r="I325" s="2">
        <v>0.59513888888888888</v>
      </c>
      <c r="J325">
        <v>9</v>
      </c>
      <c r="K325">
        <v>12</v>
      </c>
      <c r="L325" t="s">
        <v>30</v>
      </c>
      <c r="M325">
        <v>3.2</v>
      </c>
      <c r="N325">
        <v>51</v>
      </c>
      <c r="O325">
        <v>43</v>
      </c>
      <c r="P325">
        <v>10.9</v>
      </c>
      <c r="Q325" t="s">
        <v>101</v>
      </c>
      <c r="R325">
        <v>0</v>
      </c>
      <c r="S325">
        <v>9</v>
      </c>
      <c r="T325">
        <v>0</v>
      </c>
      <c r="U325">
        <v>0</v>
      </c>
      <c r="V325">
        <v>2</v>
      </c>
      <c r="W325" t="s">
        <v>72</v>
      </c>
      <c r="X325">
        <v>1</v>
      </c>
      <c r="Y325" t="str">
        <f t="shared" si="5"/>
        <v>Low</v>
      </c>
    </row>
    <row r="326" spans="1:25">
      <c r="A326" t="s">
        <v>439</v>
      </c>
      <c r="B326" s="1">
        <v>44930</v>
      </c>
      <c r="C326" s="2">
        <v>0.58333333333333337</v>
      </c>
      <c r="D326" t="s">
        <v>74</v>
      </c>
      <c r="E326" t="s">
        <v>52</v>
      </c>
      <c r="F326" t="s">
        <v>69</v>
      </c>
      <c r="G326" t="s">
        <v>53</v>
      </c>
      <c r="H326" s="2">
        <v>0.58472222222222225</v>
      </c>
      <c r="I326" s="2">
        <v>0.61597222222222225</v>
      </c>
      <c r="J326">
        <v>19</v>
      </c>
      <c r="K326">
        <v>18</v>
      </c>
      <c r="L326" t="s">
        <v>30</v>
      </c>
      <c r="M326">
        <v>-2.1</v>
      </c>
      <c r="N326">
        <v>77</v>
      </c>
      <c r="O326">
        <v>48</v>
      </c>
      <c r="P326">
        <v>13.8</v>
      </c>
      <c r="Q326" t="s">
        <v>31</v>
      </c>
      <c r="R326">
        <v>0</v>
      </c>
      <c r="S326">
        <v>94</v>
      </c>
      <c r="T326">
        <v>0</v>
      </c>
      <c r="U326">
        <v>0</v>
      </c>
      <c r="V326">
        <v>2</v>
      </c>
      <c r="W326" t="s">
        <v>39</v>
      </c>
      <c r="X326">
        <v>1</v>
      </c>
      <c r="Y326" t="str">
        <f t="shared" si="5"/>
        <v>High</v>
      </c>
    </row>
    <row r="327" spans="1:25">
      <c r="A327" t="s">
        <v>440</v>
      </c>
      <c r="B327" s="1">
        <v>44930</v>
      </c>
      <c r="C327" s="2">
        <v>0.59375</v>
      </c>
      <c r="D327" t="s">
        <v>74</v>
      </c>
      <c r="E327" t="s">
        <v>79</v>
      </c>
      <c r="F327" t="s">
        <v>100</v>
      </c>
      <c r="G327" t="s">
        <v>135</v>
      </c>
      <c r="H327" s="2">
        <v>0.59652777777777777</v>
      </c>
      <c r="I327" s="2">
        <v>0.62569444444444444</v>
      </c>
      <c r="J327">
        <v>12</v>
      </c>
      <c r="K327">
        <v>9</v>
      </c>
      <c r="L327" t="s">
        <v>45</v>
      </c>
      <c r="M327">
        <v>24.1</v>
      </c>
      <c r="N327">
        <v>50</v>
      </c>
      <c r="O327">
        <v>56</v>
      </c>
      <c r="P327">
        <v>4.9000000000000004</v>
      </c>
      <c r="Q327" t="s">
        <v>71</v>
      </c>
      <c r="R327">
        <v>0</v>
      </c>
      <c r="S327">
        <v>36</v>
      </c>
      <c r="T327">
        <v>0</v>
      </c>
      <c r="U327">
        <v>0</v>
      </c>
      <c r="V327">
        <v>2</v>
      </c>
      <c r="W327" t="s">
        <v>32</v>
      </c>
      <c r="X327">
        <v>1</v>
      </c>
      <c r="Y327" t="str">
        <f t="shared" si="5"/>
        <v>Medium</v>
      </c>
    </row>
    <row r="328" spans="1:25">
      <c r="A328" t="s">
        <v>441</v>
      </c>
      <c r="B328" s="1">
        <v>44930</v>
      </c>
      <c r="C328" s="2">
        <v>0.60416666666666663</v>
      </c>
      <c r="D328" t="s">
        <v>26</v>
      </c>
      <c r="E328" t="s">
        <v>79</v>
      </c>
      <c r="F328" t="s">
        <v>100</v>
      </c>
      <c r="G328" t="s">
        <v>70</v>
      </c>
      <c r="H328" s="2">
        <v>0.60624999999999996</v>
      </c>
      <c r="I328" s="2">
        <v>0.62916666666666665</v>
      </c>
      <c r="J328">
        <v>6</v>
      </c>
      <c r="K328">
        <v>-2</v>
      </c>
      <c r="L328" t="s">
        <v>77</v>
      </c>
      <c r="M328">
        <v>15.4</v>
      </c>
      <c r="N328">
        <v>62</v>
      </c>
      <c r="O328">
        <v>43</v>
      </c>
      <c r="P328">
        <v>14.8</v>
      </c>
      <c r="Q328" t="s">
        <v>71</v>
      </c>
      <c r="R328">
        <v>50000</v>
      </c>
      <c r="S328">
        <v>68</v>
      </c>
      <c r="T328">
        <v>0</v>
      </c>
      <c r="U328">
        <v>0</v>
      </c>
      <c r="V328">
        <v>2</v>
      </c>
      <c r="W328" t="s">
        <v>72</v>
      </c>
      <c r="X328">
        <v>0</v>
      </c>
      <c r="Y328" t="str">
        <f t="shared" si="5"/>
        <v>High</v>
      </c>
    </row>
    <row r="329" spans="1:25">
      <c r="A329" t="s">
        <v>442</v>
      </c>
      <c r="B329" s="1">
        <v>44930</v>
      </c>
      <c r="C329" s="2">
        <v>0.61458333333333337</v>
      </c>
      <c r="D329" t="s">
        <v>26</v>
      </c>
      <c r="E329" t="s">
        <v>111</v>
      </c>
      <c r="F329" t="s">
        <v>203</v>
      </c>
      <c r="G329" t="s">
        <v>105</v>
      </c>
      <c r="H329" s="2">
        <v>0.61736111111111114</v>
      </c>
      <c r="I329" s="2">
        <v>0.65416666666666667</v>
      </c>
      <c r="J329">
        <v>7</v>
      </c>
      <c r="K329">
        <v>10</v>
      </c>
      <c r="L329" t="s">
        <v>84</v>
      </c>
      <c r="M329">
        <v>23.1</v>
      </c>
      <c r="N329">
        <v>85</v>
      </c>
      <c r="O329">
        <v>47</v>
      </c>
      <c r="P329">
        <v>19</v>
      </c>
      <c r="Q329" t="s">
        <v>31</v>
      </c>
      <c r="R329">
        <v>10000</v>
      </c>
      <c r="S329">
        <v>40</v>
      </c>
      <c r="T329">
        <v>0</v>
      </c>
      <c r="U329">
        <v>1</v>
      </c>
      <c r="V329">
        <v>2</v>
      </c>
      <c r="W329" t="s">
        <v>39</v>
      </c>
      <c r="X329">
        <v>1</v>
      </c>
      <c r="Y329" t="str">
        <f t="shared" si="5"/>
        <v>Medium</v>
      </c>
    </row>
    <row r="330" spans="1:25">
      <c r="A330" t="s">
        <v>443</v>
      </c>
      <c r="B330" s="1">
        <v>44930</v>
      </c>
      <c r="C330" s="2">
        <v>0.625</v>
      </c>
      <c r="D330" t="s">
        <v>34</v>
      </c>
      <c r="E330" t="s">
        <v>27</v>
      </c>
      <c r="F330" t="s">
        <v>197</v>
      </c>
      <c r="G330" t="s">
        <v>81</v>
      </c>
      <c r="H330" s="2">
        <v>0.625</v>
      </c>
      <c r="I330" s="2">
        <v>0.66319444444444442</v>
      </c>
      <c r="J330">
        <v>17</v>
      </c>
      <c r="K330">
        <v>24</v>
      </c>
      <c r="L330" t="s">
        <v>45</v>
      </c>
      <c r="M330">
        <v>14.1</v>
      </c>
      <c r="N330">
        <v>58</v>
      </c>
      <c r="O330">
        <v>9</v>
      </c>
      <c r="P330">
        <v>2.7</v>
      </c>
      <c r="Q330" t="s">
        <v>31</v>
      </c>
      <c r="R330">
        <v>2000</v>
      </c>
      <c r="S330">
        <v>45</v>
      </c>
      <c r="T330">
        <v>0</v>
      </c>
      <c r="U330">
        <v>0</v>
      </c>
      <c r="V330">
        <v>2</v>
      </c>
      <c r="W330" t="s">
        <v>55</v>
      </c>
      <c r="X330">
        <v>1</v>
      </c>
      <c r="Y330" t="str">
        <f t="shared" si="5"/>
        <v>Medium</v>
      </c>
    </row>
    <row r="331" spans="1:25">
      <c r="A331" t="s">
        <v>444</v>
      </c>
      <c r="B331" s="1">
        <v>44930</v>
      </c>
      <c r="C331" s="2">
        <v>0.63541666666666663</v>
      </c>
      <c r="D331" t="s">
        <v>34</v>
      </c>
      <c r="E331" t="s">
        <v>68</v>
      </c>
      <c r="F331" t="s">
        <v>118</v>
      </c>
      <c r="G331" t="s">
        <v>185</v>
      </c>
      <c r="H331" s="2">
        <v>0.6381944444444444</v>
      </c>
      <c r="I331" s="2">
        <v>0.64930555555555558</v>
      </c>
      <c r="J331">
        <v>6</v>
      </c>
      <c r="K331">
        <v>3</v>
      </c>
      <c r="L331" t="s">
        <v>45</v>
      </c>
      <c r="M331">
        <v>7.5</v>
      </c>
      <c r="N331">
        <v>82</v>
      </c>
      <c r="O331">
        <v>58</v>
      </c>
      <c r="P331">
        <v>10.199999999999999</v>
      </c>
      <c r="Q331" t="s">
        <v>31</v>
      </c>
      <c r="R331">
        <v>0</v>
      </c>
      <c r="S331">
        <v>76</v>
      </c>
      <c r="T331">
        <v>0</v>
      </c>
      <c r="U331">
        <v>0</v>
      </c>
      <c r="V331">
        <v>2</v>
      </c>
      <c r="W331" t="s">
        <v>32</v>
      </c>
      <c r="X331">
        <v>0</v>
      </c>
      <c r="Y331" t="str">
        <f t="shared" si="5"/>
        <v>High</v>
      </c>
    </row>
    <row r="332" spans="1:25">
      <c r="A332" t="s">
        <v>445</v>
      </c>
      <c r="B332" s="1">
        <v>44930</v>
      </c>
      <c r="C332" s="2">
        <v>0.64583333333333337</v>
      </c>
      <c r="D332" t="s">
        <v>41</v>
      </c>
      <c r="E332" t="s">
        <v>147</v>
      </c>
      <c r="F332" t="s">
        <v>86</v>
      </c>
      <c r="G332" t="s">
        <v>80</v>
      </c>
      <c r="H332" s="2">
        <v>0.64652777777777781</v>
      </c>
      <c r="I332" s="2">
        <v>0.67152777777777772</v>
      </c>
      <c r="J332">
        <v>12</v>
      </c>
      <c r="K332">
        <v>14</v>
      </c>
      <c r="L332" t="s">
        <v>84</v>
      </c>
      <c r="M332">
        <v>6.4</v>
      </c>
      <c r="N332">
        <v>69</v>
      </c>
      <c r="O332">
        <v>56</v>
      </c>
      <c r="P332">
        <v>1.1000000000000001</v>
      </c>
      <c r="Q332" t="s">
        <v>59</v>
      </c>
      <c r="R332">
        <v>0</v>
      </c>
      <c r="S332">
        <v>44</v>
      </c>
      <c r="T332">
        <v>1</v>
      </c>
      <c r="U332">
        <v>0</v>
      </c>
      <c r="V332">
        <v>2</v>
      </c>
      <c r="W332" t="s">
        <v>55</v>
      </c>
      <c r="X332">
        <v>1</v>
      </c>
      <c r="Y332" t="str">
        <f t="shared" si="5"/>
        <v>Medium</v>
      </c>
    </row>
    <row r="333" spans="1:25">
      <c r="A333" t="s">
        <v>446</v>
      </c>
      <c r="B333" s="1">
        <v>44930</v>
      </c>
      <c r="C333" s="2">
        <v>0.65625</v>
      </c>
      <c r="D333" t="s">
        <v>41</v>
      </c>
      <c r="E333" t="s">
        <v>93</v>
      </c>
      <c r="F333" t="s">
        <v>128</v>
      </c>
      <c r="G333" t="s">
        <v>154</v>
      </c>
      <c r="H333" s="2">
        <v>0.65833333333333333</v>
      </c>
      <c r="I333" s="2">
        <v>0.67569444444444449</v>
      </c>
      <c r="J333">
        <v>18</v>
      </c>
      <c r="K333">
        <v>0</v>
      </c>
      <c r="L333" t="s">
        <v>84</v>
      </c>
      <c r="M333">
        <v>24.2</v>
      </c>
      <c r="N333">
        <v>47</v>
      </c>
      <c r="O333">
        <v>30</v>
      </c>
      <c r="P333">
        <v>4.0999999999999996</v>
      </c>
      <c r="Q333" t="s">
        <v>46</v>
      </c>
      <c r="R333">
        <v>10000</v>
      </c>
      <c r="S333">
        <v>87</v>
      </c>
      <c r="T333">
        <v>0</v>
      </c>
      <c r="U333">
        <v>1</v>
      </c>
      <c r="V333">
        <v>2</v>
      </c>
      <c r="W333" t="s">
        <v>39</v>
      </c>
      <c r="X333">
        <v>0</v>
      </c>
      <c r="Y333" t="str">
        <f t="shared" si="5"/>
        <v>High</v>
      </c>
    </row>
    <row r="334" spans="1:25">
      <c r="A334" t="s">
        <v>447</v>
      </c>
      <c r="B334" s="1">
        <v>44930</v>
      </c>
      <c r="C334" s="2">
        <v>0.66666666666666663</v>
      </c>
      <c r="D334" t="s">
        <v>34</v>
      </c>
      <c r="E334" t="s">
        <v>161</v>
      </c>
      <c r="F334" t="s">
        <v>44</v>
      </c>
      <c r="G334" t="s">
        <v>76</v>
      </c>
      <c r="H334" s="2">
        <v>0.66736111111111107</v>
      </c>
      <c r="I334" s="2">
        <v>0.68888888888888888</v>
      </c>
      <c r="J334">
        <v>18</v>
      </c>
      <c r="K334">
        <v>26</v>
      </c>
      <c r="L334" t="s">
        <v>45</v>
      </c>
      <c r="M334">
        <v>6.1</v>
      </c>
      <c r="N334">
        <v>76</v>
      </c>
      <c r="O334">
        <v>43</v>
      </c>
      <c r="P334">
        <v>1.8</v>
      </c>
      <c r="Q334" t="s">
        <v>46</v>
      </c>
      <c r="R334">
        <v>0</v>
      </c>
      <c r="S334">
        <v>26</v>
      </c>
      <c r="T334">
        <v>0</v>
      </c>
      <c r="U334">
        <v>1</v>
      </c>
      <c r="V334">
        <v>2</v>
      </c>
      <c r="W334" t="s">
        <v>32</v>
      </c>
      <c r="X334">
        <v>1</v>
      </c>
      <c r="Y334" t="str">
        <f t="shared" si="5"/>
        <v>Low</v>
      </c>
    </row>
    <row r="335" spans="1:25">
      <c r="A335" t="s">
        <v>448</v>
      </c>
      <c r="B335" s="1">
        <v>44930</v>
      </c>
      <c r="C335" s="2">
        <v>0.67708333333333337</v>
      </c>
      <c r="D335" t="s">
        <v>26</v>
      </c>
      <c r="E335" t="s">
        <v>68</v>
      </c>
      <c r="F335" t="s">
        <v>86</v>
      </c>
      <c r="G335" t="s">
        <v>176</v>
      </c>
      <c r="H335" s="2">
        <v>0.67708333333333337</v>
      </c>
      <c r="I335" s="2">
        <v>0.71805555555555556</v>
      </c>
      <c r="J335">
        <v>-2</v>
      </c>
      <c r="K335">
        <v>20</v>
      </c>
      <c r="L335" t="s">
        <v>30</v>
      </c>
      <c r="M335">
        <v>23.6</v>
      </c>
      <c r="N335">
        <v>42</v>
      </c>
      <c r="O335">
        <v>10</v>
      </c>
      <c r="P335">
        <v>8.1</v>
      </c>
      <c r="Q335" t="s">
        <v>46</v>
      </c>
      <c r="R335">
        <v>10000</v>
      </c>
      <c r="S335">
        <v>64</v>
      </c>
      <c r="T335">
        <v>0</v>
      </c>
      <c r="U335">
        <v>0</v>
      </c>
      <c r="V335">
        <v>2</v>
      </c>
      <c r="W335" t="s">
        <v>72</v>
      </c>
      <c r="X335">
        <v>1</v>
      </c>
      <c r="Y335" t="str">
        <f t="shared" si="5"/>
        <v>Medium</v>
      </c>
    </row>
    <row r="336" spans="1:25">
      <c r="A336" t="s">
        <v>449</v>
      </c>
      <c r="B336" s="1">
        <v>44930</v>
      </c>
      <c r="C336" s="2">
        <v>0.6875</v>
      </c>
      <c r="D336" t="s">
        <v>74</v>
      </c>
      <c r="E336" t="s">
        <v>89</v>
      </c>
      <c r="F336" t="s">
        <v>163</v>
      </c>
      <c r="G336" t="s">
        <v>142</v>
      </c>
      <c r="H336" s="2">
        <v>0.68958333333333333</v>
      </c>
      <c r="I336" s="2">
        <v>0.71111111111111114</v>
      </c>
      <c r="J336">
        <v>-1</v>
      </c>
      <c r="K336">
        <v>16</v>
      </c>
      <c r="L336" t="s">
        <v>38</v>
      </c>
      <c r="M336">
        <v>10.4</v>
      </c>
      <c r="N336">
        <v>56</v>
      </c>
      <c r="O336">
        <v>24</v>
      </c>
      <c r="P336">
        <v>16.399999999999999</v>
      </c>
      <c r="Q336" t="s">
        <v>31</v>
      </c>
      <c r="R336">
        <v>0</v>
      </c>
      <c r="S336">
        <v>83</v>
      </c>
      <c r="T336">
        <v>0</v>
      </c>
      <c r="U336">
        <v>1</v>
      </c>
      <c r="V336">
        <v>2</v>
      </c>
      <c r="W336" t="s">
        <v>72</v>
      </c>
      <c r="X336">
        <v>1</v>
      </c>
      <c r="Y336" t="str">
        <f t="shared" si="5"/>
        <v>High</v>
      </c>
    </row>
    <row r="337" spans="1:25">
      <c r="A337" t="s">
        <v>450</v>
      </c>
      <c r="B337" s="1">
        <v>44930</v>
      </c>
      <c r="C337" s="2">
        <v>0.69791666666666663</v>
      </c>
      <c r="D337" t="s">
        <v>34</v>
      </c>
      <c r="E337" t="s">
        <v>52</v>
      </c>
      <c r="F337" t="s">
        <v>37</v>
      </c>
      <c r="G337" t="s">
        <v>70</v>
      </c>
      <c r="H337" s="2">
        <v>0.69930555555555551</v>
      </c>
      <c r="I337" s="2">
        <v>0.71388888888888891</v>
      </c>
      <c r="J337">
        <v>16</v>
      </c>
      <c r="K337">
        <v>27</v>
      </c>
      <c r="L337" t="s">
        <v>38</v>
      </c>
      <c r="M337">
        <v>25.8</v>
      </c>
      <c r="N337">
        <v>91</v>
      </c>
      <c r="O337">
        <v>45</v>
      </c>
      <c r="P337">
        <v>11.5</v>
      </c>
      <c r="Q337" t="s">
        <v>31</v>
      </c>
      <c r="R337">
        <v>2000</v>
      </c>
      <c r="S337">
        <v>7</v>
      </c>
      <c r="T337">
        <v>0</v>
      </c>
      <c r="U337">
        <v>0</v>
      </c>
      <c r="V337">
        <v>2</v>
      </c>
      <c r="W337" t="s">
        <v>39</v>
      </c>
      <c r="X337">
        <v>1</v>
      </c>
      <c r="Y337" t="str">
        <f t="shared" si="5"/>
        <v>Low</v>
      </c>
    </row>
    <row r="338" spans="1:25">
      <c r="A338" t="s">
        <v>451</v>
      </c>
      <c r="B338" s="1">
        <v>44930</v>
      </c>
      <c r="C338" s="2">
        <v>0.70833333333333337</v>
      </c>
      <c r="D338" t="s">
        <v>41</v>
      </c>
      <c r="E338" t="s">
        <v>147</v>
      </c>
      <c r="F338" t="s">
        <v>122</v>
      </c>
      <c r="G338" t="s">
        <v>50</v>
      </c>
      <c r="H338" s="2">
        <v>0.71111111111111114</v>
      </c>
      <c r="I338" s="2">
        <v>0.74444444444444446</v>
      </c>
      <c r="J338">
        <v>11</v>
      </c>
      <c r="K338">
        <v>20</v>
      </c>
      <c r="L338" t="s">
        <v>45</v>
      </c>
      <c r="M338">
        <v>0.7</v>
      </c>
      <c r="N338">
        <v>74</v>
      </c>
      <c r="O338">
        <v>53</v>
      </c>
      <c r="P338">
        <v>4.5</v>
      </c>
      <c r="Q338" t="s">
        <v>101</v>
      </c>
      <c r="R338">
        <v>10000</v>
      </c>
      <c r="S338">
        <v>66</v>
      </c>
      <c r="T338">
        <v>1</v>
      </c>
      <c r="U338">
        <v>0</v>
      </c>
      <c r="V338">
        <v>2</v>
      </c>
      <c r="W338" t="s">
        <v>39</v>
      </c>
      <c r="X338">
        <v>1</v>
      </c>
      <c r="Y338" t="str">
        <f t="shared" si="5"/>
        <v>Medium</v>
      </c>
    </row>
    <row r="339" spans="1:25">
      <c r="A339" t="s">
        <v>452</v>
      </c>
      <c r="B339" s="1">
        <v>44930</v>
      </c>
      <c r="C339" s="2">
        <v>0.71875</v>
      </c>
      <c r="D339" t="s">
        <v>26</v>
      </c>
      <c r="E339" t="s">
        <v>48</v>
      </c>
      <c r="F339" t="s">
        <v>151</v>
      </c>
      <c r="G339" t="s">
        <v>80</v>
      </c>
      <c r="H339" s="2">
        <v>0.71944444444444444</v>
      </c>
      <c r="I339" s="2">
        <v>0.74861111111111112</v>
      </c>
      <c r="J339">
        <v>5</v>
      </c>
      <c r="K339">
        <v>3</v>
      </c>
      <c r="L339" t="s">
        <v>30</v>
      </c>
      <c r="M339">
        <v>3.2</v>
      </c>
      <c r="N339">
        <v>32</v>
      </c>
      <c r="O339">
        <v>51</v>
      </c>
      <c r="P339">
        <v>0.8</v>
      </c>
      <c r="Q339" t="s">
        <v>59</v>
      </c>
      <c r="R339">
        <v>0</v>
      </c>
      <c r="S339">
        <v>48</v>
      </c>
      <c r="T339">
        <v>0</v>
      </c>
      <c r="U339">
        <v>1</v>
      </c>
      <c r="V339">
        <v>2</v>
      </c>
      <c r="W339" t="s">
        <v>72</v>
      </c>
      <c r="X339">
        <v>0</v>
      </c>
      <c r="Y339" t="str">
        <f t="shared" si="5"/>
        <v>Medium</v>
      </c>
    </row>
    <row r="340" spans="1:25">
      <c r="A340" t="s">
        <v>453</v>
      </c>
      <c r="B340" s="1">
        <v>44930</v>
      </c>
      <c r="C340" s="2">
        <v>0.72916666666666663</v>
      </c>
      <c r="D340" t="s">
        <v>34</v>
      </c>
      <c r="E340" t="s">
        <v>89</v>
      </c>
      <c r="F340" t="s">
        <v>163</v>
      </c>
      <c r="G340" t="s">
        <v>142</v>
      </c>
      <c r="H340" s="2">
        <v>0.72916666666666663</v>
      </c>
      <c r="I340" s="2">
        <v>0.76736111111111116</v>
      </c>
      <c r="J340">
        <v>3</v>
      </c>
      <c r="K340">
        <v>22</v>
      </c>
      <c r="L340" t="s">
        <v>84</v>
      </c>
      <c r="M340">
        <v>22.4</v>
      </c>
      <c r="N340">
        <v>51</v>
      </c>
      <c r="O340">
        <v>44</v>
      </c>
      <c r="P340">
        <v>11.1</v>
      </c>
      <c r="Q340" t="s">
        <v>71</v>
      </c>
      <c r="R340">
        <v>0</v>
      </c>
      <c r="S340">
        <v>95</v>
      </c>
      <c r="T340">
        <v>0</v>
      </c>
      <c r="U340">
        <v>1</v>
      </c>
      <c r="V340">
        <v>2</v>
      </c>
      <c r="W340" t="s">
        <v>72</v>
      </c>
      <c r="X340">
        <v>1</v>
      </c>
      <c r="Y340" t="str">
        <f t="shared" si="5"/>
        <v>High</v>
      </c>
    </row>
    <row r="341" spans="1:25">
      <c r="A341" t="s">
        <v>454</v>
      </c>
      <c r="B341" s="1">
        <v>44930</v>
      </c>
      <c r="C341" s="2">
        <v>0.73958333333333337</v>
      </c>
      <c r="D341" t="s">
        <v>34</v>
      </c>
      <c r="E341" t="s">
        <v>57</v>
      </c>
      <c r="F341" t="s">
        <v>109</v>
      </c>
      <c r="G341" t="s">
        <v>118</v>
      </c>
      <c r="H341" s="2">
        <v>0.74097222222222225</v>
      </c>
      <c r="I341" s="2">
        <v>0.75972222222222219</v>
      </c>
      <c r="J341">
        <v>9</v>
      </c>
      <c r="K341">
        <v>9</v>
      </c>
      <c r="L341" t="s">
        <v>54</v>
      </c>
      <c r="M341">
        <v>17.399999999999999</v>
      </c>
      <c r="N341">
        <v>56</v>
      </c>
      <c r="O341">
        <v>33</v>
      </c>
      <c r="P341">
        <v>2.7</v>
      </c>
      <c r="Q341" t="s">
        <v>71</v>
      </c>
      <c r="R341">
        <v>0</v>
      </c>
      <c r="S341">
        <v>88</v>
      </c>
      <c r="T341">
        <v>0</v>
      </c>
      <c r="U341">
        <v>1</v>
      </c>
      <c r="V341">
        <v>2</v>
      </c>
      <c r="W341" t="s">
        <v>39</v>
      </c>
      <c r="X341">
        <v>1</v>
      </c>
      <c r="Y341" t="str">
        <f t="shared" si="5"/>
        <v>High</v>
      </c>
    </row>
    <row r="342" spans="1:25">
      <c r="A342" t="s">
        <v>455</v>
      </c>
      <c r="B342" s="1">
        <v>44930</v>
      </c>
      <c r="C342" s="2">
        <v>0.75</v>
      </c>
      <c r="D342" t="s">
        <v>26</v>
      </c>
      <c r="E342" t="s">
        <v>35</v>
      </c>
      <c r="F342" t="s">
        <v>100</v>
      </c>
      <c r="G342" t="s">
        <v>135</v>
      </c>
      <c r="H342" s="2">
        <v>0.75277777777777777</v>
      </c>
      <c r="I342" s="2">
        <v>0.78819444444444442</v>
      </c>
      <c r="J342">
        <v>12</v>
      </c>
      <c r="K342">
        <v>4</v>
      </c>
      <c r="L342" t="s">
        <v>45</v>
      </c>
      <c r="M342">
        <v>3.2</v>
      </c>
      <c r="N342">
        <v>84</v>
      </c>
      <c r="O342">
        <v>58</v>
      </c>
      <c r="P342">
        <v>6.9</v>
      </c>
      <c r="Q342" t="s">
        <v>31</v>
      </c>
      <c r="R342">
        <v>50000</v>
      </c>
      <c r="S342">
        <v>88</v>
      </c>
      <c r="T342">
        <v>0</v>
      </c>
      <c r="U342">
        <v>1</v>
      </c>
      <c r="V342">
        <v>2</v>
      </c>
      <c r="W342" t="s">
        <v>72</v>
      </c>
      <c r="X342">
        <v>0</v>
      </c>
      <c r="Y342" t="str">
        <f t="shared" si="5"/>
        <v>High</v>
      </c>
    </row>
    <row r="343" spans="1:25">
      <c r="A343" t="s">
        <v>456</v>
      </c>
      <c r="B343" s="1">
        <v>44930</v>
      </c>
      <c r="C343" s="2">
        <v>0.76041666666666663</v>
      </c>
      <c r="D343" t="s">
        <v>34</v>
      </c>
      <c r="E343" t="s">
        <v>111</v>
      </c>
      <c r="F343" t="s">
        <v>185</v>
      </c>
      <c r="G343" t="s">
        <v>62</v>
      </c>
      <c r="H343" s="2">
        <v>0.76180555555555551</v>
      </c>
      <c r="I343" s="2">
        <v>0.78749999999999998</v>
      </c>
      <c r="J343">
        <v>11</v>
      </c>
      <c r="K343">
        <v>1</v>
      </c>
      <c r="L343" t="s">
        <v>77</v>
      </c>
      <c r="M343">
        <v>31.1</v>
      </c>
      <c r="N343">
        <v>96</v>
      </c>
      <c r="O343">
        <v>19</v>
      </c>
      <c r="P343">
        <v>10.199999999999999</v>
      </c>
      <c r="Q343" t="s">
        <v>31</v>
      </c>
      <c r="R343">
        <v>500</v>
      </c>
      <c r="S343">
        <v>13</v>
      </c>
      <c r="T343">
        <v>1</v>
      </c>
      <c r="U343">
        <v>1</v>
      </c>
      <c r="V343">
        <v>2</v>
      </c>
      <c r="W343" t="s">
        <v>32</v>
      </c>
      <c r="X343">
        <v>0</v>
      </c>
      <c r="Y343" t="str">
        <f t="shared" si="5"/>
        <v>Low</v>
      </c>
    </row>
    <row r="344" spans="1:25">
      <c r="A344" t="s">
        <v>457</v>
      </c>
      <c r="B344" s="1">
        <v>44930</v>
      </c>
      <c r="C344" s="2">
        <v>0.77083333333333337</v>
      </c>
      <c r="D344" t="s">
        <v>26</v>
      </c>
      <c r="E344" t="s">
        <v>27</v>
      </c>
      <c r="F344" t="s">
        <v>69</v>
      </c>
      <c r="G344" t="s">
        <v>29</v>
      </c>
      <c r="H344" s="2">
        <v>0.77361111111111114</v>
      </c>
      <c r="I344" s="2">
        <v>0.79166666666666663</v>
      </c>
      <c r="J344">
        <v>18</v>
      </c>
      <c r="K344">
        <v>9</v>
      </c>
      <c r="L344" t="s">
        <v>30</v>
      </c>
      <c r="M344">
        <v>6</v>
      </c>
      <c r="N344">
        <v>62</v>
      </c>
      <c r="O344">
        <v>6</v>
      </c>
      <c r="P344">
        <v>18.100000000000001</v>
      </c>
      <c r="Q344" t="s">
        <v>71</v>
      </c>
      <c r="R344">
        <v>2000</v>
      </c>
      <c r="S344">
        <v>61</v>
      </c>
      <c r="T344">
        <v>0</v>
      </c>
      <c r="U344">
        <v>0</v>
      </c>
      <c r="V344">
        <v>2</v>
      </c>
      <c r="W344" t="s">
        <v>39</v>
      </c>
      <c r="X344">
        <v>1</v>
      </c>
      <c r="Y344" t="str">
        <f t="shared" si="5"/>
        <v>Medium</v>
      </c>
    </row>
    <row r="345" spans="1:25">
      <c r="A345" t="s">
        <v>458</v>
      </c>
      <c r="B345" s="1">
        <v>44930</v>
      </c>
      <c r="C345" s="2">
        <v>0.78125</v>
      </c>
      <c r="D345" t="s">
        <v>74</v>
      </c>
      <c r="E345" t="s">
        <v>42</v>
      </c>
      <c r="F345" t="s">
        <v>81</v>
      </c>
      <c r="G345" t="s">
        <v>122</v>
      </c>
      <c r="H345" s="2">
        <v>0.78333333333333333</v>
      </c>
      <c r="I345" s="2">
        <v>0.80277777777777781</v>
      </c>
      <c r="J345">
        <v>-2</v>
      </c>
      <c r="K345">
        <v>25</v>
      </c>
      <c r="L345" t="s">
        <v>77</v>
      </c>
      <c r="M345">
        <v>11.8</v>
      </c>
      <c r="N345">
        <v>31</v>
      </c>
      <c r="O345">
        <v>32</v>
      </c>
      <c r="P345">
        <v>1.6</v>
      </c>
      <c r="Q345" t="s">
        <v>101</v>
      </c>
      <c r="R345">
        <v>0</v>
      </c>
      <c r="S345">
        <v>42</v>
      </c>
      <c r="T345">
        <v>0</v>
      </c>
      <c r="U345">
        <v>0</v>
      </c>
      <c r="V345">
        <v>2</v>
      </c>
      <c r="W345" t="s">
        <v>32</v>
      </c>
      <c r="X345">
        <v>1</v>
      </c>
      <c r="Y345" t="str">
        <f t="shared" si="5"/>
        <v>Medium</v>
      </c>
    </row>
    <row r="346" spans="1:25">
      <c r="A346" t="s">
        <v>459</v>
      </c>
      <c r="B346" s="1">
        <v>44930</v>
      </c>
      <c r="C346" s="2">
        <v>0.79166666666666663</v>
      </c>
      <c r="D346" t="s">
        <v>26</v>
      </c>
      <c r="E346" t="s">
        <v>126</v>
      </c>
      <c r="F346" t="s">
        <v>80</v>
      </c>
      <c r="G346" t="s">
        <v>168</v>
      </c>
      <c r="H346" s="2">
        <v>0.79305555555555551</v>
      </c>
      <c r="I346" s="2">
        <v>0.81736111111111109</v>
      </c>
      <c r="J346">
        <v>8</v>
      </c>
      <c r="K346">
        <v>16</v>
      </c>
      <c r="L346" t="s">
        <v>77</v>
      </c>
      <c r="M346">
        <v>3.1</v>
      </c>
      <c r="N346">
        <v>75</v>
      </c>
      <c r="O346">
        <v>56</v>
      </c>
      <c r="P346">
        <v>13.4</v>
      </c>
      <c r="Q346" t="s">
        <v>31</v>
      </c>
      <c r="R346">
        <v>2000</v>
      </c>
      <c r="S346">
        <v>26</v>
      </c>
      <c r="T346">
        <v>0</v>
      </c>
      <c r="U346">
        <v>0</v>
      </c>
      <c r="V346">
        <v>2</v>
      </c>
      <c r="W346" t="s">
        <v>55</v>
      </c>
      <c r="X346">
        <v>1</v>
      </c>
      <c r="Y346" t="str">
        <f t="shared" si="5"/>
        <v>Low</v>
      </c>
    </row>
    <row r="347" spans="1:25">
      <c r="A347" t="s">
        <v>460</v>
      </c>
      <c r="B347" s="1">
        <v>44930</v>
      </c>
      <c r="C347" s="2">
        <v>0.80208333333333337</v>
      </c>
      <c r="D347" t="s">
        <v>26</v>
      </c>
      <c r="E347" t="s">
        <v>161</v>
      </c>
      <c r="F347" t="s">
        <v>83</v>
      </c>
      <c r="G347" t="s">
        <v>122</v>
      </c>
      <c r="H347" s="2">
        <v>0.80347222222222225</v>
      </c>
      <c r="I347" s="2">
        <v>0.83611111111111114</v>
      </c>
      <c r="J347">
        <v>0</v>
      </c>
      <c r="K347">
        <v>10</v>
      </c>
      <c r="L347" t="s">
        <v>45</v>
      </c>
      <c r="M347">
        <v>10.5</v>
      </c>
      <c r="N347">
        <v>62</v>
      </c>
      <c r="O347">
        <v>34</v>
      </c>
      <c r="P347">
        <v>0.3</v>
      </c>
      <c r="Q347" t="s">
        <v>31</v>
      </c>
      <c r="R347">
        <v>500</v>
      </c>
      <c r="S347">
        <v>95</v>
      </c>
      <c r="T347">
        <v>0</v>
      </c>
      <c r="U347">
        <v>1</v>
      </c>
      <c r="V347">
        <v>2</v>
      </c>
      <c r="W347" t="s">
        <v>32</v>
      </c>
      <c r="X347">
        <v>1</v>
      </c>
      <c r="Y347" t="str">
        <f t="shared" si="5"/>
        <v>High</v>
      </c>
    </row>
    <row r="348" spans="1:25">
      <c r="A348" t="s">
        <v>461</v>
      </c>
      <c r="B348" s="1">
        <v>44930</v>
      </c>
      <c r="C348" s="2">
        <v>0.8125</v>
      </c>
      <c r="D348" t="s">
        <v>26</v>
      </c>
      <c r="E348" t="s">
        <v>98</v>
      </c>
      <c r="F348" t="s">
        <v>62</v>
      </c>
      <c r="G348" t="s">
        <v>62</v>
      </c>
      <c r="H348" s="2">
        <v>0.81388888888888888</v>
      </c>
      <c r="I348" s="2">
        <v>0.85138888888888886</v>
      </c>
      <c r="J348">
        <v>16</v>
      </c>
      <c r="K348">
        <v>28</v>
      </c>
      <c r="L348" t="s">
        <v>30</v>
      </c>
      <c r="M348">
        <v>14.7</v>
      </c>
      <c r="N348">
        <v>87</v>
      </c>
      <c r="O348">
        <v>28</v>
      </c>
      <c r="P348">
        <v>12.6</v>
      </c>
      <c r="Q348" t="s">
        <v>31</v>
      </c>
      <c r="R348">
        <v>0</v>
      </c>
      <c r="S348">
        <v>26</v>
      </c>
      <c r="T348">
        <v>0</v>
      </c>
      <c r="U348">
        <v>0</v>
      </c>
      <c r="V348">
        <v>2</v>
      </c>
      <c r="W348" t="s">
        <v>39</v>
      </c>
      <c r="X348">
        <v>1</v>
      </c>
      <c r="Y348" t="str">
        <f t="shared" si="5"/>
        <v>Low</v>
      </c>
    </row>
    <row r="349" spans="1:25">
      <c r="A349" t="s">
        <v>462</v>
      </c>
      <c r="B349" s="1">
        <v>44930</v>
      </c>
      <c r="C349" s="2">
        <v>0.82291666666666663</v>
      </c>
      <c r="D349" t="s">
        <v>34</v>
      </c>
      <c r="E349" t="s">
        <v>52</v>
      </c>
      <c r="F349" t="s">
        <v>43</v>
      </c>
      <c r="G349" t="s">
        <v>142</v>
      </c>
      <c r="H349" s="2">
        <v>0.82499999999999996</v>
      </c>
      <c r="I349" s="2">
        <v>0.85</v>
      </c>
      <c r="J349">
        <v>15</v>
      </c>
      <c r="K349">
        <v>23</v>
      </c>
      <c r="L349" t="s">
        <v>77</v>
      </c>
      <c r="M349">
        <v>6.8</v>
      </c>
      <c r="N349">
        <v>36</v>
      </c>
      <c r="O349">
        <v>51</v>
      </c>
      <c r="P349">
        <v>11</v>
      </c>
      <c r="Q349" t="s">
        <v>31</v>
      </c>
      <c r="R349">
        <v>50000</v>
      </c>
      <c r="S349">
        <v>67</v>
      </c>
      <c r="T349">
        <v>0</v>
      </c>
      <c r="U349">
        <v>0</v>
      </c>
      <c r="V349">
        <v>2</v>
      </c>
      <c r="W349" t="s">
        <v>55</v>
      </c>
      <c r="X349">
        <v>1</v>
      </c>
      <c r="Y349" t="str">
        <f t="shared" si="5"/>
        <v>High</v>
      </c>
    </row>
    <row r="350" spans="1:25">
      <c r="A350" t="s">
        <v>463</v>
      </c>
      <c r="B350" s="1">
        <v>44930</v>
      </c>
      <c r="C350" s="2">
        <v>0.83333333333333337</v>
      </c>
      <c r="D350" t="s">
        <v>34</v>
      </c>
      <c r="E350" t="s">
        <v>79</v>
      </c>
      <c r="F350" t="s">
        <v>62</v>
      </c>
      <c r="G350" t="s">
        <v>203</v>
      </c>
      <c r="H350" s="2">
        <v>0.83333333333333337</v>
      </c>
      <c r="I350" s="2">
        <v>0.86388888888888893</v>
      </c>
      <c r="J350">
        <v>17</v>
      </c>
      <c r="K350">
        <v>21</v>
      </c>
      <c r="L350" t="s">
        <v>30</v>
      </c>
      <c r="M350">
        <v>25.8</v>
      </c>
      <c r="N350">
        <v>44</v>
      </c>
      <c r="O350">
        <v>11</v>
      </c>
      <c r="P350">
        <v>16.2</v>
      </c>
      <c r="Q350" t="s">
        <v>31</v>
      </c>
      <c r="R350">
        <v>0</v>
      </c>
      <c r="S350">
        <v>74</v>
      </c>
      <c r="T350">
        <v>0</v>
      </c>
      <c r="U350">
        <v>1</v>
      </c>
      <c r="V350">
        <v>2</v>
      </c>
      <c r="W350" t="s">
        <v>72</v>
      </c>
      <c r="X350">
        <v>1</v>
      </c>
      <c r="Y350" t="str">
        <f t="shared" si="5"/>
        <v>High</v>
      </c>
    </row>
    <row r="351" spans="1:25">
      <c r="A351" t="s">
        <v>464</v>
      </c>
      <c r="B351" s="1">
        <v>44930</v>
      </c>
      <c r="C351" s="2">
        <v>0.84375</v>
      </c>
      <c r="D351" t="s">
        <v>26</v>
      </c>
      <c r="E351" t="s">
        <v>161</v>
      </c>
      <c r="F351" t="s">
        <v>99</v>
      </c>
      <c r="G351" t="s">
        <v>122</v>
      </c>
      <c r="H351" s="2">
        <v>0.84652777777777777</v>
      </c>
      <c r="I351" s="2">
        <v>0.86527777777777781</v>
      </c>
      <c r="J351">
        <v>-1</v>
      </c>
      <c r="K351">
        <v>0</v>
      </c>
      <c r="L351" t="s">
        <v>38</v>
      </c>
      <c r="M351">
        <v>10.8</v>
      </c>
      <c r="N351">
        <v>55</v>
      </c>
      <c r="O351">
        <v>4</v>
      </c>
      <c r="P351">
        <v>10.6</v>
      </c>
      <c r="Q351" t="s">
        <v>63</v>
      </c>
      <c r="R351">
        <v>0</v>
      </c>
      <c r="S351">
        <v>47</v>
      </c>
      <c r="T351">
        <v>0</v>
      </c>
      <c r="U351">
        <v>1</v>
      </c>
      <c r="V351">
        <v>2</v>
      </c>
      <c r="W351" t="s">
        <v>32</v>
      </c>
      <c r="X351">
        <v>0</v>
      </c>
      <c r="Y351" t="str">
        <f t="shared" si="5"/>
        <v>Medium</v>
      </c>
    </row>
    <row r="352" spans="1:25">
      <c r="A352" t="s">
        <v>465</v>
      </c>
      <c r="B352" s="1">
        <v>44930</v>
      </c>
      <c r="C352" s="2">
        <v>0.85416666666666663</v>
      </c>
      <c r="D352" t="s">
        <v>34</v>
      </c>
      <c r="E352" t="s">
        <v>141</v>
      </c>
      <c r="F352" t="s">
        <v>66</v>
      </c>
      <c r="G352" t="s">
        <v>148</v>
      </c>
      <c r="H352" s="2">
        <v>0.85555555555555551</v>
      </c>
      <c r="I352" s="2">
        <v>0.88194444444444442</v>
      </c>
      <c r="J352">
        <v>4</v>
      </c>
      <c r="K352">
        <v>17</v>
      </c>
      <c r="L352" t="s">
        <v>54</v>
      </c>
      <c r="M352">
        <v>24.2</v>
      </c>
      <c r="N352">
        <v>40</v>
      </c>
      <c r="O352">
        <v>11</v>
      </c>
      <c r="P352">
        <v>7.1</v>
      </c>
      <c r="Q352" t="s">
        <v>59</v>
      </c>
      <c r="R352">
        <v>0</v>
      </c>
      <c r="S352">
        <v>66</v>
      </c>
      <c r="T352">
        <v>0</v>
      </c>
      <c r="U352">
        <v>0</v>
      </c>
      <c r="V352">
        <v>2</v>
      </c>
      <c r="W352" t="s">
        <v>32</v>
      </c>
      <c r="X352">
        <v>1</v>
      </c>
      <c r="Y352" t="str">
        <f t="shared" si="5"/>
        <v>Medium</v>
      </c>
    </row>
    <row r="353" spans="1:25">
      <c r="A353" t="s">
        <v>466</v>
      </c>
      <c r="B353" s="1">
        <v>44930</v>
      </c>
      <c r="C353" s="2">
        <v>0.86458333333333337</v>
      </c>
      <c r="D353" t="s">
        <v>41</v>
      </c>
      <c r="E353" t="s">
        <v>161</v>
      </c>
      <c r="F353" t="s">
        <v>70</v>
      </c>
      <c r="G353" t="s">
        <v>37</v>
      </c>
      <c r="H353" s="2">
        <v>0.8666666666666667</v>
      </c>
      <c r="I353" s="2">
        <v>0.89513888888888893</v>
      </c>
      <c r="J353">
        <v>5</v>
      </c>
      <c r="K353">
        <v>14</v>
      </c>
      <c r="L353" t="s">
        <v>77</v>
      </c>
      <c r="M353">
        <v>3.3</v>
      </c>
      <c r="N353">
        <v>67</v>
      </c>
      <c r="O353">
        <v>28</v>
      </c>
      <c r="P353">
        <v>4.9000000000000004</v>
      </c>
      <c r="Q353" t="s">
        <v>101</v>
      </c>
      <c r="R353">
        <v>0</v>
      </c>
      <c r="S353">
        <v>24</v>
      </c>
      <c r="T353">
        <v>0</v>
      </c>
      <c r="U353">
        <v>0</v>
      </c>
      <c r="V353">
        <v>2</v>
      </c>
      <c r="W353" t="s">
        <v>39</v>
      </c>
      <c r="X353">
        <v>1</v>
      </c>
      <c r="Y353" t="str">
        <f t="shared" si="5"/>
        <v>Low</v>
      </c>
    </row>
    <row r="354" spans="1:25">
      <c r="A354" t="s">
        <v>467</v>
      </c>
      <c r="B354" s="1">
        <v>44930</v>
      </c>
      <c r="C354" s="2">
        <v>0.875</v>
      </c>
      <c r="D354" t="s">
        <v>41</v>
      </c>
      <c r="E354" t="s">
        <v>161</v>
      </c>
      <c r="F354" t="s">
        <v>76</v>
      </c>
      <c r="G354" t="s">
        <v>144</v>
      </c>
      <c r="H354" s="2">
        <v>0.875</v>
      </c>
      <c r="I354" s="2">
        <v>0.89583333333333337</v>
      </c>
      <c r="J354">
        <v>16</v>
      </c>
      <c r="K354">
        <v>11</v>
      </c>
      <c r="L354" t="s">
        <v>77</v>
      </c>
      <c r="M354">
        <v>10.1</v>
      </c>
      <c r="N354">
        <v>56</v>
      </c>
      <c r="O354">
        <v>34</v>
      </c>
      <c r="P354">
        <v>1.7</v>
      </c>
      <c r="Q354" t="s">
        <v>71</v>
      </c>
      <c r="R354">
        <v>500</v>
      </c>
      <c r="S354">
        <v>63</v>
      </c>
      <c r="T354">
        <v>0</v>
      </c>
      <c r="U354">
        <v>0</v>
      </c>
      <c r="V354">
        <v>2</v>
      </c>
      <c r="W354" t="s">
        <v>72</v>
      </c>
      <c r="X354">
        <v>1</v>
      </c>
      <c r="Y354" t="str">
        <f t="shared" si="5"/>
        <v>Medium</v>
      </c>
    </row>
    <row r="355" spans="1:25">
      <c r="A355" t="s">
        <v>468</v>
      </c>
      <c r="B355" s="1">
        <v>44930</v>
      </c>
      <c r="C355" s="2">
        <v>0.88541666666666663</v>
      </c>
      <c r="D355" t="s">
        <v>34</v>
      </c>
      <c r="E355" t="s">
        <v>89</v>
      </c>
      <c r="F355" t="s">
        <v>122</v>
      </c>
      <c r="G355" t="s">
        <v>168</v>
      </c>
      <c r="H355" s="2">
        <v>0.8881944444444444</v>
      </c>
      <c r="I355" s="2">
        <v>0.90486111111111112</v>
      </c>
      <c r="J355">
        <v>19</v>
      </c>
      <c r="K355">
        <v>20</v>
      </c>
      <c r="L355" t="s">
        <v>30</v>
      </c>
      <c r="M355">
        <v>-4.7</v>
      </c>
      <c r="N355">
        <v>36</v>
      </c>
      <c r="O355">
        <v>19</v>
      </c>
      <c r="P355">
        <v>10.7</v>
      </c>
      <c r="Q355" t="s">
        <v>31</v>
      </c>
      <c r="R355">
        <v>0</v>
      </c>
      <c r="S355">
        <v>23</v>
      </c>
      <c r="T355">
        <v>0</v>
      </c>
      <c r="U355">
        <v>0</v>
      </c>
      <c r="V355">
        <v>2</v>
      </c>
      <c r="W355" t="s">
        <v>39</v>
      </c>
      <c r="X355">
        <v>1</v>
      </c>
      <c r="Y355" t="str">
        <f t="shared" si="5"/>
        <v>Low</v>
      </c>
    </row>
    <row r="356" spans="1:25">
      <c r="A356" t="s">
        <v>469</v>
      </c>
      <c r="B356" s="1">
        <v>44930</v>
      </c>
      <c r="C356" s="2">
        <v>0.89583333333333337</v>
      </c>
      <c r="D356" t="s">
        <v>34</v>
      </c>
      <c r="E356" t="s">
        <v>93</v>
      </c>
      <c r="F356" t="s">
        <v>70</v>
      </c>
      <c r="G356" t="s">
        <v>122</v>
      </c>
      <c r="H356" s="2">
        <v>0.8979166666666667</v>
      </c>
      <c r="I356" s="2">
        <v>0.92638888888888893</v>
      </c>
      <c r="J356">
        <v>12</v>
      </c>
      <c r="K356">
        <v>4</v>
      </c>
      <c r="L356" t="s">
        <v>54</v>
      </c>
      <c r="M356">
        <v>25.3</v>
      </c>
      <c r="N356">
        <v>30</v>
      </c>
      <c r="O356">
        <v>36</v>
      </c>
      <c r="P356">
        <v>17.8</v>
      </c>
      <c r="Q356" t="s">
        <v>63</v>
      </c>
      <c r="R356">
        <v>10000</v>
      </c>
      <c r="S356">
        <v>8</v>
      </c>
      <c r="T356">
        <v>0</v>
      </c>
      <c r="U356">
        <v>0</v>
      </c>
      <c r="V356">
        <v>2</v>
      </c>
      <c r="W356" t="s">
        <v>72</v>
      </c>
      <c r="X356">
        <v>0</v>
      </c>
      <c r="Y356" t="str">
        <f t="shared" si="5"/>
        <v>Low</v>
      </c>
    </row>
    <row r="357" spans="1:25">
      <c r="A357" t="s">
        <v>470</v>
      </c>
      <c r="B357" s="1">
        <v>44930</v>
      </c>
      <c r="C357" s="2">
        <v>0.90625</v>
      </c>
      <c r="D357" t="s">
        <v>26</v>
      </c>
      <c r="E357" t="s">
        <v>161</v>
      </c>
      <c r="F357" t="s">
        <v>105</v>
      </c>
      <c r="G357" t="s">
        <v>81</v>
      </c>
      <c r="H357" s="2">
        <v>0.90902777777777777</v>
      </c>
      <c r="I357" s="2">
        <v>0.94374999999999998</v>
      </c>
      <c r="J357">
        <v>7</v>
      </c>
      <c r="K357">
        <v>24</v>
      </c>
      <c r="L357" t="s">
        <v>38</v>
      </c>
      <c r="M357">
        <v>20</v>
      </c>
      <c r="N357">
        <v>50</v>
      </c>
      <c r="O357">
        <v>59</v>
      </c>
      <c r="P357">
        <v>10.3</v>
      </c>
      <c r="Q357" t="s">
        <v>31</v>
      </c>
      <c r="R357">
        <v>0</v>
      </c>
      <c r="S357">
        <v>7</v>
      </c>
      <c r="T357">
        <v>0</v>
      </c>
      <c r="U357">
        <v>1</v>
      </c>
      <c r="V357">
        <v>2</v>
      </c>
      <c r="W357" t="s">
        <v>39</v>
      </c>
      <c r="X357">
        <v>1</v>
      </c>
      <c r="Y357" t="str">
        <f t="shared" si="5"/>
        <v>Low</v>
      </c>
    </row>
    <row r="358" spans="1:25">
      <c r="A358" t="s">
        <v>471</v>
      </c>
      <c r="B358" s="1">
        <v>44930</v>
      </c>
      <c r="C358" s="2">
        <v>0.91666666666666663</v>
      </c>
      <c r="D358" t="s">
        <v>74</v>
      </c>
      <c r="E358" t="s">
        <v>93</v>
      </c>
      <c r="F358" t="s">
        <v>105</v>
      </c>
      <c r="G358" t="s">
        <v>50</v>
      </c>
      <c r="H358" s="2">
        <v>0.91805555555555551</v>
      </c>
      <c r="I358" s="2">
        <v>0.95208333333333328</v>
      </c>
      <c r="J358">
        <v>19</v>
      </c>
      <c r="K358">
        <v>17</v>
      </c>
      <c r="L358" t="s">
        <v>77</v>
      </c>
      <c r="M358">
        <v>27.7</v>
      </c>
      <c r="N358">
        <v>59</v>
      </c>
      <c r="O358">
        <v>0</v>
      </c>
      <c r="P358">
        <v>14.8</v>
      </c>
      <c r="Q358" t="s">
        <v>101</v>
      </c>
      <c r="R358">
        <v>0</v>
      </c>
      <c r="S358">
        <v>94</v>
      </c>
      <c r="T358">
        <v>0</v>
      </c>
      <c r="U358">
        <v>0</v>
      </c>
      <c r="V358">
        <v>2</v>
      </c>
      <c r="W358" t="s">
        <v>72</v>
      </c>
      <c r="X358">
        <v>1</v>
      </c>
      <c r="Y358" t="str">
        <f t="shared" si="5"/>
        <v>High</v>
      </c>
    </row>
    <row r="359" spans="1:25">
      <c r="A359" t="s">
        <v>472</v>
      </c>
      <c r="B359" s="1">
        <v>44930</v>
      </c>
      <c r="C359" s="2">
        <v>0.92708333333333337</v>
      </c>
      <c r="D359" t="s">
        <v>34</v>
      </c>
      <c r="E359" t="s">
        <v>126</v>
      </c>
      <c r="F359" t="s">
        <v>44</v>
      </c>
      <c r="G359" t="s">
        <v>65</v>
      </c>
      <c r="H359" s="2">
        <v>0.92708333333333337</v>
      </c>
      <c r="I359" s="2">
        <v>0.95</v>
      </c>
      <c r="J359">
        <v>-2</v>
      </c>
      <c r="K359">
        <v>12</v>
      </c>
      <c r="L359" t="s">
        <v>45</v>
      </c>
      <c r="M359">
        <v>13.2</v>
      </c>
      <c r="N359">
        <v>37</v>
      </c>
      <c r="O359">
        <v>15</v>
      </c>
      <c r="P359">
        <v>6</v>
      </c>
      <c r="Q359" t="s">
        <v>46</v>
      </c>
      <c r="R359">
        <v>500</v>
      </c>
      <c r="S359">
        <v>58</v>
      </c>
      <c r="T359">
        <v>1</v>
      </c>
      <c r="U359">
        <v>0</v>
      </c>
      <c r="V359">
        <v>2</v>
      </c>
      <c r="W359" t="s">
        <v>55</v>
      </c>
      <c r="X359">
        <v>1</v>
      </c>
      <c r="Y359" t="str">
        <f t="shared" si="5"/>
        <v>Medium</v>
      </c>
    </row>
    <row r="360" spans="1:25">
      <c r="A360" t="s">
        <v>473</v>
      </c>
      <c r="B360" s="1">
        <v>44930</v>
      </c>
      <c r="C360" s="2">
        <v>0.9375</v>
      </c>
      <c r="D360" t="s">
        <v>41</v>
      </c>
      <c r="E360" t="s">
        <v>104</v>
      </c>
      <c r="F360" t="s">
        <v>100</v>
      </c>
      <c r="G360" t="s">
        <v>91</v>
      </c>
      <c r="H360" s="2">
        <v>0.93958333333333333</v>
      </c>
      <c r="I360" s="2">
        <v>0.95138888888888884</v>
      </c>
      <c r="J360">
        <v>3</v>
      </c>
      <c r="K360">
        <v>12</v>
      </c>
      <c r="L360" t="s">
        <v>30</v>
      </c>
      <c r="M360">
        <v>27</v>
      </c>
      <c r="N360">
        <v>32</v>
      </c>
      <c r="O360">
        <v>29</v>
      </c>
      <c r="P360">
        <v>9</v>
      </c>
      <c r="Q360" t="s">
        <v>31</v>
      </c>
      <c r="R360">
        <v>2000</v>
      </c>
      <c r="S360">
        <v>16</v>
      </c>
      <c r="T360">
        <v>0</v>
      </c>
      <c r="U360">
        <v>0</v>
      </c>
      <c r="V360">
        <v>2</v>
      </c>
      <c r="W360" t="s">
        <v>39</v>
      </c>
      <c r="X360">
        <v>1</v>
      </c>
      <c r="Y360" t="str">
        <f t="shared" si="5"/>
        <v>Low</v>
      </c>
    </row>
    <row r="361" spans="1:25">
      <c r="A361" t="s">
        <v>474</v>
      </c>
      <c r="B361" s="1">
        <v>44930</v>
      </c>
      <c r="C361" s="2">
        <v>0.94791666666666663</v>
      </c>
      <c r="D361" t="s">
        <v>26</v>
      </c>
      <c r="E361" t="s">
        <v>141</v>
      </c>
      <c r="F361" t="s">
        <v>154</v>
      </c>
      <c r="G361" t="s">
        <v>75</v>
      </c>
      <c r="H361" s="2">
        <v>0.94791666666666663</v>
      </c>
      <c r="I361" s="2">
        <v>0.97291666666666665</v>
      </c>
      <c r="J361">
        <v>10</v>
      </c>
      <c r="K361">
        <v>13</v>
      </c>
      <c r="L361" t="s">
        <v>30</v>
      </c>
      <c r="M361">
        <v>20.9</v>
      </c>
      <c r="N361">
        <v>84</v>
      </c>
      <c r="O361">
        <v>8</v>
      </c>
      <c r="P361">
        <v>6.5</v>
      </c>
      <c r="Q361" t="s">
        <v>31</v>
      </c>
      <c r="R361">
        <v>0</v>
      </c>
      <c r="S361">
        <v>42</v>
      </c>
      <c r="T361">
        <v>0</v>
      </c>
      <c r="U361">
        <v>0</v>
      </c>
      <c r="V361">
        <v>2</v>
      </c>
      <c r="W361" t="s">
        <v>55</v>
      </c>
      <c r="X361">
        <v>1</v>
      </c>
      <c r="Y361" t="str">
        <f t="shared" si="5"/>
        <v>Medium</v>
      </c>
    </row>
    <row r="362" spans="1:25">
      <c r="A362" t="s">
        <v>475</v>
      </c>
      <c r="B362" s="1">
        <v>44930</v>
      </c>
      <c r="C362" s="2">
        <v>0.95833333333333337</v>
      </c>
      <c r="D362" t="s">
        <v>34</v>
      </c>
      <c r="E362" t="s">
        <v>68</v>
      </c>
      <c r="F362" t="s">
        <v>80</v>
      </c>
      <c r="G362" t="s">
        <v>37</v>
      </c>
      <c r="H362" s="2">
        <v>0.95972222222222225</v>
      </c>
      <c r="I362" s="2">
        <v>0.98888888888888893</v>
      </c>
      <c r="J362">
        <v>11</v>
      </c>
      <c r="K362">
        <v>5</v>
      </c>
      <c r="L362" t="s">
        <v>77</v>
      </c>
      <c r="M362">
        <v>-4.9000000000000004</v>
      </c>
      <c r="N362">
        <v>44</v>
      </c>
      <c r="O362">
        <v>41</v>
      </c>
      <c r="P362">
        <v>2.2000000000000002</v>
      </c>
      <c r="Q362" t="s">
        <v>31</v>
      </c>
      <c r="R362">
        <v>50000</v>
      </c>
      <c r="S362">
        <v>94</v>
      </c>
      <c r="T362">
        <v>0</v>
      </c>
      <c r="U362">
        <v>0</v>
      </c>
      <c r="V362">
        <v>2</v>
      </c>
      <c r="W362" t="s">
        <v>39</v>
      </c>
      <c r="X362">
        <v>0</v>
      </c>
      <c r="Y362" t="str">
        <f t="shared" si="5"/>
        <v>High</v>
      </c>
    </row>
    <row r="363" spans="1:25">
      <c r="A363" t="s">
        <v>476</v>
      </c>
      <c r="B363" s="1">
        <v>44930</v>
      </c>
      <c r="C363" s="2">
        <v>0.96875</v>
      </c>
      <c r="D363" t="s">
        <v>41</v>
      </c>
      <c r="E363" t="s">
        <v>104</v>
      </c>
      <c r="F363" t="s">
        <v>44</v>
      </c>
      <c r="G363" t="s">
        <v>168</v>
      </c>
      <c r="H363" s="2">
        <v>0.96875</v>
      </c>
      <c r="I363" s="2">
        <v>0.98750000000000004</v>
      </c>
      <c r="J363">
        <v>0</v>
      </c>
      <c r="K363">
        <v>25</v>
      </c>
      <c r="L363" t="s">
        <v>38</v>
      </c>
      <c r="M363">
        <v>5.0999999999999996</v>
      </c>
      <c r="N363">
        <v>65</v>
      </c>
      <c r="O363">
        <v>9</v>
      </c>
      <c r="P363">
        <v>8.3000000000000007</v>
      </c>
      <c r="Q363" t="s">
        <v>31</v>
      </c>
      <c r="R363">
        <v>500</v>
      </c>
      <c r="S363">
        <v>67</v>
      </c>
      <c r="T363">
        <v>0</v>
      </c>
      <c r="U363">
        <v>1</v>
      </c>
      <c r="V363">
        <v>2</v>
      </c>
      <c r="W363" t="s">
        <v>39</v>
      </c>
      <c r="X363">
        <v>1</v>
      </c>
      <c r="Y363" t="str">
        <f t="shared" si="5"/>
        <v>High</v>
      </c>
    </row>
    <row r="364" spans="1:25">
      <c r="A364" t="s">
        <v>477</v>
      </c>
      <c r="B364" s="1">
        <v>44930</v>
      </c>
      <c r="C364" s="2">
        <v>0.97916666666666663</v>
      </c>
      <c r="D364" t="s">
        <v>41</v>
      </c>
      <c r="E364" t="s">
        <v>111</v>
      </c>
      <c r="F364" t="s">
        <v>58</v>
      </c>
      <c r="G364" t="s">
        <v>203</v>
      </c>
      <c r="H364" s="2">
        <v>0.97916666666666663</v>
      </c>
      <c r="I364" s="2">
        <v>0.99583333333333335</v>
      </c>
      <c r="J364">
        <v>8</v>
      </c>
      <c r="K364">
        <v>14</v>
      </c>
      <c r="L364" t="s">
        <v>77</v>
      </c>
      <c r="M364">
        <v>14.8</v>
      </c>
      <c r="N364">
        <v>35</v>
      </c>
      <c r="O364">
        <v>12</v>
      </c>
      <c r="P364">
        <v>15.3</v>
      </c>
      <c r="Q364" t="s">
        <v>31</v>
      </c>
      <c r="R364">
        <v>0</v>
      </c>
      <c r="S364">
        <v>3</v>
      </c>
      <c r="T364">
        <v>0</v>
      </c>
      <c r="U364">
        <v>1</v>
      </c>
      <c r="V364">
        <v>2</v>
      </c>
      <c r="W364" t="s">
        <v>39</v>
      </c>
      <c r="X364">
        <v>1</v>
      </c>
      <c r="Y364" t="str">
        <f t="shared" si="5"/>
        <v>Low</v>
      </c>
    </row>
    <row r="365" spans="1:25">
      <c r="A365" t="s">
        <v>478</v>
      </c>
      <c r="B365" s="1">
        <v>44930</v>
      </c>
      <c r="C365" s="2">
        <v>0.98958333333333337</v>
      </c>
      <c r="D365" t="s">
        <v>74</v>
      </c>
      <c r="E365" t="s">
        <v>79</v>
      </c>
      <c r="F365" t="s">
        <v>197</v>
      </c>
      <c r="G365" t="s">
        <v>95</v>
      </c>
      <c r="H365" s="2">
        <v>0.99027777777777781</v>
      </c>
      <c r="I365" s="2">
        <v>6.2500000000000003E-3</v>
      </c>
      <c r="J365">
        <v>0</v>
      </c>
      <c r="K365">
        <v>8</v>
      </c>
      <c r="L365" t="s">
        <v>84</v>
      </c>
      <c r="M365">
        <v>19.7</v>
      </c>
      <c r="N365">
        <v>71</v>
      </c>
      <c r="O365">
        <v>47</v>
      </c>
      <c r="P365">
        <v>7.9</v>
      </c>
      <c r="Q365" t="s">
        <v>101</v>
      </c>
      <c r="R365">
        <v>0</v>
      </c>
      <c r="S365">
        <v>7</v>
      </c>
      <c r="T365">
        <v>0</v>
      </c>
      <c r="U365">
        <v>0</v>
      </c>
      <c r="V365">
        <v>2</v>
      </c>
      <c r="W365" t="s">
        <v>32</v>
      </c>
      <c r="X365">
        <v>1</v>
      </c>
      <c r="Y365" t="str">
        <f t="shared" si="5"/>
        <v>Low</v>
      </c>
    </row>
    <row r="366" spans="1:25">
      <c r="A366" t="s">
        <v>479</v>
      </c>
      <c r="B366" s="1">
        <v>44931</v>
      </c>
      <c r="C366" s="2">
        <v>0</v>
      </c>
      <c r="D366" t="s">
        <v>26</v>
      </c>
      <c r="E366" t="s">
        <v>27</v>
      </c>
      <c r="F366" t="s">
        <v>86</v>
      </c>
      <c r="G366" t="s">
        <v>107</v>
      </c>
      <c r="H366" s="2">
        <v>0</v>
      </c>
      <c r="I366" s="2">
        <v>3.7499999999999999E-2</v>
      </c>
      <c r="J366">
        <v>16</v>
      </c>
      <c r="K366">
        <v>15</v>
      </c>
      <c r="L366" t="s">
        <v>77</v>
      </c>
      <c r="M366">
        <v>-2.4</v>
      </c>
      <c r="N366">
        <v>79</v>
      </c>
      <c r="O366">
        <v>19</v>
      </c>
      <c r="P366">
        <v>13</v>
      </c>
      <c r="Q366" t="s">
        <v>46</v>
      </c>
      <c r="R366">
        <v>0</v>
      </c>
      <c r="S366">
        <v>41</v>
      </c>
      <c r="T366">
        <v>0</v>
      </c>
      <c r="U366">
        <v>1</v>
      </c>
      <c r="V366">
        <v>3</v>
      </c>
      <c r="W366" t="s">
        <v>39</v>
      </c>
      <c r="X366">
        <v>1</v>
      </c>
      <c r="Y366" t="str">
        <f t="shared" si="5"/>
        <v>Medium</v>
      </c>
    </row>
    <row r="367" spans="1:25">
      <c r="A367" t="s">
        <v>480</v>
      </c>
      <c r="B367" s="1">
        <v>44931</v>
      </c>
      <c r="C367" s="2">
        <v>1.0416666666666666E-2</v>
      </c>
      <c r="D367" t="s">
        <v>26</v>
      </c>
      <c r="E367" t="s">
        <v>141</v>
      </c>
      <c r="F367" t="s">
        <v>87</v>
      </c>
      <c r="G367" t="s">
        <v>154</v>
      </c>
      <c r="H367" s="2">
        <v>1.3194444444444444E-2</v>
      </c>
      <c r="I367" s="2">
        <v>3.6805555555555557E-2</v>
      </c>
      <c r="J367">
        <v>7</v>
      </c>
      <c r="K367">
        <v>18</v>
      </c>
      <c r="L367" t="s">
        <v>54</v>
      </c>
      <c r="M367">
        <v>23.2</v>
      </c>
      <c r="N367">
        <v>47</v>
      </c>
      <c r="O367">
        <v>28</v>
      </c>
      <c r="P367">
        <v>15.2</v>
      </c>
      <c r="Q367" t="s">
        <v>31</v>
      </c>
      <c r="R367">
        <v>10000</v>
      </c>
      <c r="S367">
        <v>48</v>
      </c>
      <c r="T367">
        <v>0</v>
      </c>
      <c r="U367">
        <v>0</v>
      </c>
      <c r="V367">
        <v>3</v>
      </c>
      <c r="W367" t="s">
        <v>72</v>
      </c>
      <c r="X367">
        <v>1</v>
      </c>
      <c r="Y367" t="str">
        <f t="shared" si="5"/>
        <v>Medium</v>
      </c>
    </row>
    <row r="368" spans="1:25">
      <c r="A368" t="s">
        <v>481</v>
      </c>
      <c r="B368" s="1">
        <v>44931</v>
      </c>
      <c r="C368" s="2">
        <v>2.0833333333333332E-2</v>
      </c>
      <c r="D368" t="s">
        <v>74</v>
      </c>
      <c r="E368" t="s">
        <v>98</v>
      </c>
      <c r="F368" t="s">
        <v>116</v>
      </c>
      <c r="G368" t="s">
        <v>58</v>
      </c>
      <c r="H368" s="2">
        <v>2.2916666666666665E-2</v>
      </c>
      <c r="I368" s="2">
        <v>0.05</v>
      </c>
      <c r="J368">
        <v>12</v>
      </c>
      <c r="K368">
        <v>11</v>
      </c>
      <c r="L368" t="s">
        <v>54</v>
      </c>
      <c r="M368">
        <v>16.7</v>
      </c>
      <c r="N368">
        <v>79</v>
      </c>
      <c r="O368">
        <v>56</v>
      </c>
      <c r="P368">
        <v>6.5</v>
      </c>
      <c r="Q368" t="s">
        <v>31</v>
      </c>
      <c r="R368">
        <v>0</v>
      </c>
      <c r="S368">
        <v>5</v>
      </c>
      <c r="T368">
        <v>0</v>
      </c>
      <c r="U368">
        <v>0</v>
      </c>
      <c r="V368">
        <v>3</v>
      </c>
      <c r="W368" t="s">
        <v>32</v>
      </c>
      <c r="X368">
        <v>1</v>
      </c>
      <c r="Y368" t="str">
        <f t="shared" si="5"/>
        <v>Low</v>
      </c>
    </row>
    <row r="369" spans="1:25">
      <c r="A369" t="s">
        <v>482</v>
      </c>
      <c r="B369" s="1">
        <v>44931</v>
      </c>
      <c r="C369" s="2">
        <v>3.125E-2</v>
      </c>
      <c r="D369" t="s">
        <v>74</v>
      </c>
      <c r="E369" t="s">
        <v>35</v>
      </c>
      <c r="F369" t="s">
        <v>62</v>
      </c>
      <c r="G369" t="s">
        <v>142</v>
      </c>
      <c r="H369" s="2">
        <v>3.1944444444444442E-2</v>
      </c>
      <c r="I369" s="2">
        <v>5.0694444444444445E-2</v>
      </c>
      <c r="J369">
        <v>8</v>
      </c>
      <c r="K369">
        <v>-3</v>
      </c>
      <c r="L369" t="s">
        <v>84</v>
      </c>
      <c r="M369">
        <v>16</v>
      </c>
      <c r="N369">
        <v>59</v>
      </c>
      <c r="O369">
        <v>3</v>
      </c>
      <c r="P369">
        <v>16</v>
      </c>
      <c r="Q369" t="s">
        <v>71</v>
      </c>
      <c r="R369">
        <v>0</v>
      </c>
      <c r="S369">
        <v>72</v>
      </c>
      <c r="T369">
        <v>0</v>
      </c>
      <c r="U369">
        <v>0</v>
      </c>
      <c r="V369">
        <v>3</v>
      </c>
      <c r="W369" t="s">
        <v>72</v>
      </c>
      <c r="X369">
        <v>0</v>
      </c>
      <c r="Y369" t="str">
        <f t="shared" si="5"/>
        <v>High</v>
      </c>
    </row>
    <row r="370" spans="1:25">
      <c r="A370" t="s">
        <v>483</v>
      </c>
      <c r="B370" s="1">
        <v>44931</v>
      </c>
      <c r="C370" s="2">
        <v>4.1666666666666664E-2</v>
      </c>
      <c r="D370" t="s">
        <v>26</v>
      </c>
      <c r="E370" t="s">
        <v>57</v>
      </c>
      <c r="F370" t="s">
        <v>70</v>
      </c>
      <c r="G370" t="s">
        <v>185</v>
      </c>
      <c r="H370" s="2">
        <v>4.3749999999999997E-2</v>
      </c>
      <c r="I370" s="2">
        <v>7.5694444444444439E-2</v>
      </c>
      <c r="J370">
        <v>12</v>
      </c>
      <c r="K370">
        <v>-2</v>
      </c>
      <c r="L370" t="s">
        <v>54</v>
      </c>
      <c r="M370">
        <v>6.7</v>
      </c>
      <c r="N370">
        <v>68</v>
      </c>
      <c r="O370">
        <v>45</v>
      </c>
      <c r="P370">
        <v>6.8</v>
      </c>
      <c r="Q370" t="s">
        <v>31</v>
      </c>
      <c r="R370">
        <v>0</v>
      </c>
      <c r="S370">
        <v>41</v>
      </c>
      <c r="T370">
        <v>0</v>
      </c>
      <c r="U370">
        <v>0</v>
      </c>
      <c r="V370">
        <v>3</v>
      </c>
      <c r="W370" t="s">
        <v>72</v>
      </c>
      <c r="X370">
        <v>0</v>
      </c>
      <c r="Y370" t="str">
        <f t="shared" si="5"/>
        <v>Medium</v>
      </c>
    </row>
    <row r="371" spans="1:25">
      <c r="A371" t="s">
        <v>484</v>
      </c>
      <c r="B371" s="1">
        <v>44931</v>
      </c>
      <c r="C371" s="2">
        <v>5.2083333333333336E-2</v>
      </c>
      <c r="D371" t="s">
        <v>26</v>
      </c>
      <c r="E371" t="s">
        <v>52</v>
      </c>
      <c r="F371" t="s">
        <v>116</v>
      </c>
      <c r="G371" t="s">
        <v>28</v>
      </c>
      <c r="H371" s="2">
        <v>5.4166666666666669E-2</v>
      </c>
      <c r="I371" s="2">
        <v>7.6388888888888895E-2</v>
      </c>
      <c r="J371">
        <v>10</v>
      </c>
      <c r="K371">
        <v>4</v>
      </c>
      <c r="L371" t="s">
        <v>54</v>
      </c>
      <c r="M371">
        <v>18.8</v>
      </c>
      <c r="N371">
        <v>41</v>
      </c>
      <c r="O371">
        <v>48</v>
      </c>
      <c r="P371">
        <v>5.0999999999999996</v>
      </c>
      <c r="Q371" t="s">
        <v>31</v>
      </c>
      <c r="R371">
        <v>0</v>
      </c>
      <c r="S371">
        <v>71</v>
      </c>
      <c r="T371">
        <v>0</v>
      </c>
      <c r="U371">
        <v>0</v>
      </c>
      <c r="V371">
        <v>3</v>
      </c>
      <c r="W371" t="s">
        <v>72</v>
      </c>
      <c r="X371">
        <v>0</v>
      </c>
      <c r="Y371" t="str">
        <f t="shared" si="5"/>
        <v>High</v>
      </c>
    </row>
    <row r="372" spans="1:25">
      <c r="A372" t="s">
        <v>485</v>
      </c>
      <c r="B372" s="1">
        <v>44931</v>
      </c>
      <c r="C372" s="2">
        <v>6.25E-2</v>
      </c>
      <c r="D372" t="s">
        <v>34</v>
      </c>
      <c r="E372" t="s">
        <v>147</v>
      </c>
      <c r="F372" t="s">
        <v>43</v>
      </c>
      <c r="G372" t="s">
        <v>142</v>
      </c>
      <c r="H372" s="2">
        <v>6.3888888888888884E-2</v>
      </c>
      <c r="I372" s="2">
        <v>9.8611111111111108E-2</v>
      </c>
      <c r="J372">
        <v>2</v>
      </c>
      <c r="K372">
        <v>18</v>
      </c>
      <c r="L372" t="s">
        <v>45</v>
      </c>
      <c r="M372">
        <v>-3.9</v>
      </c>
      <c r="N372">
        <v>88</v>
      </c>
      <c r="O372">
        <v>27</v>
      </c>
      <c r="P372">
        <v>4.4000000000000004</v>
      </c>
      <c r="Q372" t="s">
        <v>71</v>
      </c>
      <c r="R372">
        <v>2000</v>
      </c>
      <c r="S372">
        <v>31</v>
      </c>
      <c r="T372">
        <v>0</v>
      </c>
      <c r="U372">
        <v>0</v>
      </c>
      <c r="V372">
        <v>3</v>
      </c>
      <c r="W372" t="s">
        <v>72</v>
      </c>
      <c r="X372">
        <v>1</v>
      </c>
      <c r="Y372" t="str">
        <f t="shared" si="5"/>
        <v>Low</v>
      </c>
    </row>
    <row r="373" spans="1:25">
      <c r="A373" t="s">
        <v>486</v>
      </c>
      <c r="B373" s="1">
        <v>44931</v>
      </c>
      <c r="C373" s="2">
        <v>7.2916666666666671E-2</v>
      </c>
      <c r="D373" t="s">
        <v>34</v>
      </c>
      <c r="E373" t="s">
        <v>130</v>
      </c>
      <c r="F373" t="s">
        <v>91</v>
      </c>
      <c r="G373" t="s">
        <v>29</v>
      </c>
      <c r="H373" s="2">
        <v>7.4305555555555555E-2</v>
      </c>
      <c r="I373" s="2">
        <v>8.7499999999999994E-2</v>
      </c>
      <c r="J373">
        <v>1</v>
      </c>
      <c r="K373">
        <v>21</v>
      </c>
      <c r="L373" t="s">
        <v>30</v>
      </c>
      <c r="M373">
        <v>-2.4</v>
      </c>
      <c r="N373">
        <v>73</v>
      </c>
      <c r="O373">
        <v>36</v>
      </c>
      <c r="P373">
        <v>4</v>
      </c>
      <c r="Q373" t="s">
        <v>31</v>
      </c>
      <c r="R373">
        <v>500</v>
      </c>
      <c r="S373">
        <v>14</v>
      </c>
      <c r="T373">
        <v>0</v>
      </c>
      <c r="U373">
        <v>0</v>
      </c>
      <c r="V373">
        <v>3</v>
      </c>
      <c r="W373" t="s">
        <v>72</v>
      </c>
      <c r="X373">
        <v>1</v>
      </c>
      <c r="Y373" t="str">
        <f t="shared" si="5"/>
        <v>Low</v>
      </c>
    </row>
    <row r="374" spans="1:25">
      <c r="A374" t="s">
        <v>487</v>
      </c>
      <c r="B374" s="1">
        <v>44931</v>
      </c>
      <c r="C374" s="2">
        <v>8.3333333333333329E-2</v>
      </c>
      <c r="D374" t="s">
        <v>74</v>
      </c>
      <c r="E374" t="s">
        <v>68</v>
      </c>
      <c r="F374" t="s">
        <v>99</v>
      </c>
      <c r="G374" t="s">
        <v>135</v>
      </c>
      <c r="H374" s="2">
        <v>8.4027777777777785E-2</v>
      </c>
      <c r="I374" s="2">
        <v>0.10625</v>
      </c>
      <c r="J374">
        <v>10</v>
      </c>
      <c r="K374">
        <v>-2</v>
      </c>
      <c r="L374" t="s">
        <v>54</v>
      </c>
      <c r="M374">
        <v>24.4</v>
      </c>
      <c r="N374">
        <v>33</v>
      </c>
      <c r="O374">
        <v>12</v>
      </c>
      <c r="P374">
        <v>14.7</v>
      </c>
      <c r="Q374" t="s">
        <v>31</v>
      </c>
      <c r="R374">
        <v>0</v>
      </c>
      <c r="S374">
        <v>81</v>
      </c>
      <c r="T374">
        <v>0</v>
      </c>
      <c r="U374">
        <v>0</v>
      </c>
      <c r="V374">
        <v>3</v>
      </c>
      <c r="W374" t="s">
        <v>55</v>
      </c>
      <c r="X374">
        <v>0</v>
      </c>
      <c r="Y374" t="str">
        <f t="shared" si="5"/>
        <v>High</v>
      </c>
    </row>
    <row r="375" spans="1:25">
      <c r="A375" t="s">
        <v>488</v>
      </c>
      <c r="B375" s="1">
        <v>44931</v>
      </c>
      <c r="C375" s="2">
        <v>9.375E-2</v>
      </c>
      <c r="D375" t="s">
        <v>34</v>
      </c>
      <c r="E375" t="s">
        <v>89</v>
      </c>
      <c r="F375" t="s">
        <v>128</v>
      </c>
      <c r="G375" t="s">
        <v>203</v>
      </c>
      <c r="H375" s="2">
        <v>9.5138888888888884E-2</v>
      </c>
      <c r="I375" s="2">
        <v>0.1076388888888889</v>
      </c>
      <c r="J375">
        <v>6</v>
      </c>
      <c r="K375">
        <v>5</v>
      </c>
      <c r="L375" t="s">
        <v>30</v>
      </c>
      <c r="M375">
        <v>7.9</v>
      </c>
      <c r="N375">
        <v>65</v>
      </c>
      <c r="O375">
        <v>56</v>
      </c>
      <c r="P375">
        <v>17.8</v>
      </c>
      <c r="Q375" t="s">
        <v>31</v>
      </c>
      <c r="R375">
        <v>0</v>
      </c>
      <c r="S375">
        <v>86</v>
      </c>
      <c r="T375">
        <v>0</v>
      </c>
      <c r="U375">
        <v>0</v>
      </c>
      <c r="V375">
        <v>3</v>
      </c>
      <c r="W375" t="s">
        <v>32</v>
      </c>
      <c r="X375">
        <v>0</v>
      </c>
      <c r="Y375" t="str">
        <f t="shared" si="5"/>
        <v>High</v>
      </c>
    </row>
    <row r="376" spans="1:25">
      <c r="A376" t="s">
        <v>489</v>
      </c>
      <c r="B376" s="1">
        <v>44931</v>
      </c>
      <c r="C376" s="2">
        <v>0.10416666666666667</v>
      </c>
      <c r="D376" t="s">
        <v>41</v>
      </c>
      <c r="E376" t="s">
        <v>68</v>
      </c>
      <c r="F376" t="s">
        <v>168</v>
      </c>
      <c r="G376" t="s">
        <v>69</v>
      </c>
      <c r="H376" s="2">
        <v>0.10555555555555556</v>
      </c>
      <c r="I376" s="2">
        <v>0.13541666666666666</v>
      </c>
      <c r="J376">
        <v>14</v>
      </c>
      <c r="K376">
        <v>5</v>
      </c>
      <c r="L376" t="s">
        <v>38</v>
      </c>
      <c r="M376">
        <v>8.9</v>
      </c>
      <c r="N376">
        <v>77</v>
      </c>
      <c r="O376">
        <v>2</v>
      </c>
      <c r="P376">
        <v>4.5999999999999996</v>
      </c>
      <c r="Q376" t="s">
        <v>31</v>
      </c>
      <c r="R376">
        <v>0</v>
      </c>
      <c r="S376">
        <v>68</v>
      </c>
      <c r="T376">
        <v>0</v>
      </c>
      <c r="U376">
        <v>0</v>
      </c>
      <c r="V376">
        <v>3</v>
      </c>
      <c r="W376" t="s">
        <v>72</v>
      </c>
      <c r="X376">
        <v>0</v>
      </c>
      <c r="Y376" t="str">
        <f t="shared" si="5"/>
        <v>High</v>
      </c>
    </row>
    <row r="377" spans="1:25">
      <c r="A377" t="s">
        <v>490</v>
      </c>
      <c r="B377" s="1">
        <v>44931</v>
      </c>
      <c r="C377" s="2">
        <v>0.11458333333333333</v>
      </c>
      <c r="D377" t="s">
        <v>34</v>
      </c>
      <c r="E377" t="s">
        <v>89</v>
      </c>
      <c r="F377" t="s">
        <v>76</v>
      </c>
      <c r="G377" t="s">
        <v>168</v>
      </c>
      <c r="H377" s="2">
        <v>0.11597222222222223</v>
      </c>
      <c r="I377" s="2">
        <v>0.1451388888888889</v>
      </c>
      <c r="J377">
        <v>-1</v>
      </c>
      <c r="K377">
        <v>9</v>
      </c>
      <c r="L377" t="s">
        <v>77</v>
      </c>
      <c r="M377">
        <v>3.3</v>
      </c>
      <c r="N377">
        <v>43</v>
      </c>
      <c r="O377">
        <v>36</v>
      </c>
      <c r="P377">
        <v>1.7</v>
      </c>
      <c r="Q377" t="s">
        <v>31</v>
      </c>
      <c r="R377">
        <v>2000</v>
      </c>
      <c r="S377">
        <v>26</v>
      </c>
      <c r="T377">
        <v>0</v>
      </c>
      <c r="U377">
        <v>0</v>
      </c>
      <c r="V377">
        <v>3</v>
      </c>
      <c r="W377" t="s">
        <v>55</v>
      </c>
      <c r="X377">
        <v>1</v>
      </c>
      <c r="Y377" t="str">
        <f t="shared" si="5"/>
        <v>Low</v>
      </c>
    </row>
    <row r="378" spans="1:25">
      <c r="A378" t="s">
        <v>491</v>
      </c>
      <c r="B378" s="1">
        <v>44931</v>
      </c>
      <c r="C378" s="2">
        <v>0.125</v>
      </c>
      <c r="D378" t="s">
        <v>34</v>
      </c>
      <c r="E378" t="s">
        <v>104</v>
      </c>
      <c r="F378" t="s">
        <v>122</v>
      </c>
      <c r="G378" t="s">
        <v>75</v>
      </c>
      <c r="H378" s="2">
        <v>0.12708333333333333</v>
      </c>
      <c r="I378" s="2">
        <v>0.14930555555555555</v>
      </c>
      <c r="J378">
        <v>2</v>
      </c>
      <c r="K378">
        <v>2</v>
      </c>
      <c r="L378" t="s">
        <v>45</v>
      </c>
      <c r="M378">
        <v>12.8</v>
      </c>
      <c r="N378">
        <v>78</v>
      </c>
      <c r="O378">
        <v>47</v>
      </c>
      <c r="P378">
        <v>6.3</v>
      </c>
      <c r="Q378" t="s">
        <v>31</v>
      </c>
      <c r="R378">
        <v>10000</v>
      </c>
      <c r="S378">
        <v>96</v>
      </c>
      <c r="T378">
        <v>0</v>
      </c>
      <c r="U378">
        <v>0</v>
      </c>
      <c r="V378">
        <v>3</v>
      </c>
      <c r="W378" t="s">
        <v>55</v>
      </c>
      <c r="X378">
        <v>0</v>
      </c>
      <c r="Y378" t="str">
        <f t="shared" si="5"/>
        <v>High</v>
      </c>
    </row>
    <row r="379" spans="1:25">
      <c r="A379" t="s">
        <v>492</v>
      </c>
      <c r="B379" s="1">
        <v>44931</v>
      </c>
      <c r="C379" s="2">
        <v>0.13541666666666666</v>
      </c>
      <c r="D379" t="s">
        <v>41</v>
      </c>
      <c r="E379" t="s">
        <v>89</v>
      </c>
      <c r="F379" t="s">
        <v>66</v>
      </c>
      <c r="G379" t="s">
        <v>142</v>
      </c>
      <c r="H379" s="2">
        <v>0.1361111111111111</v>
      </c>
      <c r="I379" s="2">
        <v>0.15902777777777777</v>
      </c>
      <c r="J379">
        <v>13</v>
      </c>
      <c r="K379">
        <v>26</v>
      </c>
      <c r="L379" t="s">
        <v>84</v>
      </c>
      <c r="M379">
        <v>-2.9</v>
      </c>
      <c r="N379">
        <v>96</v>
      </c>
      <c r="O379">
        <v>18</v>
      </c>
      <c r="P379">
        <v>13.2</v>
      </c>
      <c r="Q379" t="s">
        <v>31</v>
      </c>
      <c r="R379">
        <v>0</v>
      </c>
      <c r="S379">
        <v>65</v>
      </c>
      <c r="T379">
        <v>0</v>
      </c>
      <c r="U379">
        <v>0</v>
      </c>
      <c r="V379">
        <v>3</v>
      </c>
      <c r="W379" t="s">
        <v>72</v>
      </c>
      <c r="X379">
        <v>1</v>
      </c>
      <c r="Y379" t="str">
        <f t="shared" si="5"/>
        <v>Medium</v>
      </c>
    </row>
    <row r="380" spans="1:25">
      <c r="A380" t="s">
        <v>493</v>
      </c>
      <c r="B380" s="1">
        <v>44931</v>
      </c>
      <c r="C380" s="2">
        <v>0.14583333333333334</v>
      </c>
      <c r="D380" t="s">
        <v>74</v>
      </c>
      <c r="E380" t="s">
        <v>79</v>
      </c>
      <c r="F380" t="s">
        <v>116</v>
      </c>
      <c r="G380" t="s">
        <v>194</v>
      </c>
      <c r="H380" s="2">
        <v>0.14791666666666667</v>
      </c>
      <c r="I380" s="2">
        <v>0.17708333333333334</v>
      </c>
      <c r="J380">
        <v>4</v>
      </c>
      <c r="K380">
        <v>11</v>
      </c>
      <c r="L380" t="s">
        <v>38</v>
      </c>
      <c r="M380">
        <v>7</v>
      </c>
      <c r="N380">
        <v>38</v>
      </c>
      <c r="O380">
        <v>27</v>
      </c>
      <c r="P380">
        <v>7.4</v>
      </c>
      <c r="Q380" t="s">
        <v>101</v>
      </c>
      <c r="R380">
        <v>0</v>
      </c>
      <c r="S380">
        <v>58</v>
      </c>
      <c r="T380">
        <v>0</v>
      </c>
      <c r="U380">
        <v>1</v>
      </c>
      <c r="V380">
        <v>3</v>
      </c>
      <c r="W380" t="s">
        <v>39</v>
      </c>
      <c r="X380">
        <v>1</v>
      </c>
      <c r="Y380" t="str">
        <f t="shared" si="5"/>
        <v>Medium</v>
      </c>
    </row>
    <row r="381" spans="1:25">
      <c r="A381" t="s">
        <v>494</v>
      </c>
      <c r="B381" s="1">
        <v>44931</v>
      </c>
      <c r="C381" s="2">
        <v>0.15625</v>
      </c>
      <c r="D381" t="s">
        <v>41</v>
      </c>
      <c r="E381" t="s">
        <v>35</v>
      </c>
      <c r="F381" t="s">
        <v>118</v>
      </c>
      <c r="G381" t="s">
        <v>176</v>
      </c>
      <c r="H381" s="2">
        <v>0.15902777777777777</v>
      </c>
      <c r="I381" s="2">
        <v>0.18055555555555555</v>
      </c>
      <c r="J381">
        <v>-2</v>
      </c>
      <c r="K381">
        <v>11</v>
      </c>
      <c r="L381" t="s">
        <v>45</v>
      </c>
      <c r="M381">
        <v>16.100000000000001</v>
      </c>
      <c r="N381">
        <v>50</v>
      </c>
      <c r="O381">
        <v>18</v>
      </c>
      <c r="P381">
        <v>11</v>
      </c>
      <c r="Q381" t="s">
        <v>46</v>
      </c>
      <c r="R381">
        <v>0</v>
      </c>
      <c r="S381">
        <v>27</v>
      </c>
      <c r="T381">
        <v>0</v>
      </c>
      <c r="U381">
        <v>0</v>
      </c>
      <c r="V381">
        <v>3</v>
      </c>
      <c r="W381" t="s">
        <v>72</v>
      </c>
      <c r="X381">
        <v>1</v>
      </c>
      <c r="Y381" t="str">
        <f t="shared" si="5"/>
        <v>Low</v>
      </c>
    </row>
    <row r="382" spans="1:25">
      <c r="A382" t="s">
        <v>495</v>
      </c>
      <c r="B382" s="1">
        <v>44931</v>
      </c>
      <c r="C382" s="2">
        <v>0.16666666666666666</v>
      </c>
      <c r="D382" t="s">
        <v>34</v>
      </c>
      <c r="E382" t="s">
        <v>52</v>
      </c>
      <c r="F382" t="s">
        <v>109</v>
      </c>
      <c r="G382" t="s">
        <v>37</v>
      </c>
      <c r="H382" s="2">
        <v>0.16875000000000001</v>
      </c>
      <c r="I382" s="2">
        <v>0.18958333333333333</v>
      </c>
      <c r="J382">
        <v>9</v>
      </c>
      <c r="K382">
        <v>3</v>
      </c>
      <c r="L382" t="s">
        <v>45</v>
      </c>
      <c r="M382">
        <v>13.6</v>
      </c>
      <c r="N382">
        <v>45</v>
      </c>
      <c r="O382">
        <v>16</v>
      </c>
      <c r="P382">
        <v>14.9</v>
      </c>
      <c r="Q382" t="s">
        <v>71</v>
      </c>
      <c r="R382">
        <v>50000</v>
      </c>
      <c r="S382">
        <v>23</v>
      </c>
      <c r="T382">
        <v>0</v>
      </c>
      <c r="U382">
        <v>0</v>
      </c>
      <c r="V382">
        <v>3</v>
      </c>
      <c r="W382" t="s">
        <v>55</v>
      </c>
      <c r="X382">
        <v>0</v>
      </c>
      <c r="Y382" t="str">
        <f t="shared" si="5"/>
        <v>Low</v>
      </c>
    </row>
    <row r="383" spans="1:25">
      <c r="A383" t="s">
        <v>496</v>
      </c>
      <c r="B383" s="1">
        <v>44931</v>
      </c>
      <c r="C383" s="2">
        <v>0.17708333333333334</v>
      </c>
      <c r="D383" t="s">
        <v>74</v>
      </c>
      <c r="E383" t="s">
        <v>52</v>
      </c>
      <c r="F383" t="s">
        <v>37</v>
      </c>
      <c r="G383" t="s">
        <v>53</v>
      </c>
      <c r="H383" s="2">
        <v>0.17986111111111111</v>
      </c>
      <c r="I383" s="2">
        <v>0.21041666666666667</v>
      </c>
      <c r="J383">
        <v>18</v>
      </c>
      <c r="K383">
        <v>7</v>
      </c>
      <c r="L383" t="s">
        <v>84</v>
      </c>
      <c r="M383">
        <v>35</v>
      </c>
      <c r="N383">
        <v>45</v>
      </c>
      <c r="O383">
        <v>17</v>
      </c>
      <c r="P383">
        <v>8.1999999999999993</v>
      </c>
      <c r="Q383" t="s">
        <v>31</v>
      </c>
      <c r="R383">
        <v>0</v>
      </c>
      <c r="S383">
        <v>50</v>
      </c>
      <c r="T383">
        <v>0</v>
      </c>
      <c r="U383">
        <v>0</v>
      </c>
      <c r="V383">
        <v>3</v>
      </c>
      <c r="W383" t="s">
        <v>72</v>
      </c>
      <c r="X383">
        <v>1</v>
      </c>
      <c r="Y383" t="str">
        <f t="shared" si="5"/>
        <v>Medium</v>
      </c>
    </row>
    <row r="384" spans="1:25">
      <c r="A384" t="s">
        <v>497</v>
      </c>
      <c r="B384" s="1">
        <v>44931</v>
      </c>
      <c r="C384" s="2">
        <v>0.1875</v>
      </c>
      <c r="D384" t="s">
        <v>34</v>
      </c>
      <c r="E384" t="s">
        <v>79</v>
      </c>
      <c r="F384" t="s">
        <v>148</v>
      </c>
      <c r="G384" t="s">
        <v>99</v>
      </c>
      <c r="H384" s="2">
        <v>0.1875</v>
      </c>
      <c r="I384" s="2">
        <v>0.21736111111111112</v>
      </c>
      <c r="J384">
        <v>8</v>
      </c>
      <c r="K384">
        <v>-2</v>
      </c>
      <c r="L384" t="s">
        <v>84</v>
      </c>
      <c r="M384">
        <v>10.6</v>
      </c>
      <c r="N384">
        <v>57</v>
      </c>
      <c r="O384">
        <v>17</v>
      </c>
      <c r="P384">
        <v>20</v>
      </c>
      <c r="Q384" t="s">
        <v>31</v>
      </c>
      <c r="R384">
        <v>0</v>
      </c>
      <c r="S384">
        <v>20</v>
      </c>
      <c r="T384">
        <v>0</v>
      </c>
      <c r="U384">
        <v>0</v>
      </c>
      <c r="V384">
        <v>3</v>
      </c>
      <c r="W384" t="s">
        <v>55</v>
      </c>
      <c r="X384">
        <v>0</v>
      </c>
      <c r="Y384" t="str">
        <f t="shared" si="5"/>
        <v>Low</v>
      </c>
    </row>
    <row r="385" spans="1:25">
      <c r="A385" t="s">
        <v>498</v>
      </c>
      <c r="B385" s="1">
        <v>44931</v>
      </c>
      <c r="C385" s="2">
        <v>0.19791666666666666</v>
      </c>
      <c r="D385" t="s">
        <v>41</v>
      </c>
      <c r="E385" t="s">
        <v>126</v>
      </c>
      <c r="F385" t="s">
        <v>43</v>
      </c>
      <c r="G385" t="s">
        <v>69</v>
      </c>
      <c r="H385" s="2">
        <v>0.19791666666666666</v>
      </c>
      <c r="I385" s="2">
        <v>0.22152777777777777</v>
      </c>
      <c r="J385">
        <v>9</v>
      </c>
      <c r="K385">
        <v>6</v>
      </c>
      <c r="L385" t="s">
        <v>30</v>
      </c>
      <c r="M385">
        <v>10.5</v>
      </c>
      <c r="N385">
        <v>80</v>
      </c>
      <c r="O385">
        <v>56</v>
      </c>
      <c r="P385">
        <v>6</v>
      </c>
      <c r="Q385" t="s">
        <v>31</v>
      </c>
      <c r="R385">
        <v>0</v>
      </c>
      <c r="S385">
        <v>30</v>
      </c>
      <c r="T385">
        <v>0</v>
      </c>
      <c r="U385">
        <v>1</v>
      </c>
      <c r="V385">
        <v>3</v>
      </c>
      <c r="W385" t="s">
        <v>72</v>
      </c>
      <c r="X385">
        <v>1</v>
      </c>
      <c r="Y385" t="str">
        <f t="shared" si="5"/>
        <v>Low</v>
      </c>
    </row>
    <row r="386" spans="1:25">
      <c r="A386" t="s">
        <v>499</v>
      </c>
      <c r="B386" s="1">
        <v>44931</v>
      </c>
      <c r="C386" s="2">
        <v>0.20833333333333334</v>
      </c>
      <c r="D386" t="s">
        <v>41</v>
      </c>
      <c r="E386" t="s">
        <v>27</v>
      </c>
      <c r="F386" t="s">
        <v>194</v>
      </c>
      <c r="G386" t="s">
        <v>90</v>
      </c>
      <c r="H386" s="2">
        <v>0.21111111111111111</v>
      </c>
      <c r="I386" s="2">
        <v>0.23472222222222222</v>
      </c>
      <c r="J386">
        <v>16</v>
      </c>
      <c r="K386">
        <v>13</v>
      </c>
      <c r="L386" t="s">
        <v>77</v>
      </c>
      <c r="M386">
        <v>15.1</v>
      </c>
      <c r="N386">
        <v>85</v>
      </c>
      <c r="O386">
        <v>22</v>
      </c>
      <c r="P386">
        <v>19.600000000000001</v>
      </c>
      <c r="Q386" t="s">
        <v>59</v>
      </c>
      <c r="R386">
        <v>0</v>
      </c>
      <c r="S386">
        <v>74</v>
      </c>
      <c r="T386">
        <v>0</v>
      </c>
      <c r="U386">
        <v>0</v>
      </c>
      <c r="V386">
        <v>3</v>
      </c>
      <c r="W386" t="s">
        <v>55</v>
      </c>
      <c r="X386">
        <v>1</v>
      </c>
      <c r="Y386" t="str">
        <f t="shared" ref="Y386:Y449" si="6">IF(S386&lt;=33,"Low",IF(S386&lt;=66,"Medium","High"))</f>
        <v>High</v>
      </c>
    </row>
    <row r="387" spans="1:25">
      <c r="A387" t="s">
        <v>500</v>
      </c>
      <c r="B387" s="1">
        <v>44931</v>
      </c>
      <c r="C387" s="2">
        <v>0.21875</v>
      </c>
      <c r="D387" t="s">
        <v>34</v>
      </c>
      <c r="E387" t="s">
        <v>104</v>
      </c>
      <c r="F387" t="s">
        <v>36</v>
      </c>
      <c r="G387" t="s">
        <v>151</v>
      </c>
      <c r="H387" s="2">
        <v>0.22152777777777777</v>
      </c>
      <c r="I387" s="2">
        <v>0.23749999999999999</v>
      </c>
      <c r="J387">
        <v>9</v>
      </c>
      <c r="K387">
        <v>3</v>
      </c>
      <c r="L387" t="s">
        <v>38</v>
      </c>
      <c r="M387">
        <v>2.6</v>
      </c>
      <c r="N387">
        <v>86</v>
      </c>
      <c r="O387">
        <v>39</v>
      </c>
      <c r="P387">
        <v>4.0999999999999996</v>
      </c>
      <c r="Q387" t="s">
        <v>31</v>
      </c>
      <c r="R387">
        <v>500</v>
      </c>
      <c r="S387">
        <v>49</v>
      </c>
      <c r="T387">
        <v>0</v>
      </c>
      <c r="U387">
        <v>0</v>
      </c>
      <c r="V387">
        <v>3</v>
      </c>
      <c r="W387" t="s">
        <v>72</v>
      </c>
      <c r="X387">
        <v>0</v>
      </c>
      <c r="Y387" t="str">
        <f t="shared" si="6"/>
        <v>Medium</v>
      </c>
    </row>
    <row r="388" spans="1:25">
      <c r="A388" t="s">
        <v>501</v>
      </c>
      <c r="B388" s="1">
        <v>44931</v>
      </c>
      <c r="C388" s="2">
        <v>0.22916666666666666</v>
      </c>
      <c r="D388" t="s">
        <v>26</v>
      </c>
      <c r="E388" t="s">
        <v>147</v>
      </c>
      <c r="F388" t="s">
        <v>91</v>
      </c>
      <c r="G388" t="s">
        <v>99</v>
      </c>
      <c r="H388" s="2">
        <v>0.23125000000000001</v>
      </c>
      <c r="I388" s="2">
        <v>0.26597222222222222</v>
      </c>
      <c r="J388">
        <v>9</v>
      </c>
      <c r="K388">
        <v>0</v>
      </c>
      <c r="L388" t="s">
        <v>77</v>
      </c>
      <c r="M388">
        <v>30.1</v>
      </c>
      <c r="N388">
        <v>81</v>
      </c>
      <c r="O388">
        <v>49</v>
      </c>
      <c r="P388">
        <v>2.2000000000000002</v>
      </c>
      <c r="Q388" t="s">
        <v>31</v>
      </c>
      <c r="R388">
        <v>0</v>
      </c>
      <c r="S388">
        <v>91</v>
      </c>
      <c r="T388">
        <v>1</v>
      </c>
      <c r="U388">
        <v>1</v>
      </c>
      <c r="V388">
        <v>3</v>
      </c>
      <c r="W388" t="s">
        <v>39</v>
      </c>
      <c r="X388">
        <v>0</v>
      </c>
      <c r="Y388" t="str">
        <f t="shared" si="6"/>
        <v>High</v>
      </c>
    </row>
    <row r="389" spans="1:25">
      <c r="A389" t="s">
        <v>502</v>
      </c>
      <c r="B389" s="1">
        <v>44931</v>
      </c>
      <c r="C389" s="2">
        <v>0.23958333333333334</v>
      </c>
      <c r="D389" t="s">
        <v>26</v>
      </c>
      <c r="E389" t="s">
        <v>126</v>
      </c>
      <c r="F389" t="s">
        <v>81</v>
      </c>
      <c r="G389" t="s">
        <v>118</v>
      </c>
      <c r="H389" s="2">
        <v>0.24236111111111111</v>
      </c>
      <c r="I389" s="2">
        <v>0.25416666666666665</v>
      </c>
      <c r="J389">
        <v>11</v>
      </c>
      <c r="K389">
        <v>27</v>
      </c>
      <c r="L389" t="s">
        <v>38</v>
      </c>
      <c r="M389">
        <v>17.899999999999999</v>
      </c>
      <c r="N389">
        <v>75</v>
      </c>
      <c r="O389">
        <v>8</v>
      </c>
      <c r="P389">
        <v>15</v>
      </c>
      <c r="Q389" t="s">
        <v>31</v>
      </c>
      <c r="R389">
        <v>0</v>
      </c>
      <c r="S389">
        <v>39</v>
      </c>
      <c r="T389">
        <v>0</v>
      </c>
      <c r="U389">
        <v>0</v>
      </c>
      <c r="V389">
        <v>3</v>
      </c>
      <c r="W389" t="s">
        <v>39</v>
      </c>
      <c r="X389">
        <v>1</v>
      </c>
      <c r="Y389" t="str">
        <f t="shared" si="6"/>
        <v>Medium</v>
      </c>
    </row>
    <row r="390" spans="1:25">
      <c r="A390" t="s">
        <v>503</v>
      </c>
      <c r="B390" s="1">
        <v>44931</v>
      </c>
      <c r="C390" s="2">
        <v>0.25</v>
      </c>
      <c r="D390" t="s">
        <v>41</v>
      </c>
      <c r="E390" t="s">
        <v>42</v>
      </c>
      <c r="F390" t="s">
        <v>81</v>
      </c>
      <c r="G390" t="s">
        <v>95</v>
      </c>
      <c r="H390" s="2">
        <v>0.25069444444444444</v>
      </c>
      <c r="I390" s="2">
        <v>0.28194444444444444</v>
      </c>
      <c r="J390">
        <v>-1</v>
      </c>
      <c r="K390">
        <v>21</v>
      </c>
      <c r="L390" t="s">
        <v>45</v>
      </c>
      <c r="M390">
        <v>2.7</v>
      </c>
      <c r="N390">
        <v>67</v>
      </c>
      <c r="O390">
        <v>28</v>
      </c>
      <c r="P390">
        <v>14</v>
      </c>
      <c r="Q390" t="s">
        <v>101</v>
      </c>
      <c r="R390">
        <v>500</v>
      </c>
      <c r="S390">
        <v>67</v>
      </c>
      <c r="T390">
        <v>1</v>
      </c>
      <c r="U390">
        <v>0</v>
      </c>
      <c r="V390">
        <v>3</v>
      </c>
      <c r="W390" t="s">
        <v>55</v>
      </c>
      <c r="X390">
        <v>1</v>
      </c>
      <c r="Y390" t="str">
        <f t="shared" si="6"/>
        <v>High</v>
      </c>
    </row>
    <row r="391" spans="1:25">
      <c r="A391" t="s">
        <v>504</v>
      </c>
      <c r="B391" s="1">
        <v>44931</v>
      </c>
      <c r="C391" s="2">
        <v>0.26041666666666669</v>
      </c>
      <c r="D391" t="s">
        <v>41</v>
      </c>
      <c r="E391" t="s">
        <v>157</v>
      </c>
      <c r="F391" t="s">
        <v>163</v>
      </c>
      <c r="G391" t="s">
        <v>168</v>
      </c>
      <c r="H391" s="2">
        <v>0.26041666666666669</v>
      </c>
      <c r="I391" s="2">
        <v>0.28055555555555556</v>
      </c>
      <c r="J391">
        <v>-1</v>
      </c>
      <c r="K391">
        <v>9</v>
      </c>
      <c r="L391" t="s">
        <v>54</v>
      </c>
      <c r="M391">
        <v>26.7</v>
      </c>
      <c r="N391">
        <v>77</v>
      </c>
      <c r="O391">
        <v>50</v>
      </c>
      <c r="P391">
        <v>16.2</v>
      </c>
      <c r="Q391" t="s">
        <v>101</v>
      </c>
      <c r="R391">
        <v>0</v>
      </c>
      <c r="S391">
        <v>15</v>
      </c>
      <c r="T391">
        <v>0</v>
      </c>
      <c r="U391">
        <v>1</v>
      </c>
      <c r="V391">
        <v>3</v>
      </c>
      <c r="W391" t="s">
        <v>39</v>
      </c>
      <c r="X391">
        <v>1</v>
      </c>
      <c r="Y391" t="str">
        <f t="shared" si="6"/>
        <v>Low</v>
      </c>
    </row>
    <row r="392" spans="1:25">
      <c r="A392" t="s">
        <v>505</v>
      </c>
      <c r="B392" s="1">
        <v>44931</v>
      </c>
      <c r="C392" s="2">
        <v>0.27083333333333331</v>
      </c>
      <c r="D392" t="s">
        <v>26</v>
      </c>
      <c r="E392" t="s">
        <v>68</v>
      </c>
      <c r="F392" t="s">
        <v>123</v>
      </c>
      <c r="G392" t="s">
        <v>116</v>
      </c>
      <c r="H392" s="2">
        <v>0.27083333333333331</v>
      </c>
      <c r="I392" s="2">
        <v>0.30833333333333335</v>
      </c>
      <c r="J392">
        <v>1</v>
      </c>
      <c r="K392">
        <v>14</v>
      </c>
      <c r="L392" t="s">
        <v>54</v>
      </c>
      <c r="M392">
        <v>-3.6</v>
      </c>
      <c r="N392">
        <v>70</v>
      </c>
      <c r="O392">
        <v>41</v>
      </c>
      <c r="P392">
        <v>6.9</v>
      </c>
      <c r="Q392" t="s">
        <v>31</v>
      </c>
      <c r="R392">
        <v>0</v>
      </c>
      <c r="S392">
        <v>75</v>
      </c>
      <c r="T392">
        <v>0</v>
      </c>
      <c r="U392">
        <v>1</v>
      </c>
      <c r="V392">
        <v>3</v>
      </c>
      <c r="W392" t="s">
        <v>39</v>
      </c>
      <c r="X392">
        <v>1</v>
      </c>
      <c r="Y392" t="str">
        <f t="shared" si="6"/>
        <v>High</v>
      </c>
    </row>
    <row r="393" spans="1:25">
      <c r="A393" t="s">
        <v>506</v>
      </c>
      <c r="B393" s="1">
        <v>44931</v>
      </c>
      <c r="C393" s="2">
        <v>0.28125</v>
      </c>
      <c r="D393" t="s">
        <v>26</v>
      </c>
      <c r="E393" t="s">
        <v>130</v>
      </c>
      <c r="F393" t="s">
        <v>123</v>
      </c>
      <c r="G393" t="s">
        <v>75</v>
      </c>
      <c r="H393" s="2">
        <v>0.28402777777777777</v>
      </c>
      <c r="I393" s="2">
        <v>0.31041666666666667</v>
      </c>
      <c r="J393">
        <v>17</v>
      </c>
      <c r="K393">
        <v>17</v>
      </c>
      <c r="L393" t="s">
        <v>84</v>
      </c>
      <c r="M393">
        <v>34.299999999999997</v>
      </c>
      <c r="N393">
        <v>88</v>
      </c>
      <c r="O393">
        <v>28</v>
      </c>
      <c r="P393">
        <v>18.600000000000001</v>
      </c>
      <c r="Q393" t="s">
        <v>46</v>
      </c>
      <c r="R393">
        <v>0</v>
      </c>
      <c r="S393">
        <v>85</v>
      </c>
      <c r="T393">
        <v>0</v>
      </c>
      <c r="U393">
        <v>0</v>
      </c>
      <c r="V393">
        <v>3</v>
      </c>
      <c r="W393" t="s">
        <v>32</v>
      </c>
      <c r="X393">
        <v>1</v>
      </c>
      <c r="Y393" t="str">
        <f t="shared" si="6"/>
        <v>High</v>
      </c>
    </row>
    <row r="394" spans="1:25">
      <c r="A394" t="s">
        <v>507</v>
      </c>
      <c r="B394" s="1">
        <v>44931</v>
      </c>
      <c r="C394" s="2">
        <v>0.29166666666666669</v>
      </c>
      <c r="D394" t="s">
        <v>34</v>
      </c>
      <c r="E394" t="s">
        <v>89</v>
      </c>
      <c r="F394" t="s">
        <v>36</v>
      </c>
      <c r="G394" t="s">
        <v>58</v>
      </c>
      <c r="H394" s="2">
        <v>0.29305555555555557</v>
      </c>
      <c r="I394" s="2">
        <v>0.31041666666666667</v>
      </c>
      <c r="J394">
        <v>13</v>
      </c>
      <c r="K394">
        <v>-3</v>
      </c>
      <c r="L394" t="s">
        <v>84</v>
      </c>
      <c r="M394">
        <v>29.6</v>
      </c>
      <c r="N394">
        <v>96</v>
      </c>
      <c r="O394">
        <v>1</v>
      </c>
      <c r="P394">
        <v>2.4</v>
      </c>
      <c r="Q394" t="s">
        <v>31</v>
      </c>
      <c r="R394">
        <v>2000</v>
      </c>
      <c r="S394">
        <v>98</v>
      </c>
      <c r="T394">
        <v>0</v>
      </c>
      <c r="U394">
        <v>0</v>
      </c>
      <c r="V394">
        <v>3</v>
      </c>
      <c r="W394" t="s">
        <v>72</v>
      </c>
      <c r="X394">
        <v>0</v>
      </c>
      <c r="Y394" t="str">
        <f t="shared" si="6"/>
        <v>High</v>
      </c>
    </row>
    <row r="395" spans="1:25">
      <c r="A395" t="s">
        <v>508</v>
      </c>
      <c r="B395" s="1">
        <v>44931</v>
      </c>
      <c r="C395" s="2">
        <v>0.30208333333333331</v>
      </c>
      <c r="D395" t="s">
        <v>34</v>
      </c>
      <c r="E395" t="s">
        <v>98</v>
      </c>
      <c r="F395" t="s">
        <v>185</v>
      </c>
      <c r="G395" t="s">
        <v>142</v>
      </c>
      <c r="H395" s="2">
        <v>0.3034722222222222</v>
      </c>
      <c r="I395" s="2">
        <v>0.3347222222222222</v>
      </c>
      <c r="J395">
        <v>7</v>
      </c>
      <c r="K395">
        <v>4</v>
      </c>
      <c r="L395" t="s">
        <v>45</v>
      </c>
      <c r="M395">
        <v>18.2</v>
      </c>
      <c r="N395">
        <v>95</v>
      </c>
      <c r="O395">
        <v>59</v>
      </c>
      <c r="P395">
        <v>0.6</v>
      </c>
      <c r="Q395" t="s">
        <v>31</v>
      </c>
      <c r="R395">
        <v>0</v>
      </c>
      <c r="S395">
        <v>62</v>
      </c>
      <c r="T395">
        <v>0</v>
      </c>
      <c r="U395">
        <v>1</v>
      </c>
      <c r="V395">
        <v>3</v>
      </c>
      <c r="W395" t="s">
        <v>72</v>
      </c>
      <c r="X395">
        <v>0</v>
      </c>
      <c r="Y395" t="str">
        <f t="shared" si="6"/>
        <v>Medium</v>
      </c>
    </row>
    <row r="396" spans="1:25">
      <c r="A396" t="s">
        <v>509</v>
      </c>
      <c r="B396" s="1">
        <v>44931</v>
      </c>
      <c r="C396" s="2">
        <v>0.3125</v>
      </c>
      <c r="D396" t="s">
        <v>26</v>
      </c>
      <c r="E396" t="s">
        <v>111</v>
      </c>
      <c r="F396" t="s">
        <v>116</v>
      </c>
      <c r="G396" t="s">
        <v>53</v>
      </c>
      <c r="H396" s="2">
        <v>0.31527777777777777</v>
      </c>
      <c r="I396" s="2">
        <v>0.34166666666666667</v>
      </c>
      <c r="J396">
        <v>10</v>
      </c>
      <c r="K396">
        <v>17</v>
      </c>
      <c r="L396" t="s">
        <v>45</v>
      </c>
      <c r="M396">
        <v>-0.5</v>
      </c>
      <c r="N396">
        <v>56</v>
      </c>
      <c r="O396">
        <v>16</v>
      </c>
      <c r="P396">
        <v>6</v>
      </c>
      <c r="Q396" t="s">
        <v>31</v>
      </c>
      <c r="R396">
        <v>50000</v>
      </c>
      <c r="S396">
        <v>55</v>
      </c>
      <c r="T396">
        <v>0</v>
      </c>
      <c r="U396">
        <v>0</v>
      </c>
      <c r="V396">
        <v>3</v>
      </c>
      <c r="W396" t="s">
        <v>39</v>
      </c>
      <c r="X396">
        <v>1</v>
      </c>
      <c r="Y396" t="str">
        <f t="shared" si="6"/>
        <v>Medium</v>
      </c>
    </row>
    <row r="397" spans="1:25">
      <c r="A397" t="s">
        <v>510</v>
      </c>
      <c r="B397" s="1">
        <v>44931</v>
      </c>
      <c r="C397" s="2">
        <v>0.32291666666666669</v>
      </c>
      <c r="D397" t="s">
        <v>34</v>
      </c>
      <c r="E397" t="s">
        <v>147</v>
      </c>
      <c r="F397" t="s">
        <v>49</v>
      </c>
      <c r="G397" t="s">
        <v>100</v>
      </c>
      <c r="H397" s="2">
        <v>0.32361111111111113</v>
      </c>
      <c r="I397" s="2">
        <v>0.33888888888888891</v>
      </c>
      <c r="J397">
        <v>-1</v>
      </c>
      <c r="K397">
        <v>17</v>
      </c>
      <c r="L397" t="s">
        <v>38</v>
      </c>
      <c r="M397">
        <v>3.6</v>
      </c>
      <c r="N397">
        <v>61</v>
      </c>
      <c r="O397">
        <v>56</v>
      </c>
      <c r="P397">
        <v>15.9</v>
      </c>
      <c r="Q397" t="s">
        <v>31</v>
      </c>
      <c r="R397">
        <v>0</v>
      </c>
      <c r="S397">
        <v>79</v>
      </c>
      <c r="T397">
        <v>0</v>
      </c>
      <c r="U397">
        <v>0</v>
      </c>
      <c r="V397">
        <v>3</v>
      </c>
      <c r="W397" t="s">
        <v>39</v>
      </c>
      <c r="X397">
        <v>1</v>
      </c>
      <c r="Y397" t="str">
        <f t="shared" si="6"/>
        <v>High</v>
      </c>
    </row>
    <row r="398" spans="1:25">
      <c r="A398" t="s">
        <v>511</v>
      </c>
      <c r="B398" s="1">
        <v>44931</v>
      </c>
      <c r="C398" s="2">
        <v>0.33333333333333331</v>
      </c>
      <c r="D398" t="s">
        <v>34</v>
      </c>
      <c r="E398" t="s">
        <v>79</v>
      </c>
      <c r="F398" t="s">
        <v>142</v>
      </c>
      <c r="G398" t="s">
        <v>144</v>
      </c>
      <c r="H398" s="2">
        <v>0.3347222222222222</v>
      </c>
      <c r="I398" s="2">
        <v>0.35625000000000001</v>
      </c>
      <c r="J398">
        <v>0</v>
      </c>
      <c r="K398">
        <v>23</v>
      </c>
      <c r="L398" t="s">
        <v>45</v>
      </c>
      <c r="M398">
        <v>6.2</v>
      </c>
      <c r="N398">
        <v>85</v>
      </c>
      <c r="O398">
        <v>55</v>
      </c>
      <c r="P398">
        <v>13.5</v>
      </c>
      <c r="Q398" t="s">
        <v>31</v>
      </c>
      <c r="R398">
        <v>0</v>
      </c>
      <c r="S398">
        <v>23</v>
      </c>
      <c r="T398">
        <v>1</v>
      </c>
      <c r="U398">
        <v>0</v>
      </c>
      <c r="V398">
        <v>3</v>
      </c>
      <c r="W398" t="s">
        <v>55</v>
      </c>
      <c r="X398">
        <v>1</v>
      </c>
      <c r="Y398" t="str">
        <f t="shared" si="6"/>
        <v>Low</v>
      </c>
    </row>
    <row r="399" spans="1:25">
      <c r="A399" t="s">
        <v>512</v>
      </c>
      <c r="B399" s="1">
        <v>44931</v>
      </c>
      <c r="C399" s="2">
        <v>0.34375</v>
      </c>
      <c r="D399" t="s">
        <v>74</v>
      </c>
      <c r="E399" t="s">
        <v>35</v>
      </c>
      <c r="F399" t="s">
        <v>69</v>
      </c>
      <c r="G399" t="s">
        <v>28</v>
      </c>
      <c r="H399" s="2">
        <v>0.34652777777777777</v>
      </c>
      <c r="I399" s="2">
        <v>0.37708333333333333</v>
      </c>
      <c r="J399">
        <v>16</v>
      </c>
      <c r="K399">
        <v>15</v>
      </c>
      <c r="L399" t="s">
        <v>38</v>
      </c>
      <c r="M399">
        <v>4.5999999999999996</v>
      </c>
      <c r="N399">
        <v>39</v>
      </c>
      <c r="O399">
        <v>44</v>
      </c>
      <c r="P399">
        <v>8.6999999999999993</v>
      </c>
      <c r="Q399" t="s">
        <v>101</v>
      </c>
      <c r="R399">
        <v>10000</v>
      </c>
      <c r="S399">
        <v>98</v>
      </c>
      <c r="T399">
        <v>1</v>
      </c>
      <c r="U399">
        <v>0</v>
      </c>
      <c r="V399">
        <v>3</v>
      </c>
      <c r="W399" t="s">
        <v>72</v>
      </c>
      <c r="X399">
        <v>1</v>
      </c>
      <c r="Y399" t="str">
        <f t="shared" si="6"/>
        <v>High</v>
      </c>
    </row>
    <row r="400" spans="1:25">
      <c r="A400" t="s">
        <v>513</v>
      </c>
      <c r="B400" s="1">
        <v>44931</v>
      </c>
      <c r="C400" s="2">
        <v>0.35416666666666669</v>
      </c>
      <c r="D400" t="s">
        <v>34</v>
      </c>
      <c r="E400" t="s">
        <v>35</v>
      </c>
      <c r="F400" t="s">
        <v>50</v>
      </c>
      <c r="G400" t="s">
        <v>123</v>
      </c>
      <c r="H400" s="2">
        <v>0.35486111111111113</v>
      </c>
      <c r="I400" s="2">
        <v>0.36805555555555558</v>
      </c>
      <c r="J400">
        <v>3</v>
      </c>
      <c r="K400">
        <v>19</v>
      </c>
      <c r="L400" t="s">
        <v>77</v>
      </c>
      <c r="M400">
        <v>14.9</v>
      </c>
      <c r="N400">
        <v>69</v>
      </c>
      <c r="O400">
        <v>30</v>
      </c>
      <c r="P400">
        <v>5.0999999999999996</v>
      </c>
      <c r="Q400" t="s">
        <v>59</v>
      </c>
      <c r="R400">
        <v>10000</v>
      </c>
      <c r="S400">
        <v>27</v>
      </c>
      <c r="T400">
        <v>0</v>
      </c>
      <c r="U400">
        <v>0</v>
      </c>
      <c r="V400">
        <v>3</v>
      </c>
      <c r="W400" t="s">
        <v>32</v>
      </c>
      <c r="X400">
        <v>1</v>
      </c>
      <c r="Y400" t="str">
        <f t="shared" si="6"/>
        <v>Low</v>
      </c>
    </row>
    <row r="401" spans="1:25">
      <c r="A401" t="s">
        <v>514</v>
      </c>
      <c r="B401" s="1">
        <v>44931</v>
      </c>
      <c r="C401" s="2">
        <v>0.36458333333333331</v>
      </c>
      <c r="D401" t="s">
        <v>41</v>
      </c>
      <c r="E401" t="s">
        <v>93</v>
      </c>
      <c r="F401" t="s">
        <v>168</v>
      </c>
      <c r="G401" t="s">
        <v>69</v>
      </c>
      <c r="H401" s="2">
        <v>0.36527777777777776</v>
      </c>
      <c r="I401" s="2">
        <v>0.38055555555555554</v>
      </c>
      <c r="J401">
        <v>16</v>
      </c>
      <c r="K401">
        <v>1</v>
      </c>
      <c r="L401" t="s">
        <v>84</v>
      </c>
      <c r="M401">
        <v>32.799999999999997</v>
      </c>
      <c r="N401">
        <v>46</v>
      </c>
      <c r="O401">
        <v>27</v>
      </c>
      <c r="P401">
        <v>1.2</v>
      </c>
      <c r="Q401" t="s">
        <v>31</v>
      </c>
      <c r="R401">
        <v>0</v>
      </c>
      <c r="S401">
        <v>92</v>
      </c>
      <c r="T401">
        <v>0</v>
      </c>
      <c r="U401">
        <v>0</v>
      </c>
      <c r="V401">
        <v>3</v>
      </c>
      <c r="W401" t="s">
        <v>32</v>
      </c>
      <c r="X401">
        <v>0</v>
      </c>
      <c r="Y401" t="str">
        <f t="shared" si="6"/>
        <v>High</v>
      </c>
    </row>
    <row r="402" spans="1:25">
      <c r="A402" t="s">
        <v>515</v>
      </c>
      <c r="B402" s="1">
        <v>44931</v>
      </c>
      <c r="C402" s="2">
        <v>0.375</v>
      </c>
      <c r="D402" t="s">
        <v>34</v>
      </c>
      <c r="E402" t="s">
        <v>93</v>
      </c>
      <c r="F402" t="s">
        <v>43</v>
      </c>
      <c r="G402" t="s">
        <v>105</v>
      </c>
      <c r="H402" s="2">
        <v>0.37708333333333333</v>
      </c>
      <c r="I402" s="2">
        <v>0.41041666666666665</v>
      </c>
      <c r="J402">
        <v>18</v>
      </c>
      <c r="K402">
        <v>4</v>
      </c>
      <c r="L402" t="s">
        <v>84</v>
      </c>
      <c r="M402">
        <v>12.8</v>
      </c>
      <c r="N402">
        <v>87</v>
      </c>
      <c r="O402">
        <v>42</v>
      </c>
      <c r="P402">
        <v>6.8</v>
      </c>
      <c r="Q402" t="s">
        <v>31</v>
      </c>
      <c r="R402">
        <v>50000</v>
      </c>
      <c r="S402">
        <v>84</v>
      </c>
      <c r="T402">
        <v>0</v>
      </c>
      <c r="U402">
        <v>1</v>
      </c>
      <c r="V402">
        <v>3</v>
      </c>
      <c r="W402" t="s">
        <v>39</v>
      </c>
      <c r="X402">
        <v>0</v>
      </c>
      <c r="Y402" t="str">
        <f t="shared" si="6"/>
        <v>High</v>
      </c>
    </row>
    <row r="403" spans="1:25">
      <c r="A403" t="s">
        <v>516</v>
      </c>
      <c r="B403" s="1">
        <v>44931</v>
      </c>
      <c r="C403" s="2">
        <v>0.38541666666666669</v>
      </c>
      <c r="D403" t="s">
        <v>34</v>
      </c>
      <c r="E403" t="s">
        <v>48</v>
      </c>
      <c r="F403" t="s">
        <v>81</v>
      </c>
      <c r="G403" t="s">
        <v>113</v>
      </c>
      <c r="H403" s="2">
        <v>0.38611111111111113</v>
      </c>
      <c r="I403" s="2">
        <v>0.42152777777777778</v>
      </c>
      <c r="J403">
        <v>17</v>
      </c>
      <c r="K403">
        <v>7</v>
      </c>
      <c r="L403" t="s">
        <v>54</v>
      </c>
      <c r="M403">
        <v>21.5</v>
      </c>
      <c r="N403">
        <v>35</v>
      </c>
      <c r="O403">
        <v>47</v>
      </c>
      <c r="P403">
        <v>9.1999999999999993</v>
      </c>
      <c r="Q403" t="s">
        <v>31</v>
      </c>
      <c r="R403">
        <v>0</v>
      </c>
      <c r="S403">
        <v>88</v>
      </c>
      <c r="T403">
        <v>0</v>
      </c>
      <c r="U403">
        <v>0</v>
      </c>
      <c r="V403">
        <v>3</v>
      </c>
      <c r="W403" t="s">
        <v>55</v>
      </c>
      <c r="X403">
        <v>1</v>
      </c>
      <c r="Y403" t="str">
        <f t="shared" si="6"/>
        <v>High</v>
      </c>
    </row>
    <row r="404" spans="1:25">
      <c r="A404" t="s">
        <v>517</v>
      </c>
      <c r="B404" s="1">
        <v>44931</v>
      </c>
      <c r="C404" s="2">
        <v>0.39583333333333331</v>
      </c>
      <c r="D404" t="s">
        <v>26</v>
      </c>
      <c r="E404" t="s">
        <v>48</v>
      </c>
      <c r="F404" t="s">
        <v>116</v>
      </c>
      <c r="G404" t="s">
        <v>176</v>
      </c>
      <c r="H404" s="2">
        <v>0.3972222222222222</v>
      </c>
      <c r="I404" s="2">
        <v>0.42708333333333331</v>
      </c>
      <c r="J404">
        <v>16</v>
      </c>
      <c r="K404">
        <v>12</v>
      </c>
      <c r="L404" t="s">
        <v>54</v>
      </c>
      <c r="M404">
        <v>22.5</v>
      </c>
      <c r="N404">
        <v>68</v>
      </c>
      <c r="O404">
        <v>51</v>
      </c>
      <c r="P404">
        <v>13.7</v>
      </c>
      <c r="Q404" t="s">
        <v>31</v>
      </c>
      <c r="R404">
        <v>500</v>
      </c>
      <c r="S404">
        <v>30</v>
      </c>
      <c r="T404">
        <v>0</v>
      </c>
      <c r="U404">
        <v>0</v>
      </c>
      <c r="V404">
        <v>3</v>
      </c>
      <c r="W404" t="s">
        <v>55</v>
      </c>
      <c r="X404">
        <v>1</v>
      </c>
      <c r="Y404" t="str">
        <f t="shared" si="6"/>
        <v>Low</v>
      </c>
    </row>
    <row r="405" spans="1:25">
      <c r="A405" t="s">
        <v>518</v>
      </c>
      <c r="B405" s="1">
        <v>44931</v>
      </c>
      <c r="C405" s="2">
        <v>0.40625</v>
      </c>
      <c r="D405" t="s">
        <v>41</v>
      </c>
      <c r="E405" t="s">
        <v>111</v>
      </c>
      <c r="F405" t="s">
        <v>50</v>
      </c>
      <c r="G405" t="s">
        <v>75</v>
      </c>
      <c r="H405" s="2">
        <v>0.40763888888888888</v>
      </c>
      <c r="I405" s="2">
        <v>0.43125000000000002</v>
      </c>
      <c r="J405">
        <v>5</v>
      </c>
      <c r="K405">
        <v>20</v>
      </c>
      <c r="L405" t="s">
        <v>84</v>
      </c>
      <c r="M405">
        <v>29.9</v>
      </c>
      <c r="N405">
        <v>47</v>
      </c>
      <c r="O405">
        <v>38</v>
      </c>
      <c r="P405">
        <v>12.9</v>
      </c>
      <c r="Q405" t="s">
        <v>101</v>
      </c>
      <c r="R405">
        <v>0</v>
      </c>
      <c r="S405">
        <v>14</v>
      </c>
      <c r="T405">
        <v>0</v>
      </c>
      <c r="U405">
        <v>0</v>
      </c>
      <c r="V405">
        <v>3</v>
      </c>
      <c r="W405" t="s">
        <v>72</v>
      </c>
      <c r="X405">
        <v>1</v>
      </c>
      <c r="Y405" t="str">
        <f t="shared" si="6"/>
        <v>Low</v>
      </c>
    </row>
    <row r="406" spans="1:25">
      <c r="A406" t="s">
        <v>519</v>
      </c>
      <c r="B406" s="1">
        <v>44931</v>
      </c>
      <c r="C406" s="2">
        <v>0.41666666666666669</v>
      </c>
      <c r="D406" t="s">
        <v>34</v>
      </c>
      <c r="E406" t="s">
        <v>157</v>
      </c>
      <c r="F406" t="s">
        <v>107</v>
      </c>
      <c r="G406" t="s">
        <v>37</v>
      </c>
      <c r="H406" s="2">
        <v>0.41944444444444445</v>
      </c>
      <c r="I406" s="2">
        <v>0.45694444444444443</v>
      </c>
      <c r="J406">
        <v>11</v>
      </c>
      <c r="K406">
        <v>17</v>
      </c>
      <c r="L406" t="s">
        <v>77</v>
      </c>
      <c r="M406">
        <v>-3.6</v>
      </c>
      <c r="N406">
        <v>71</v>
      </c>
      <c r="O406">
        <v>59</v>
      </c>
      <c r="P406">
        <v>18.899999999999999</v>
      </c>
      <c r="Q406" t="s">
        <v>31</v>
      </c>
      <c r="R406">
        <v>0</v>
      </c>
      <c r="S406">
        <v>41</v>
      </c>
      <c r="T406">
        <v>0</v>
      </c>
      <c r="U406">
        <v>1</v>
      </c>
      <c r="V406">
        <v>3</v>
      </c>
      <c r="W406" t="s">
        <v>39</v>
      </c>
      <c r="X406">
        <v>1</v>
      </c>
      <c r="Y406" t="str">
        <f t="shared" si="6"/>
        <v>Medium</v>
      </c>
    </row>
    <row r="407" spans="1:25">
      <c r="A407" t="s">
        <v>520</v>
      </c>
      <c r="B407" s="1">
        <v>44931</v>
      </c>
      <c r="C407" s="2">
        <v>0.42708333333333331</v>
      </c>
      <c r="D407" t="s">
        <v>34</v>
      </c>
      <c r="E407" t="s">
        <v>93</v>
      </c>
      <c r="F407" t="s">
        <v>109</v>
      </c>
      <c r="G407" t="s">
        <v>58</v>
      </c>
      <c r="H407" s="2">
        <v>0.42986111111111114</v>
      </c>
      <c r="I407" s="2">
        <v>0.45624999999999999</v>
      </c>
      <c r="J407">
        <v>7</v>
      </c>
      <c r="K407">
        <v>19</v>
      </c>
      <c r="L407" t="s">
        <v>77</v>
      </c>
      <c r="M407">
        <v>11.2</v>
      </c>
      <c r="N407">
        <v>33</v>
      </c>
      <c r="O407">
        <v>29</v>
      </c>
      <c r="P407">
        <v>2</v>
      </c>
      <c r="Q407" t="s">
        <v>71</v>
      </c>
      <c r="R407">
        <v>0</v>
      </c>
      <c r="S407">
        <v>98</v>
      </c>
      <c r="T407">
        <v>0</v>
      </c>
      <c r="U407">
        <v>0</v>
      </c>
      <c r="V407">
        <v>3</v>
      </c>
      <c r="W407" t="s">
        <v>39</v>
      </c>
      <c r="X407">
        <v>1</v>
      </c>
      <c r="Y407" t="str">
        <f t="shared" si="6"/>
        <v>High</v>
      </c>
    </row>
    <row r="408" spans="1:25">
      <c r="A408" t="s">
        <v>521</v>
      </c>
      <c r="B408" s="1">
        <v>44931</v>
      </c>
      <c r="C408" s="2">
        <v>0.4375</v>
      </c>
      <c r="D408" t="s">
        <v>74</v>
      </c>
      <c r="E408" t="s">
        <v>52</v>
      </c>
      <c r="F408" t="s">
        <v>83</v>
      </c>
      <c r="G408" t="s">
        <v>128</v>
      </c>
      <c r="H408" s="2">
        <v>0.43819444444444444</v>
      </c>
      <c r="I408" s="2">
        <v>0.47291666666666665</v>
      </c>
      <c r="J408">
        <v>0</v>
      </c>
      <c r="K408">
        <v>4</v>
      </c>
      <c r="L408" t="s">
        <v>30</v>
      </c>
      <c r="M408">
        <v>26.4</v>
      </c>
      <c r="N408">
        <v>49</v>
      </c>
      <c r="O408">
        <v>34</v>
      </c>
      <c r="P408">
        <v>6.7</v>
      </c>
      <c r="Q408" t="s">
        <v>31</v>
      </c>
      <c r="R408">
        <v>0</v>
      </c>
      <c r="S408">
        <v>49</v>
      </c>
      <c r="T408">
        <v>0</v>
      </c>
      <c r="U408">
        <v>0</v>
      </c>
      <c r="V408">
        <v>3</v>
      </c>
      <c r="W408" t="s">
        <v>55</v>
      </c>
      <c r="X408">
        <v>0</v>
      </c>
      <c r="Y408" t="str">
        <f t="shared" si="6"/>
        <v>Medium</v>
      </c>
    </row>
    <row r="409" spans="1:25">
      <c r="A409" t="s">
        <v>522</v>
      </c>
      <c r="B409" s="1">
        <v>44931</v>
      </c>
      <c r="C409" s="2">
        <v>0.44791666666666669</v>
      </c>
      <c r="D409" t="s">
        <v>34</v>
      </c>
      <c r="E409" t="s">
        <v>48</v>
      </c>
      <c r="F409" t="s">
        <v>109</v>
      </c>
      <c r="G409" t="s">
        <v>81</v>
      </c>
      <c r="H409" s="2">
        <v>0.44791666666666669</v>
      </c>
      <c r="I409" s="2">
        <v>0.47152777777777777</v>
      </c>
      <c r="J409">
        <v>3</v>
      </c>
      <c r="K409">
        <v>3</v>
      </c>
      <c r="L409" t="s">
        <v>38</v>
      </c>
      <c r="M409">
        <v>27.6</v>
      </c>
      <c r="N409">
        <v>57</v>
      </c>
      <c r="O409">
        <v>47</v>
      </c>
      <c r="P409">
        <v>9.6</v>
      </c>
      <c r="Q409" t="s">
        <v>31</v>
      </c>
      <c r="R409">
        <v>0</v>
      </c>
      <c r="S409">
        <v>85</v>
      </c>
      <c r="T409">
        <v>1</v>
      </c>
      <c r="U409">
        <v>0</v>
      </c>
      <c r="V409">
        <v>3</v>
      </c>
      <c r="W409" t="s">
        <v>32</v>
      </c>
      <c r="X409">
        <v>0</v>
      </c>
      <c r="Y409" t="str">
        <f t="shared" si="6"/>
        <v>High</v>
      </c>
    </row>
    <row r="410" spans="1:25">
      <c r="A410" t="s">
        <v>523</v>
      </c>
      <c r="B410" s="1">
        <v>44931</v>
      </c>
      <c r="C410" s="2">
        <v>0.45833333333333331</v>
      </c>
      <c r="D410" t="s">
        <v>34</v>
      </c>
      <c r="E410" t="s">
        <v>35</v>
      </c>
      <c r="F410" t="s">
        <v>49</v>
      </c>
      <c r="G410" t="s">
        <v>123</v>
      </c>
      <c r="H410" s="2">
        <v>0.46041666666666664</v>
      </c>
      <c r="I410" s="2">
        <v>0.48055555555555557</v>
      </c>
      <c r="J410">
        <v>12</v>
      </c>
      <c r="K410">
        <v>-2</v>
      </c>
      <c r="L410" t="s">
        <v>54</v>
      </c>
      <c r="M410">
        <v>32.1</v>
      </c>
      <c r="N410">
        <v>69</v>
      </c>
      <c r="O410">
        <v>50</v>
      </c>
      <c r="P410">
        <v>13.4</v>
      </c>
      <c r="Q410" t="s">
        <v>31</v>
      </c>
      <c r="R410">
        <v>0</v>
      </c>
      <c r="S410">
        <v>4</v>
      </c>
      <c r="T410">
        <v>0</v>
      </c>
      <c r="U410">
        <v>0</v>
      </c>
      <c r="V410">
        <v>3</v>
      </c>
      <c r="W410" t="s">
        <v>32</v>
      </c>
      <c r="X410">
        <v>0</v>
      </c>
      <c r="Y410" t="str">
        <f t="shared" si="6"/>
        <v>Low</v>
      </c>
    </row>
    <row r="411" spans="1:25">
      <c r="A411" t="s">
        <v>524</v>
      </c>
      <c r="B411" s="1">
        <v>44931</v>
      </c>
      <c r="C411" s="2">
        <v>0.46875</v>
      </c>
      <c r="D411" t="s">
        <v>74</v>
      </c>
      <c r="E411" t="s">
        <v>79</v>
      </c>
      <c r="F411" t="s">
        <v>168</v>
      </c>
      <c r="G411" t="s">
        <v>95</v>
      </c>
      <c r="H411" s="2">
        <v>0.46875</v>
      </c>
      <c r="I411" s="2">
        <v>0.48333333333333334</v>
      </c>
      <c r="J411">
        <v>15</v>
      </c>
      <c r="K411">
        <v>26</v>
      </c>
      <c r="L411" t="s">
        <v>38</v>
      </c>
      <c r="M411">
        <v>23.1</v>
      </c>
      <c r="N411">
        <v>94</v>
      </c>
      <c r="O411">
        <v>19</v>
      </c>
      <c r="P411">
        <v>9.9</v>
      </c>
      <c r="Q411" t="s">
        <v>101</v>
      </c>
      <c r="R411">
        <v>50000</v>
      </c>
      <c r="S411">
        <v>47</v>
      </c>
      <c r="T411">
        <v>0</v>
      </c>
      <c r="U411">
        <v>1</v>
      </c>
      <c r="V411">
        <v>3</v>
      </c>
      <c r="W411" t="s">
        <v>72</v>
      </c>
      <c r="X411">
        <v>1</v>
      </c>
      <c r="Y411" t="str">
        <f t="shared" si="6"/>
        <v>Medium</v>
      </c>
    </row>
    <row r="412" spans="1:25">
      <c r="A412" t="s">
        <v>525</v>
      </c>
      <c r="B412" s="1">
        <v>44931</v>
      </c>
      <c r="C412" s="2">
        <v>0.47916666666666669</v>
      </c>
      <c r="D412" t="s">
        <v>26</v>
      </c>
      <c r="E412" t="s">
        <v>68</v>
      </c>
      <c r="F412" t="s">
        <v>81</v>
      </c>
      <c r="G412" t="s">
        <v>66</v>
      </c>
      <c r="H412" s="2">
        <v>0.47986111111111113</v>
      </c>
      <c r="I412" s="2">
        <v>0.50555555555555554</v>
      </c>
      <c r="J412">
        <v>11</v>
      </c>
      <c r="K412">
        <v>9</v>
      </c>
      <c r="L412" t="s">
        <v>54</v>
      </c>
      <c r="M412">
        <v>4.8</v>
      </c>
      <c r="N412">
        <v>73</v>
      </c>
      <c r="O412">
        <v>15</v>
      </c>
      <c r="P412">
        <v>18.3</v>
      </c>
      <c r="Q412" t="s">
        <v>46</v>
      </c>
      <c r="R412">
        <v>0</v>
      </c>
      <c r="S412">
        <v>12</v>
      </c>
      <c r="T412">
        <v>0</v>
      </c>
      <c r="U412">
        <v>0</v>
      </c>
      <c r="V412">
        <v>3</v>
      </c>
      <c r="W412" t="s">
        <v>39</v>
      </c>
      <c r="X412">
        <v>1</v>
      </c>
      <c r="Y412" t="str">
        <f t="shared" si="6"/>
        <v>Low</v>
      </c>
    </row>
    <row r="413" spans="1:25">
      <c r="A413" t="s">
        <v>526</v>
      </c>
      <c r="B413" s="1">
        <v>44931</v>
      </c>
      <c r="C413" s="2">
        <v>0.48958333333333331</v>
      </c>
      <c r="D413" t="s">
        <v>34</v>
      </c>
      <c r="E413" t="s">
        <v>79</v>
      </c>
      <c r="F413" t="s">
        <v>75</v>
      </c>
      <c r="G413" t="s">
        <v>43</v>
      </c>
      <c r="H413" s="2">
        <v>0.49027777777777776</v>
      </c>
      <c r="I413" s="2">
        <v>0.51944444444444449</v>
      </c>
      <c r="J413">
        <v>16</v>
      </c>
      <c r="K413">
        <v>19</v>
      </c>
      <c r="L413" t="s">
        <v>30</v>
      </c>
      <c r="M413">
        <v>15.2</v>
      </c>
      <c r="N413">
        <v>52</v>
      </c>
      <c r="O413">
        <v>33</v>
      </c>
      <c r="P413">
        <v>12.2</v>
      </c>
      <c r="Q413" t="s">
        <v>31</v>
      </c>
      <c r="R413">
        <v>0</v>
      </c>
      <c r="S413">
        <v>31</v>
      </c>
      <c r="T413">
        <v>0</v>
      </c>
      <c r="U413">
        <v>0</v>
      </c>
      <c r="V413">
        <v>3</v>
      </c>
      <c r="W413" t="s">
        <v>39</v>
      </c>
      <c r="X413">
        <v>1</v>
      </c>
      <c r="Y413" t="str">
        <f t="shared" si="6"/>
        <v>Low</v>
      </c>
    </row>
    <row r="414" spans="1:25">
      <c r="A414" t="s">
        <v>527</v>
      </c>
      <c r="B414" s="1">
        <v>44931</v>
      </c>
      <c r="C414" s="2">
        <v>0.5</v>
      </c>
      <c r="D414" t="s">
        <v>74</v>
      </c>
      <c r="E414" t="s">
        <v>48</v>
      </c>
      <c r="F414" t="s">
        <v>76</v>
      </c>
      <c r="G414" t="s">
        <v>29</v>
      </c>
      <c r="H414" s="2">
        <v>0.5</v>
      </c>
      <c r="I414" s="2">
        <v>0.52986111111111112</v>
      </c>
      <c r="J414">
        <v>7</v>
      </c>
      <c r="K414">
        <v>25</v>
      </c>
      <c r="L414" t="s">
        <v>84</v>
      </c>
      <c r="M414">
        <v>-3.7</v>
      </c>
      <c r="N414">
        <v>86</v>
      </c>
      <c r="O414">
        <v>13</v>
      </c>
      <c r="P414">
        <v>0.8</v>
      </c>
      <c r="Q414" t="s">
        <v>59</v>
      </c>
      <c r="R414">
        <v>2000</v>
      </c>
      <c r="S414">
        <v>66</v>
      </c>
      <c r="T414">
        <v>0</v>
      </c>
      <c r="U414">
        <v>1</v>
      </c>
      <c r="V414">
        <v>3</v>
      </c>
      <c r="W414" t="s">
        <v>32</v>
      </c>
      <c r="X414">
        <v>1</v>
      </c>
      <c r="Y414" t="str">
        <f t="shared" si="6"/>
        <v>Medium</v>
      </c>
    </row>
    <row r="415" spans="1:25">
      <c r="A415" t="s">
        <v>528</v>
      </c>
      <c r="B415" s="1">
        <v>44931</v>
      </c>
      <c r="C415" s="2">
        <v>0.51041666666666663</v>
      </c>
      <c r="D415" t="s">
        <v>41</v>
      </c>
      <c r="E415" t="s">
        <v>61</v>
      </c>
      <c r="F415" t="s">
        <v>96</v>
      </c>
      <c r="G415" t="s">
        <v>148</v>
      </c>
      <c r="H415" s="2">
        <v>0.51249999999999996</v>
      </c>
      <c r="I415" s="2">
        <v>0.53125</v>
      </c>
      <c r="J415">
        <v>12</v>
      </c>
      <c r="K415">
        <v>16</v>
      </c>
      <c r="L415" t="s">
        <v>38</v>
      </c>
      <c r="M415">
        <v>20.9</v>
      </c>
      <c r="N415">
        <v>76</v>
      </c>
      <c r="O415">
        <v>25</v>
      </c>
      <c r="P415">
        <v>2.2999999999999998</v>
      </c>
      <c r="Q415" t="s">
        <v>101</v>
      </c>
      <c r="R415">
        <v>0</v>
      </c>
      <c r="S415">
        <v>78</v>
      </c>
      <c r="T415">
        <v>0</v>
      </c>
      <c r="U415">
        <v>0</v>
      </c>
      <c r="V415">
        <v>3</v>
      </c>
      <c r="W415" t="s">
        <v>39</v>
      </c>
      <c r="X415">
        <v>1</v>
      </c>
      <c r="Y415" t="str">
        <f t="shared" si="6"/>
        <v>High</v>
      </c>
    </row>
    <row r="416" spans="1:25">
      <c r="A416" t="s">
        <v>529</v>
      </c>
      <c r="B416" s="1">
        <v>44931</v>
      </c>
      <c r="C416" s="2">
        <v>0.52083333333333337</v>
      </c>
      <c r="D416" t="s">
        <v>26</v>
      </c>
      <c r="E416" t="s">
        <v>89</v>
      </c>
      <c r="F416" t="s">
        <v>90</v>
      </c>
      <c r="G416" t="s">
        <v>28</v>
      </c>
      <c r="H416" s="2">
        <v>0.52083333333333337</v>
      </c>
      <c r="I416" s="2">
        <v>0.5493055555555556</v>
      </c>
      <c r="J416">
        <v>1</v>
      </c>
      <c r="K416">
        <v>29</v>
      </c>
      <c r="L416" t="s">
        <v>54</v>
      </c>
      <c r="M416">
        <v>17.2</v>
      </c>
      <c r="N416">
        <v>42</v>
      </c>
      <c r="O416">
        <v>19</v>
      </c>
      <c r="P416">
        <v>15.1</v>
      </c>
      <c r="Q416" t="s">
        <v>31</v>
      </c>
      <c r="R416">
        <v>0</v>
      </c>
      <c r="S416">
        <v>90</v>
      </c>
      <c r="T416">
        <v>0</v>
      </c>
      <c r="U416">
        <v>0</v>
      </c>
      <c r="V416">
        <v>3</v>
      </c>
      <c r="W416" t="s">
        <v>39</v>
      </c>
      <c r="X416">
        <v>1</v>
      </c>
      <c r="Y416" t="str">
        <f t="shared" si="6"/>
        <v>High</v>
      </c>
    </row>
    <row r="417" spans="1:25">
      <c r="A417" t="s">
        <v>530</v>
      </c>
      <c r="B417" s="1">
        <v>44931</v>
      </c>
      <c r="C417" s="2">
        <v>0.53125</v>
      </c>
      <c r="D417" t="s">
        <v>41</v>
      </c>
      <c r="E417" t="s">
        <v>130</v>
      </c>
      <c r="F417" t="s">
        <v>90</v>
      </c>
      <c r="G417" t="s">
        <v>62</v>
      </c>
      <c r="H417" s="2">
        <v>0.53402777777777777</v>
      </c>
      <c r="I417" s="2">
        <v>0.55486111111111114</v>
      </c>
      <c r="J417">
        <v>-1</v>
      </c>
      <c r="K417">
        <v>25</v>
      </c>
      <c r="L417" t="s">
        <v>38</v>
      </c>
      <c r="M417">
        <v>21.7</v>
      </c>
      <c r="N417">
        <v>45</v>
      </c>
      <c r="O417">
        <v>41</v>
      </c>
      <c r="P417">
        <v>14.3</v>
      </c>
      <c r="Q417" t="s">
        <v>31</v>
      </c>
      <c r="R417">
        <v>0</v>
      </c>
      <c r="S417">
        <v>90</v>
      </c>
      <c r="T417">
        <v>1</v>
      </c>
      <c r="U417">
        <v>0</v>
      </c>
      <c r="V417">
        <v>3</v>
      </c>
      <c r="W417" t="s">
        <v>55</v>
      </c>
      <c r="X417">
        <v>1</v>
      </c>
      <c r="Y417" t="str">
        <f t="shared" si="6"/>
        <v>High</v>
      </c>
    </row>
    <row r="418" spans="1:25">
      <c r="A418" t="s">
        <v>531</v>
      </c>
      <c r="B418" s="1">
        <v>44931</v>
      </c>
      <c r="C418" s="2">
        <v>0.54166666666666663</v>
      </c>
      <c r="D418" t="s">
        <v>41</v>
      </c>
      <c r="E418" t="s">
        <v>98</v>
      </c>
      <c r="F418" t="s">
        <v>95</v>
      </c>
      <c r="G418" t="s">
        <v>197</v>
      </c>
      <c r="H418" s="2">
        <v>0.54305555555555551</v>
      </c>
      <c r="I418" s="2">
        <v>0.56180555555555556</v>
      </c>
      <c r="J418">
        <v>0</v>
      </c>
      <c r="K418">
        <v>11</v>
      </c>
      <c r="L418" t="s">
        <v>84</v>
      </c>
      <c r="M418">
        <v>32.200000000000003</v>
      </c>
      <c r="N418">
        <v>84</v>
      </c>
      <c r="O418">
        <v>50</v>
      </c>
      <c r="P418">
        <v>3.1</v>
      </c>
      <c r="Q418" t="s">
        <v>31</v>
      </c>
      <c r="R418">
        <v>0</v>
      </c>
      <c r="S418">
        <v>29</v>
      </c>
      <c r="T418">
        <v>0</v>
      </c>
      <c r="U418">
        <v>0</v>
      </c>
      <c r="V418">
        <v>3</v>
      </c>
      <c r="W418" t="s">
        <v>72</v>
      </c>
      <c r="X418">
        <v>1</v>
      </c>
      <c r="Y418" t="str">
        <f t="shared" si="6"/>
        <v>Low</v>
      </c>
    </row>
    <row r="419" spans="1:25">
      <c r="A419" t="s">
        <v>532</v>
      </c>
      <c r="B419" s="1">
        <v>44931</v>
      </c>
      <c r="C419" s="2">
        <v>0.55208333333333337</v>
      </c>
      <c r="D419" t="s">
        <v>74</v>
      </c>
      <c r="E419" t="s">
        <v>48</v>
      </c>
      <c r="F419" t="s">
        <v>109</v>
      </c>
      <c r="G419" t="s">
        <v>168</v>
      </c>
      <c r="H419" s="2">
        <v>0.55486111111111114</v>
      </c>
      <c r="I419" s="2">
        <v>0.58402777777777781</v>
      </c>
      <c r="J419">
        <v>4</v>
      </c>
      <c r="K419">
        <v>19</v>
      </c>
      <c r="L419" t="s">
        <v>45</v>
      </c>
      <c r="M419">
        <v>22.5</v>
      </c>
      <c r="N419">
        <v>94</v>
      </c>
      <c r="O419">
        <v>23</v>
      </c>
      <c r="P419">
        <v>1.2</v>
      </c>
      <c r="Q419" t="s">
        <v>31</v>
      </c>
      <c r="R419">
        <v>50000</v>
      </c>
      <c r="S419">
        <v>5</v>
      </c>
      <c r="T419">
        <v>0</v>
      </c>
      <c r="U419">
        <v>0</v>
      </c>
      <c r="V419">
        <v>3</v>
      </c>
      <c r="W419" t="s">
        <v>72</v>
      </c>
      <c r="X419">
        <v>1</v>
      </c>
      <c r="Y419" t="str">
        <f t="shared" si="6"/>
        <v>Low</v>
      </c>
    </row>
    <row r="420" spans="1:25">
      <c r="A420" t="s">
        <v>533</v>
      </c>
      <c r="B420" s="1">
        <v>44931</v>
      </c>
      <c r="C420" s="2">
        <v>0.5625</v>
      </c>
      <c r="D420" t="s">
        <v>34</v>
      </c>
      <c r="E420" t="s">
        <v>130</v>
      </c>
      <c r="F420" t="s">
        <v>69</v>
      </c>
      <c r="G420" t="s">
        <v>95</v>
      </c>
      <c r="H420" s="2">
        <v>0.56388888888888888</v>
      </c>
      <c r="I420" s="2">
        <v>0.58194444444444449</v>
      </c>
      <c r="J420">
        <v>13</v>
      </c>
      <c r="K420">
        <v>-1</v>
      </c>
      <c r="L420" t="s">
        <v>54</v>
      </c>
      <c r="M420">
        <v>7.8</v>
      </c>
      <c r="N420">
        <v>45</v>
      </c>
      <c r="O420">
        <v>42</v>
      </c>
      <c r="P420">
        <v>11.6</v>
      </c>
      <c r="Q420" t="s">
        <v>71</v>
      </c>
      <c r="R420">
        <v>0</v>
      </c>
      <c r="S420">
        <v>24</v>
      </c>
      <c r="T420">
        <v>0</v>
      </c>
      <c r="U420">
        <v>0</v>
      </c>
      <c r="V420">
        <v>3</v>
      </c>
      <c r="W420" t="s">
        <v>72</v>
      </c>
      <c r="X420">
        <v>0</v>
      </c>
      <c r="Y420" t="str">
        <f t="shared" si="6"/>
        <v>Low</v>
      </c>
    </row>
    <row r="421" spans="1:25">
      <c r="A421" t="s">
        <v>534</v>
      </c>
      <c r="B421" s="1">
        <v>44931</v>
      </c>
      <c r="C421" s="2">
        <v>0.57291666666666663</v>
      </c>
      <c r="D421" t="s">
        <v>74</v>
      </c>
      <c r="E421" t="s">
        <v>27</v>
      </c>
      <c r="F421" t="s">
        <v>62</v>
      </c>
      <c r="G421" t="s">
        <v>116</v>
      </c>
      <c r="H421" s="2">
        <v>0.57361111111111107</v>
      </c>
      <c r="I421" s="2">
        <v>0.60555555555555551</v>
      </c>
      <c r="J421">
        <v>7</v>
      </c>
      <c r="K421">
        <v>25</v>
      </c>
      <c r="L421" t="s">
        <v>45</v>
      </c>
      <c r="M421">
        <v>2.9</v>
      </c>
      <c r="N421">
        <v>66</v>
      </c>
      <c r="O421">
        <v>17</v>
      </c>
      <c r="P421">
        <v>12.7</v>
      </c>
      <c r="Q421" t="s">
        <v>31</v>
      </c>
      <c r="R421">
        <v>0</v>
      </c>
      <c r="S421">
        <v>27</v>
      </c>
      <c r="T421">
        <v>0</v>
      </c>
      <c r="U421">
        <v>0</v>
      </c>
      <c r="V421">
        <v>3</v>
      </c>
      <c r="W421" t="s">
        <v>55</v>
      </c>
      <c r="X421">
        <v>1</v>
      </c>
      <c r="Y421" t="str">
        <f t="shared" si="6"/>
        <v>Low</v>
      </c>
    </row>
    <row r="422" spans="1:25">
      <c r="A422" t="s">
        <v>535</v>
      </c>
      <c r="B422" s="1">
        <v>44931</v>
      </c>
      <c r="C422" s="2">
        <v>0.58333333333333337</v>
      </c>
      <c r="D422" t="s">
        <v>74</v>
      </c>
      <c r="E422" t="s">
        <v>161</v>
      </c>
      <c r="F422" t="s">
        <v>118</v>
      </c>
      <c r="G422" t="s">
        <v>148</v>
      </c>
      <c r="H422" s="2">
        <v>0.5854166666666667</v>
      </c>
      <c r="I422" s="2">
        <v>0.59722222222222221</v>
      </c>
      <c r="J422">
        <v>16</v>
      </c>
      <c r="K422">
        <v>4</v>
      </c>
      <c r="L422" t="s">
        <v>30</v>
      </c>
      <c r="M422">
        <v>29.2</v>
      </c>
      <c r="N422">
        <v>81</v>
      </c>
      <c r="O422">
        <v>42</v>
      </c>
      <c r="P422">
        <v>2.7</v>
      </c>
      <c r="Q422" t="s">
        <v>31</v>
      </c>
      <c r="R422">
        <v>0</v>
      </c>
      <c r="S422">
        <v>61</v>
      </c>
      <c r="T422">
        <v>0</v>
      </c>
      <c r="U422">
        <v>0</v>
      </c>
      <c r="V422">
        <v>3</v>
      </c>
      <c r="W422" t="s">
        <v>72</v>
      </c>
      <c r="X422">
        <v>0</v>
      </c>
      <c r="Y422" t="str">
        <f t="shared" si="6"/>
        <v>Medium</v>
      </c>
    </row>
    <row r="423" spans="1:25">
      <c r="A423" t="s">
        <v>536</v>
      </c>
      <c r="B423" s="1">
        <v>44931</v>
      </c>
      <c r="C423" s="2">
        <v>0.59375</v>
      </c>
      <c r="D423" t="s">
        <v>74</v>
      </c>
      <c r="E423" t="s">
        <v>104</v>
      </c>
      <c r="F423" t="s">
        <v>168</v>
      </c>
      <c r="G423" t="s">
        <v>86</v>
      </c>
      <c r="H423" s="2">
        <v>0.59375</v>
      </c>
      <c r="I423" s="2">
        <v>0.61875000000000002</v>
      </c>
      <c r="J423">
        <v>14</v>
      </c>
      <c r="K423">
        <v>18</v>
      </c>
      <c r="L423" t="s">
        <v>77</v>
      </c>
      <c r="M423">
        <v>2.8</v>
      </c>
      <c r="N423">
        <v>39</v>
      </c>
      <c r="O423">
        <v>8</v>
      </c>
      <c r="P423">
        <v>9.5</v>
      </c>
      <c r="Q423" t="s">
        <v>31</v>
      </c>
      <c r="R423">
        <v>0</v>
      </c>
      <c r="S423">
        <v>21</v>
      </c>
      <c r="T423">
        <v>0</v>
      </c>
      <c r="U423">
        <v>0</v>
      </c>
      <c r="V423">
        <v>3</v>
      </c>
      <c r="W423" t="s">
        <v>72</v>
      </c>
      <c r="X423">
        <v>1</v>
      </c>
      <c r="Y423" t="str">
        <f t="shared" si="6"/>
        <v>Low</v>
      </c>
    </row>
    <row r="424" spans="1:25">
      <c r="A424" t="s">
        <v>537</v>
      </c>
      <c r="B424" s="1">
        <v>44931</v>
      </c>
      <c r="C424" s="2">
        <v>0.60416666666666663</v>
      </c>
      <c r="D424" t="s">
        <v>74</v>
      </c>
      <c r="E424" t="s">
        <v>35</v>
      </c>
      <c r="F424" t="s">
        <v>90</v>
      </c>
      <c r="G424" t="s">
        <v>109</v>
      </c>
      <c r="H424" s="2">
        <v>0.60624999999999996</v>
      </c>
      <c r="I424" s="2">
        <v>0.63888888888888884</v>
      </c>
      <c r="J424">
        <v>16</v>
      </c>
      <c r="K424">
        <v>25</v>
      </c>
      <c r="L424" t="s">
        <v>38</v>
      </c>
      <c r="M424">
        <v>1.5</v>
      </c>
      <c r="N424">
        <v>67</v>
      </c>
      <c r="O424">
        <v>18</v>
      </c>
      <c r="P424">
        <v>6.1</v>
      </c>
      <c r="Q424" t="s">
        <v>31</v>
      </c>
      <c r="R424">
        <v>0</v>
      </c>
      <c r="S424">
        <v>67</v>
      </c>
      <c r="T424">
        <v>0</v>
      </c>
      <c r="U424">
        <v>1</v>
      </c>
      <c r="V424">
        <v>3</v>
      </c>
      <c r="W424" t="s">
        <v>32</v>
      </c>
      <c r="X424">
        <v>1</v>
      </c>
      <c r="Y424" t="str">
        <f t="shared" si="6"/>
        <v>High</v>
      </c>
    </row>
    <row r="425" spans="1:25">
      <c r="A425" t="s">
        <v>538</v>
      </c>
      <c r="B425" s="1">
        <v>44931</v>
      </c>
      <c r="C425" s="2">
        <v>0.61458333333333337</v>
      </c>
      <c r="D425" t="s">
        <v>26</v>
      </c>
      <c r="E425" t="s">
        <v>57</v>
      </c>
      <c r="F425" t="s">
        <v>43</v>
      </c>
      <c r="G425" t="s">
        <v>81</v>
      </c>
      <c r="H425" s="2">
        <v>0.61458333333333337</v>
      </c>
      <c r="I425" s="2">
        <v>0.63472222222222219</v>
      </c>
      <c r="J425">
        <v>2</v>
      </c>
      <c r="K425">
        <v>-2</v>
      </c>
      <c r="L425" t="s">
        <v>54</v>
      </c>
      <c r="M425">
        <v>3.3</v>
      </c>
      <c r="N425">
        <v>73</v>
      </c>
      <c r="O425">
        <v>19</v>
      </c>
      <c r="P425">
        <v>18.600000000000001</v>
      </c>
      <c r="Q425" t="s">
        <v>31</v>
      </c>
      <c r="R425">
        <v>500</v>
      </c>
      <c r="S425">
        <v>14</v>
      </c>
      <c r="T425">
        <v>0</v>
      </c>
      <c r="U425">
        <v>1</v>
      </c>
      <c r="V425">
        <v>3</v>
      </c>
      <c r="W425" t="s">
        <v>32</v>
      </c>
      <c r="X425">
        <v>0</v>
      </c>
      <c r="Y425" t="str">
        <f t="shared" si="6"/>
        <v>Low</v>
      </c>
    </row>
    <row r="426" spans="1:25">
      <c r="A426" t="s">
        <v>539</v>
      </c>
      <c r="B426" s="1">
        <v>44931</v>
      </c>
      <c r="C426" s="2">
        <v>0.625</v>
      </c>
      <c r="D426" t="s">
        <v>34</v>
      </c>
      <c r="E426" t="s">
        <v>126</v>
      </c>
      <c r="F426" t="s">
        <v>107</v>
      </c>
      <c r="G426" t="s">
        <v>99</v>
      </c>
      <c r="H426" s="2">
        <v>0.62777777777777777</v>
      </c>
      <c r="I426" s="2">
        <v>0.66388888888888886</v>
      </c>
      <c r="J426">
        <v>17</v>
      </c>
      <c r="K426">
        <v>-3</v>
      </c>
      <c r="L426" t="s">
        <v>38</v>
      </c>
      <c r="M426">
        <v>15.4</v>
      </c>
      <c r="N426">
        <v>83</v>
      </c>
      <c r="O426">
        <v>41</v>
      </c>
      <c r="P426">
        <v>4.4000000000000004</v>
      </c>
      <c r="Q426" t="s">
        <v>71</v>
      </c>
      <c r="R426">
        <v>2000</v>
      </c>
      <c r="S426">
        <v>25</v>
      </c>
      <c r="T426">
        <v>0</v>
      </c>
      <c r="U426">
        <v>0</v>
      </c>
      <c r="V426">
        <v>3</v>
      </c>
      <c r="W426" t="s">
        <v>72</v>
      </c>
      <c r="X426">
        <v>0</v>
      </c>
      <c r="Y426" t="str">
        <f t="shared" si="6"/>
        <v>Low</v>
      </c>
    </row>
    <row r="427" spans="1:25">
      <c r="A427" t="s">
        <v>540</v>
      </c>
      <c r="B427" s="1">
        <v>44931</v>
      </c>
      <c r="C427" s="2">
        <v>0.63541666666666663</v>
      </c>
      <c r="D427" t="s">
        <v>41</v>
      </c>
      <c r="E427" t="s">
        <v>61</v>
      </c>
      <c r="F427" t="s">
        <v>95</v>
      </c>
      <c r="G427" t="s">
        <v>75</v>
      </c>
      <c r="H427" s="2">
        <v>0.6381944444444444</v>
      </c>
      <c r="I427" s="2">
        <v>0.66874999999999996</v>
      </c>
      <c r="J427">
        <v>10</v>
      </c>
      <c r="K427">
        <v>16</v>
      </c>
      <c r="L427" t="s">
        <v>30</v>
      </c>
      <c r="M427">
        <v>0</v>
      </c>
      <c r="N427">
        <v>80</v>
      </c>
      <c r="O427">
        <v>29</v>
      </c>
      <c r="P427">
        <v>14.7</v>
      </c>
      <c r="Q427" t="s">
        <v>31</v>
      </c>
      <c r="R427">
        <v>10000</v>
      </c>
      <c r="S427">
        <v>62</v>
      </c>
      <c r="T427">
        <v>0</v>
      </c>
      <c r="U427">
        <v>1</v>
      </c>
      <c r="V427">
        <v>3</v>
      </c>
      <c r="W427" t="s">
        <v>55</v>
      </c>
      <c r="X427">
        <v>1</v>
      </c>
      <c r="Y427" t="str">
        <f t="shared" si="6"/>
        <v>Medium</v>
      </c>
    </row>
    <row r="428" spans="1:25">
      <c r="A428" t="s">
        <v>541</v>
      </c>
      <c r="B428" s="1">
        <v>44931</v>
      </c>
      <c r="C428" s="2">
        <v>0.64583333333333337</v>
      </c>
      <c r="D428" t="s">
        <v>41</v>
      </c>
      <c r="E428" t="s">
        <v>157</v>
      </c>
      <c r="F428" t="s">
        <v>96</v>
      </c>
      <c r="G428" t="s">
        <v>37</v>
      </c>
      <c r="H428" s="2">
        <v>0.64583333333333337</v>
      </c>
      <c r="I428" s="2">
        <v>0.67152777777777772</v>
      </c>
      <c r="J428">
        <v>10</v>
      </c>
      <c r="K428">
        <v>17</v>
      </c>
      <c r="L428" t="s">
        <v>30</v>
      </c>
      <c r="M428">
        <v>32.5</v>
      </c>
      <c r="N428">
        <v>81</v>
      </c>
      <c r="O428">
        <v>25</v>
      </c>
      <c r="P428">
        <v>10.4</v>
      </c>
      <c r="Q428" t="s">
        <v>31</v>
      </c>
      <c r="R428">
        <v>0</v>
      </c>
      <c r="S428">
        <v>17</v>
      </c>
      <c r="T428">
        <v>0</v>
      </c>
      <c r="U428">
        <v>0</v>
      </c>
      <c r="V428">
        <v>3</v>
      </c>
      <c r="W428" t="s">
        <v>55</v>
      </c>
      <c r="X428">
        <v>1</v>
      </c>
      <c r="Y428" t="str">
        <f t="shared" si="6"/>
        <v>Low</v>
      </c>
    </row>
    <row r="429" spans="1:25">
      <c r="A429" t="s">
        <v>542</v>
      </c>
      <c r="B429" s="1">
        <v>44931</v>
      </c>
      <c r="C429" s="2">
        <v>0.65625</v>
      </c>
      <c r="D429" t="s">
        <v>34</v>
      </c>
      <c r="E429" t="s">
        <v>35</v>
      </c>
      <c r="F429" t="s">
        <v>154</v>
      </c>
      <c r="G429" t="s">
        <v>96</v>
      </c>
      <c r="H429" s="2">
        <v>0.65833333333333333</v>
      </c>
      <c r="I429" s="2">
        <v>0.6958333333333333</v>
      </c>
      <c r="J429">
        <v>8</v>
      </c>
      <c r="K429">
        <v>4</v>
      </c>
      <c r="L429" t="s">
        <v>38</v>
      </c>
      <c r="M429">
        <v>33.700000000000003</v>
      </c>
      <c r="N429">
        <v>99</v>
      </c>
      <c r="O429">
        <v>30</v>
      </c>
      <c r="P429">
        <v>0.2</v>
      </c>
      <c r="Q429" t="s">
        <v>31</v>
      </c>
      <c r="R429">
        <v>0</v>
      </c>
      <c r="S429">
        <v>72</v>
      </c>
      <c r="T429">
        <v>0</v>
      </c>
      <c r="U429">
        <v>0</v>
      </c>
      <c r="V429">
        <v>3</v>
      </c>
      <c r="W429" t="s">
        <v>55</v>
      </c>
      <c r="X429">
        <v>0</v>
      </c>
      <c r="Y429" t="str">
        <f t="shared" si="6"/>
        <v>High</v>
      </c>
    </row>
    <row r="430" spans="1:25">
      <c r="A430" t="s">
        <v>543</v>
      </c>
      <c r="B430" s="1">
        <v>44931</v>
      </c>
      <c r="C430" s="2">
        <v>0.66666666666666663</v>
      </c>
      <c r="D430" t="s">
        <v>41</v>
      </c>
      <c r="E430" t="s">
        <v>126</v>
      </c>
      <c r="F430" t="s">
        <v>123</v>
      </c>
      <c r="G430" t="s">
        <v>185</v>
      </c>
      <c r="H430" s="2">
        <v>0.66666666666666663</v>
      </c>
      <c r="I430" s="2">
        <v>0.70694444444444449</v>
      </c>
      <c r="J430">
        <v>8</v>
      </c>
      <c r="K430">
        <v>23</v>
      </c>
      <c r="L430" t="s">
        <v>54</v>
      </c>
      <c r="M430">
        <v>34</v>
      </c>
      <c r="N430">
        <v>88</v>
      </c>
      <c r="O430">
        <v>34</v>
      </c>
      <c r="P430">
        <v>10.3</v>
      </c>
      <c r="Q430" t="s">
        <v>101</v>
      </c>
      <c r="R430">
        <v>50000</v>
      </c>
      <c r="S430">
        <v>62</v>
      </c>
      <c r="T430">
        <v>0</v>
      </c>
      <c r="U430">
        <v>0</v>
      </c>
      <c r="V430">
        <v>3</v>
      </c>
      <c r="W430" t="s">
        <v>39</v>
      </c>
      <c r="X430">
        <v>1</v>
      </c>
      <c r="Y430" t="str">
        <f t="shared" si="6"/>
        <v>Medium</v>
      </c>
    </row>
    <row r="431" spans="1:25">
      <c r="A431" t="s">
        <v>544</v>
      </c>
      <c r="B431" s="1">
        <v>44931</v>
      </c>
      <c r="C431" s="2">
        <v>0.67708333333333337</v>
      </c>
      <c r="D431" t="s">
        <v>34</v>
      </c>
      <c r="E431" t="s">
        <v>79</v>
      </c>
      <c r="F431" t="s">
        <v>135</v>
      </c>
      <c r="G431" t="s">
        <v>151</v>
      </c>
      <c r="H431" s="2">
        <v>0.67777777777777781</v>
      </c>
      <c r="I431" s="2">
        <v>0.69444444444444442</v>
      </c>
      <c r="J431">
        <v>13</v>
      </c>
      <c r="K431">
        <v>2</v>
      </c>
      <c r="L431" t="s">
        <v>84</v>
      </c>
      <c r="M431">
        <v>-3.4</v>
      </c>
      <c r="N431">
        <v>42</v>
      </c>
      <c r="O431">
        <v>2</v>
      </c>
      <c r="P431">
        <v>2</v>
      </c>
      <c r="Q431" t="s">
        <v>31</v>
      </c>
      <c r="R431">
        <v>0</v>
      </c>
      <c r="S431">
        <v>61</v>
      </c>
      <c r="T431">
        <v>0</v>
      </c>
      <c r="U431">
        <v>0</v>
      </c>
      <c r="V431">
        <v>3</v>
      </c>
      <c r="W431" t="s">
        <v>39</v>
      </c>
      <c r="X431">
        <v>0</v>
      </c>
      <c r="Y431" t="str">
        <f t="shared" si="6"/>
        <v>Medium</v>
      </c>
    </row>
    <row r="432" spans="1:25">
      <c r="A432" t="s">
        <v>545</v>
      </c>
      <c r="B432" s="1">
        <v>44931</v>
      </c>
      <c r="C432" s="2">
        <v>0.6875</v>
      </c>
      <c r="D432" t="s">
        <v>41</v>
      </c>
      <c r="E432" t="s">
        <v>57</v>
      </c>
      <c r="F432" t="s">
        <v>49</v>
      </c>
      <c r="G432" t="s">
        <v>80</v>
      </c>
      <c r="H432" s="2">
        <v>0.69027777777777777</v>
      </c>
      <c r="I432" s="2">
        <v>0.72847222222222219</v>
      </c>
      <c r="J432">
        <v>12</v>
      </c>
      <c r="K432">
        <v>15</v>
      </c>
      <c r="L432" t="s">
        <v>84</v>
      </c>
      <c r="M432">
        <v>32.799999999999997</v>
      </c>
      <c r="N432">
        <v>70</v>
      </c>
      <c r="O432">
        <v>55</v>
      </c>
      <c r="P432">
        <v>13.2</v>
      </c>
      <c r="Q432" t="s">
        <v>31</v>
      </c>
      <c r="R432">
        <v>50000</v>
      </c>
      <c r="S432">
        <v>67</v>
      </c>
      <c r="T432">
        <v>1</v>
      </c>
      <c r="U432">
        <v>0</v>
      </c>
      <c r="V432">
        <v>3</v>
      </c>
      <c r="W432" t="s">
        <v>55</v>
      </c>
      <c r="X432">
        <v>1</v>
      </c>
      <c r="Y432" t="str">
        <f t="shared" si="6"/>
        <v>High</v>
      </c>
    </row>
    <row r="433" spans="1:25">
      <c r="A433" t="s">
        <v>546</v>
      </c>
      <c r="B433" s="1">
        <v>44931</v>
      </c>
      <c r="C433" s="2">
        <v>0.69791666666666663</v>
      </c>
      <c r="D433" t="s">
        <v>74</v>
      </c>
      <c r="E433" t="s">
        <v>48</v>
      </c>
      <c r="F433" t="s">
        <v>113</v>
      </c>
      <c r="G433" t="s">
        <v>96</v>
      </c>
      <c r="H433" s="2">
        <v>0.69861111111111107</v>
      </c>
      <c r="I433" s="2">
        <v>0.71944444444444444</v>
      </c>
      <c r="J433">
        <v>14</v>
      </c>
      <c r="K433">
        <v>14</v>
      </c>
      <c r="L433" t="s">
        <v>77</v>
      </c>
      <c r="M433">
        <v>34.9</v>
      </c>
      <c r="N433">
        <v>41</v>
      </c>
      <c r="O433">
        <v>39</v>
      </c>
      <c r="P433">
        <v>11.3</v>
      </c>
      <c r="Q433" t="s">
        <v>31</v>
      </c>
      <c r="R433">
        <v>10000</v>
      </c>
      <c r="S433">
        <v>47</v>
      </c>
      <c r="T433">
        <v>0</v>
      </c>
      <c r="U433">
        <v>0</v>
      </c>
      <c r="V433">
        <v>3</v>
      </c>
      <c r="W433" t="s">
        <v>32</v>
      </c>
      <c r="X433">
        <v>1</v>
      </c>
      <c r="Y433" t="str">
        <f t="shared" si="6"/>
        <v>Medium</v>
      </c>
    </row>
    <row r="434" spans="1:25">
      <c r="A434" t="s">
        <v>547</v>
      </c>
      <c r="B434" s="1">
        <v>44931</v>
      </c>
      <c r="C434" s="2">
        <v>0.70833333333333337</v>
      </c>
      <c r="D434" t="s">
        <v>41</v>
      </c>
      <c r="E434" t="s">
        <v>89</v>
      </c>
      <c r="F434" t="s">
        <v>168</v>
      </c>
      <c r="G434" t="s">
        <v>43</v>
      </c>
      <c r="H434" s="2">
        <v>0.71111111111111114</v>
      </c>
      <c r="I434" s="2">
        <v>0.73124999999999996</v>
      </c>
      <c r="J434">
        <v>19</v>
      </c>
      <c r="K434">
        <v>-3</v>
      </c>
      <c r="L434" t="s">
        <v>38</v>
      </c>
      <c r="M434">
        <v>32.700000000000003</v>
      </c>
      <c r="N434">
        <v>79</v>
      </c>
      <c r="O434">
        <v>28</v>
      </c>
      <c r="P434">
        <v>0.2</v>
      </c>
      <c r="Q434" t="s">
        <v>31</v>
      </c>
      <c r="R434">
        <v>50000</v>
      </c>
      <c r="S434">
        <v>49</v>
      </c>
      <c r="T434">
        <v>0</v>
      </c>
      <c r="U434">
        <v>0</v>
      </c>
      <c r="V434">
        <v>3</v>
      </c>
      <c r="W434" t="s">
        <v>39</v>
      </c>
      <c r="X434">
        <v>0</v>
      </c>
      <c r="Y434" t="str">
        <f t="shared" si="6"/>
        <v>Medium</v>
      </c>
    </row>
    <row r="435" spans="1:25">
      <c r="A435" t="s">
        <v>548</v>
      </c>
      <c r="B435" s="1">
        <v>44931</v>
      </c>
      <c r="C435" s="2">
        <v>0.71875</v>
      </c>
      <c r="D435" t="s">
        <v>34</v>
      </c>
      <c r="E435" t="s">
        <v>157</v>
      </c>
      <c r="F435" t="s">
        <v>194</v>
      </c>
      <c r="G435" t="s">
        <v>49</v>
      </c>
      <c r="H435" s="2">
        <v>0.72152777777777777</v>
      </c>
      <c r="I435" s="2">
        <v>0.73888888888888893</v>
      </c>
      <c r="J435">
        <v>15</v>
      </c>
      <c r="K435">
        <v>21</v>
      </c>
      <c r="L435" t="s">
        <v>38</v>
      </c>
      <c r="M435">
        <v>21.8</v>
      </c>
      <c r="N435">
        <v>86</v>
      </c>
      <c r="O435">
        <v>5</v>
      </c>
      <c r="P435">
        <v>4.0999999999999996</v>
      </c>
      <c r="Q435" t="s">
        <v>31</v>
      </c>
      <c r="R435">
        <v>0</v>
      </c>
      <c r="S435">
        <v>62</v>
      </c>
      <c r="T435">
        <v>0</v>
      </c>
      <c r="U435">
        <v>0</v>
      </c>
      <c r="V435">
        <v>3</v>
      </c>
      <c r="W435" t="s">
        <v>55</v>
      </c>
      <c r="X435">
        <v>1</v>
      </c>
      <c r="Y435" t="str">
        <f t="shared" si="6"/>
        <v>Medium</v>
      </c>
    </row>
    <row r="436" spans="1:25">
      <c r="A436" t="s">
        <v>549</v>
      </c>
      <c r="B436" s="1">
        <v>44931</v>
      </c>
      <c r="C436" s="2">
        <v>0.72916666666666663</v>
      </c>
      <c r="D436" t="s">
        <v>34</v>
      </c>
      <c r="E436" t="s">
        <v>141</v>
      </c>
      <c r="F436" t="s">
        <v>151</v>
      </c>
      <c r="G436" t="s">
        <v>203</v>
      </c>
      <c r="H436" s="2">
        <v>0.73055555555555551</v>
      </c>
      <c r="I436" s="2">
        <v>0.75624999999999998</v>
      </c>
      <c r="J436">
        <v>16</v>
      </c>
      <c r="K436">
        <v>23</v>
      </c>
      <c r="L436" t="s">
        <v>54</v>
      </c>
      <c r="M436">
        <v>23</v>
      </c>
      <c r="N436">
        <v>79</v>
      </c>
      <c r="O436">
        <v>51</v>
      </c>
      <c r="P436">
        <v>15.5</v>
      </c>
      <c r="Q436" t="s">
        <v>71</v>
      </c>
      <c r="R436">
        <v>0</v>
      </c>
      <c r="S436">
        <v>68</v>
      </c>
      <c r="T436">
        <v>0</v>
      </c>
      <c r="U436">
        <v>1</v>
      </c>
      <c r="V436">
        <v>3</v>
      </c>
      <c r="W436" t="s">
        <v>39</v>
      </c>
      <c r="X436">
        <v>1</v>
      </c>
      <c r="Y436" t="str">
        <f t="shared" si="6"/>
        <v>High</v>
      </c>
    </row>
    <row r="437" spans="1:25">
      <c r="A437" t="s">
        <v>550</v>
      </c>
      <c r="B437" s="1">
        <v>44931</v>
      </c>
      <c r="C437" s="2">
        <v>0.73958333333333337</v>
      </c>
      <c r="D437" t="s">
        <v>34</v>
      </c>
      <c r="E437" t="s">
        <v>157</v>
      </c>
      <c r="F437" t="s">
        <v>194</v>
      </c>
      <c r="G437" t="s">
        <v>123</v>
      </c>
      <c r="H437" s="2">
        <v>0.74027777777777781</v>
      </c>
      <c r="I437" s="2">
        <v>0.7631944444444444</v>
      </c>
      <c r="J437">
        <v>1</v>
      </c>
      <c r="K437">
        <v>3</v>
      </c>
      <c r="L437" t="s">
        <v>38</v>
      </c>
      <c r="M437">
        <v>-0.1</v>
      </c>
      <c r="N437">
        <v>86</v>
      </c>
      <c r="O437">
        <v>0</v>
      </c>
      <c r="P437">
        <v>5.5</v>
      </c>
      <c r="Q437" t="s">
        <v>59</v>
      </c>
      <c r="R437">
        <v>500</v>
      </c>
      <c r="S437">
        <v>5</v>
      </c>
      <c r="T437">
        <v>0</v>
      </c>
      <c r="U437">
        <v>0</v>
      </c>
      <c r="V437">
        <v>3</v>
      </c>
      <c r="W437" t="s">
        <v>39</v>
      </c>
      <c r="X437">
        <v>0</v>
      </c>
      <c r="Y437" t="str">
        <f t="shared" si="6"/>
        <v>Low</v>
      </c>
    </row>
    <row r="438" spans="1:25">
      <c r="A438" t="s">
        <v>551</v>
      </c>
      <c r="B438" s="1">
        <v>44931</v>
      </c>
      <c r="C438" s="2">
        <v>0.75</v>
      </c>
      <c r="D438" t="s">
        <v>34</v>
      </c>
      <c r="E438" t="s">
        <v>141</v>
      </c>
      <c r="F438" t="s">
        <v>49</v>
      </c>
      <c r="G438" t="s">
        <v>81</v>
      </c>
      <c r="H438" s="2">
        <v>0.75069444444444444</v>
      </c>
      <c r="I438" s="2">
        <v>0.78472222222222221</v>
      </c>
      <c r="J438">
        <v>19</v>
      </c>
      <c r="K438">
        <v>25</v>
      </c>
      <c r="L438" t="s">
        <v>54</v>
      </c>
      <c r="M438">
        <v>30</v>
      </c>
      <c r="N438">
        <v>83</v>
      </c>
      <c r="O438">
        <v>51</v>
      </c>
      <c r="P438">
        <v>10</v>
      </c>
      <c r="Q438" t="s">
        <v>31</v>
      </c>
      <c r="R438">
        <v>2000</v>
      </c>
      <c r="S438">
        <v>57</v>
      </c>
      <c r="T438">
        <v>0</v>
      </c>
      <c r="U438">
        <v>0</v>
      </c>
      <c r="V438">
        <v>3</v>
      </c>
      <c r="W438" t="s">
        <v>39</v>
      </c>
      <c r="X438">
        <v>1</v>
      </c>
      <c r="Y438" t="str">
        <f t="shared" si="6"/>
        <v>Medium</v>
      </c>
    </row>
    <row r="439" spans="1:25">
      <c r="A439" t="s">
        <v>552</v>
      </c>
      <c r="B439" s="1">
        <v>44931</v>
      </c>
      <c r="C439" s="2">
        <v>0.76041666666666663</v>
      </c>
      <c r="D439" t="s">
        <v>34</v>
      </c>
      <c r="E439" t="s">
        <v>27</v>
      </c>
      <c r="F439" t="s">
        <v>58</v>
      </c>
      <c r="G439" t="s">
        <v>176</v>
      </c>
      <c r="H439" s="2">
        <v>0.76180555555555551</v>
      </c>
      <c r="I439" s="2">
        <v>0.77847222222222223</v>
      </c>
      <c r="J439">
        <v>19</v>
      </c>
      <c r="K439">
        <v>27</v>
      </c>
      <c r="L439" t="s">
        <v>38</v>
      </c>
      <c r="M439">
        <v>-2.6</v>
      </c>
      <c r="N439">
        <v>95</v>
      </c>
      <c r="O439">
        <v>23</v>
      </c>
      <c r="P439">
        <v>6.2</v>
      </c>
      <c r="Q439" t="s">
        <v>31</v>
      </c>
      <c r="R439">
        <v>0</v>
      </c>
      <c r="S439">
        <v>50</v>
      </c>
      <c r="T439">
        <v>0</v>
      </c>
      <c r="U439">
        <v>1</v>
      </c>
      <c r="V439">
        <v>3</v>
      </c>
      <c r="W439" t="s">
        <v>39</v>
      </c>
      <c r="X439">
        <v>1</v>
      </c>
      <c r="Y439" t="str">
        <f t="shared" si="6"/>
        <v>Medium</v>
      </c>
    </row>
    <row r="440" spans="1:25">
      <c r="A440" t="s">
        <v>553</v>
      </c>
      <c r="B440" s="1">
        <v>44931</v>
      </c>
      <c r="C440" s="2">
        <v>0.77083333333333337</v>
      </c>
      <c r="D440" t="s">
        <v>26</v>
      </c>
      <c r="E440" t="s">
        <v>141</v>
      </c>
      <c r="F440" t="s">
        <v>95</v>
      </c>
      <c r="G440" t="s">
        <v>91</v>
      </c>
      <c r="H440" s="2">
        <v>0.7729166666666667</v>
      </c>
      <c r="I440" s="2">
        <v>0.79097222222222219</v>
      </c>
      <c r="J440">
        <v>2</v>
      </c>
      <c r="K440">
        <v>15</v>
      </c>
      <c r="L440" t="s">
        <v>30</v>
      </c>
      <c r="M440">
        <v>7.7</v>
      </c>
      <c r="N440">
        <v>37</v>
      </c>
      <c r="O440">
        <v>37</v>
      </c>
      <c r="P440">
        <v>18.399999999999999</v>
      </c>
      <c r="Q440" t="s">
        <v>46</v>
      </c>
      <c r="R440">
        <v>2000</v>
      </c>
      <c r="S440">
        <v>11</v>
      </c>
      <c r="T440">
        <v>0</v>
      </c>
      <c r="U440">
        <v>0</v>
      </c>
      <c r="V440">
        <v>3</v>
      </c>
      <c r="W440" t="s">
        <v>55</v>
      </c>
      <c r="X440">
        <v>1</v>
      </c>
      <c r="Y440" t="str">
        <f t="shared" si="6"/>
        <v>Low</v>
      </c>
    </row>
    <row r="441" spans="1:25">
      <c r="A441" t="s">
        <v>554</v>
      </c>
      <c r="B441" s="1">
        <v>44931</v>
      </c>
      <c r="C441" s="2">
        <v>0.78125</v>
      </c>
      <c r="D441" t="s">
        <v>26</v>
      </c>
      <c r="E441" t="s">
        <v>157</v>
      </c>
      <c r="F441" t="s">
        <v>154</v>
      </c>
      <c r="G441" t="s">
        <v>109</v>
      </c>
      <c r="H441" s="2">
        <v>0.78194444444444444</v>
      </c>
      <c r="I441" s="2">
        <v>0.80138888888888893</v>
      </c>
      <c r="J441">
        <v>4</v>
      </c>
      <c r="K441">
        <v>2</v>
      </c>
      <c r="L441" t="s">
        <v>45</v>
      </c>
      <c r="M441">
        <v>34.6</v>
      </c>
      <c r="N441">
        <v>92</v>
      </c>
      <c r="O441">
        <v>33</v>
      </c>
      <c r="P441">
        <v>10.7</v>
      </c>
      <c r="Q441" t="s">
        <v>31</v>
      </c>
      <c r="R441">
        <v>0</v>
      </c>
      <c r="S441">
        <v>94</v>
      </c>
      <c r="T441">
        <v>0</v>
      </c>
      <c r="U441">
        <v>0</v>
      </c>
      <c r="V441">
        <v>3</v>
      </c>
      <c r="W441" t="s">
        <v>39</v>
      </c>
      <c r="X441">
        <v>0</v>
      </c>
      <c r="Y441" t="str">
        <f t="shared" si="6"/>
        <v>High</v>
      </c>
    </row>
    <row r="442" spans="1:25">
      <c r="A442" t="s">
        <v>555</v>
      </c>
      <c r="B442" s="1">
        <v>44931</v>
      </c>
      <c r="C442" s="2">
        <v>0.79166666666666663</v>
      </c>
      <c r="D442" t="s">
        <v>41</v>
      </c>
      <c r="E442" t="s">
        <v>68</v>
      </c>
      <c r="F442" t="s">
        <v>142</v>
      </c>
      <c r="G442" t="s">
        <v>151</v>
      </c>
      <c r="H442" s="2">
        <v>0.79166666666666663</v>
      </c>
      <c r="I442" s="2">
        <v>0.83194444444444449</v>
      </c>
      <c r="J442">
        <v>-1</v>
      </c>
      <c r="K442">
        <v>21</v>
      </c>
      <c r="L442" t="s">
        <v>38</v>
      </c>
      <c r="M442">
        <v>11.9</v>
      </c>
      <c r="N442">
        <v>38</v>
      </c>
      <c r="O442">
        <v>50</v>
      </c>
      <c r="P442">
        <v>13.9</v>
      </c>
      <c r="Q442" t="s">
        <v>31</v>
      </c>
      <c r="R442">
        <v>0</v>
      </c>
      <c r="S442">
        <v>46</v>
      </c>
      <c r="T442">
        <v>0</v>
      </c>
      <c r="U442">
        <v>0</v>
      </c>
      <c r="V442">
        <v>3</v>
      </c>
      <c r="W442" t="s">
        <v>72</v>
      </c>
      <c r="X442">
        <v>1</v>
      </c>
      <c r="Y442" t="str">
        <f t="shared" si="6"/>
        <v>Medium</v>
      </c>
    </row>
    <row r="443" spans="1:25">
      <c r="A443" t="s">
        <v>556</v>
      </c>
      <c r="B443" s="1">
        <v>44931</v>
      </c>
      <c r="C443" s="2">
        <v>0.80208333333333337</v>
      </c>
      <c r="D443" t="s">
        <v>34</v>
      </c>
      <c r="E443" t="s">
        <v>104</v>
      </c>
      <c r="F443" t="s">
        <v>107</v>
      </c>
      <c r="G443" t="s">
        <v>109</v>
      </c>
      <c r="H443" s="2">
        <v>0.80347222222222225</v>
      </c>
      <c r="I443" s="2">
        <v>0.83472222222222225</v>
      </c>
      <c r="J443">
        <v>-2</v>
      </c>
      <c r="K443">
        <v>27</v>
      </c>
      <c r="L443" t="s">
        <v>45</v>
      </c>
      <c r="M443">
        <v>0.2</v>
      </c>
      <c r="N443">
        <v>89</v>
      </c>
      <c r="O443">
        <v>59</v>
      </c>
      <c r="P443">
        <v>1.7</v>
      </c>
      <c r="Q443" t="s">
        <v>31</v>
      </c>
      <c r="R443">
        <v>10000</v>
      </c>
      <c r="S443">
        <v>8</v>
      </c>
      <c r="T443">
        <v>0</v>
      </c>
      <c r="U443">
        <v>1</v>
      </c>
      <c r="V443">
        <v>3</v>
      </c>
      <c r="W443" t="s">
        <v>55</v>
      </c>
      <c r="X443">
        <v>1</v>
      </c>
      <c r="Y443" t="str">
        <f t="shared" si="6"/>
        <v>Low</v>
      </c>
    </row>
    <row r="444" spans="1:25">
      <c r="A444" t="s">
        <v>557</v>
      </c>
      <c r="B444" s="1">
        <v>44931</v>
      </c>
      <c r="C444" s="2">
        <v>0.8125</v>
      </c>
      <c r="D444" t="s">
        <v>41</v>
      </c>
      <c r="E444" t="s">
        <v>98</v>
      </c>
      <c r="F444" t="s">
        <v>75</v>
      </c>
      <c r="G444" t="s">
        <v>69</v>
      </c>
      <c r="H444" s="2">
        <v>0.81319444444444444</v>
      </c>
      <c r="I444" s="2">
        <v>0.84652777777777777</v>
      </c>
      <c r="J444">
        <v>9</v>
      </c>
      <c r="K444">
        <v>5</v>
      </c>
      <c r="L444" t="s">
        <v>84</v>
      </c>
      <c r="M444">
        <v>33.799999999999997</v>
      </c>
      <c r="N444">
        <v>92</v>
      </c>
      <c r="O444">
        <v>6</v>
      </c>
      <c r="P444">
        <v>0.8</v>
      </c>
      <c r="Q444" t="s">
        <v>101</v>
      </c>
      <c r="R444">
        <v>0</v>
      </c>
      <c r="S444">
        <v>6</v>
      </c>
      <c r="T444">
        <v>0</v>
      </c>
      <c r="U444">
        <v>1</v>
      </c>
      <c r="V444">
        <v>3</v>
      </c>
      <c r="W444" t="s">
        <v>55</v>
      </c>
      <c r="X444">
        <v>0</v>
      </c>
      <c r="Y444" t="str">
        <f t="shared" si="6"/>
        <v>Low</v>
      </c>
    </row>
    <row r="445" spans="1:25">
      <c r="A445" t="s">
        <v>558</v>
      </c>
      <c r="B445" s="1">
        <v>44931</v>
      </c>
      <c r="C445" s="2">
        <v>0.82291666666666663</v>
      </c>
      <c r="D445" t="s">
        <v>34</v>
      </c>
      <c r="E445" t="s">
        <v>48</v>
      </c>
      <c r="F445" t="s">
        <v>44</v>
      </c>
      <c r="G445" t="s">
        <v>197</v>
      </c>
      <c r="H445" s="2">
        <v>0.82499999999999996</v>
      </c>
      <c r="I445" s="2">
        <v>0.8618055555555556</v>
      </c>
      <c r="J445">
        <v>7</v>
      </c>
      <c r="K445">
        <v>16</v>
      </c>
      <c r="L445" t="s">
        <v>77</v>
      </c>
      <c r="M445">
        <v>34.4</v>
      </c>
      <c r="N445">
        <v>32</v>
      </c>
      <c r="O445">
        <v>10</v>
      </c>
      <c r="P445">
        <v>5.2</v>
      </c>
      <c r="Q445" t="s">
        <v>59</v>
      </c>
      <c r="R445">
        <v>0</v>
      </c>
      <c r="S445">
        <v>28</v>
      </c>
      <c r="T445">
        <v>1</v>
      </c>
      <c r="U445">
        <v>0</v>
      </c>
      <c r="V445">
        <v>3</v>
      </c>
      <c r="W445" t="s">
        <v>55</v>
      </c>
      <c r="X445">
        <v>1</v>
      </c>
      <c r="Y445" t="str">
        <f t="shared" si="6"/>
        <v>Low</v>
      </c>
    </row>
    <row r="446" spans="1:25">
      <c r="A446" t="s">
        <v>559</v>
      </c>
      <c r="B446" s="1">
        <v>44931</v>
      </c>
      <c r="C446" s="2">
        <v>0.83333333333333337</v>
      </c>
      <c r="D446" t="s">
        <v>34</v>
      </c>
      <c r="E446" t="s">
        <v>48</v>
      </c>
      <c r="F446" t="s">
        <v>81</v>
      </c>
      <c r="G446" t="s">
        <v>43</v>
      </c>
      <c r="H446" s="2">
        <v>0.83402777777777781</v>
      </c>
      <c r="I446" s="2">
        <v>0.84861111111111109</v>
      </c>
      <c r="J446">
        <v>5</v>
      </c>
      <c r="K446">
        <v>6</v>
      </c>
      <c r="L446" t="s">
        <v>84</v>
      </c>
      <c r="M446">
        <v>2.5</v>
      </c>
      <c r="N446">
        <v>42</v>
      </c>
      <c r="O446">
        <v>10</v>
      </c>
      <c r="P446">
        <v>6.2</v>
      </c>
      <c r="Q446" t="s">
        <v>31</v>
      </c>
      <c r="R446">
        <v>0</v>
      </c>
      <c r="S446">
        <v>77</v>
      </c>
      <c r="T446">
        <v>0</v>
      </c>
      <c r="U446">
        <v>0</v>
      </c>
      <c r="V446">
        <v>3</v>
      </c>
      <c r="W446" t="s">
        <v>39</v>
      </c>
      <c r="X446">
        <v>1</v>
      </c>
      <c r="Y446" t="str">
        <f t="shared" si="6"/>
        <v>High</v>
      </c>
    </row>
    <row r="447" spans="1:25">
      <c r="A447" t="s">
        <v>560</v>
      </c>
      <c r="B447" s="1">
        <v>44931</v>
      </c>
      <c r="C447" s="2">
        <v>0.84375</v>
      </c>
      <c r="D447" t="s">
        <v>26</v>
      </c>
      <c r="E447" t="s">
        <v>35</v>
      </c>
      <c r="F447" t="s">
        <v>53</v>
      </c>
      <c r="G447" t="s">
        <v>81</v>
      </c>
      <c r="H447" s="2">
        <v>0.84652777777777777</v>
      </c>
      <c r="I447" s="2">
        <v>0.86736111111111114</v>
      </c>
      <c r="J447">
        <v>-2</v>
      </c>
      <c r="K447">
        <v>23</v>
      </c>
      <c r="L447" t="s">
        <v>38</v>
      </c>
      <c r="M447">
        <v>29.6</v>
      </c>
      <c r="N447">
        <v>38</v>
      </c>
      <c r="O447">
        <v>35</v>
      </c>
      <c r="P447">
        <v>13.8</v>
      </c>
      <c r="Q447" t="s">
        <v>31</v>
      </c>
      <c r="R447">
        <v>0</v>
      </c>
      <c r="S447">
        <v>50</v>
      </c>
      <c r="T447">
        <v>0</v>
      </c>
      <c r="U447">
        <v>0</v>
      </c>
      <c r="V447">
        <v>3</v>
      </c>
      <c r="W447" t="s">
        <v>55</v>
      </c>
      <c r="X447">
        <v>1</v>
      </c>
      <c r="Y447" t="str">
        <f t="shared" si="6"/>
        <v>Medium</v>
      </c>
    </row>
    <row r="448" spans="1:25">
      <c r="A448" t="s">
        <v>561</v>
      </c>
      <c r="B448" s="1">
        <v>44931</v>
      </c>
      <c r="C448" s="2">
        <v>0.85416666666666663</v>
      </c>
      <c r="D448" t="s">
        <v>26</v>
      </c>
      <c r="E448" t="s">
        <v>130</v>
      </c>
      <c r="F448" t="s">
        <v>83</v>
      </c>
      <c r="G448" t="s">
        <v>29</v>
      </c>
      <c r="H448" s="2">
        <v>0.85416666666666663</v>
      </c>
      <c r="I448" s="2">
        <v>0.88194444444444442</v>
      </c>
      <c r="J448">
        <v>9</v>
      </c>
      <c r="K448">
        <v>9</v>
      </c>
      <c r="L448" t="s">
        <v>54</v>
      </c>
      <c r="M448">
        <v>10.6</v>
      </c>
      <c r="N448">
        <v>81</v>
      </c>
      <c r="O448">
        <v>19</v>
      </c>
      <c r="P448">
        <v>11.4</v>
      </c>
      <c r="Q448" t="s">
        <v>46</v>
      </c>
      <c r="R448">
        <v>0</v>
      </c>
      <c r="S448">
        <v>83</v>
      </c>
      <c r="T448">
        <v>0</v>
      </c>
      <c r="U448">
        <v>0</v>
      </c>
      <c r="V448">
        <v>3</v>
      </c>
      <c r="W448" t="s">
        <v>32</v>
      </c>
      <c r="X448">
        <v>1</v>
      </c>
      <c r="Y448" t="str">
        <f t="shared" si="6"/>
        <v>High</v>
      </c>
    </row>
    <row r="449" spans="1:25">
      <c r="A449" t="s">
        <v>562</v>
      </c>
      <c r="B449" s="1">
        <v>44931</v>
      </c>
      <c r="C449" s="2">
        <v>0.86458333333333337</v>
      </c>
      <c r="D449" t="s">
        <v>74</v>
      </c>
      <c r="E449" t="s">
        <v>93</v>
      </c>
      <c r="F449" t="s">
        <v>168</v>
      </c>
      <c r="G449" t="s">
        <v>86</v>
      </c>
      <c r="H449" s="2">
        <v>0.86597222222222225</v>
      </c>
      <c r="I449" s="2">
        <v>0.90347222222222223</v>
      </c>
      <c r="J449">
        <v>-1</v>
      </c>
      <c r="K449">
        <v>-2</v>
      </c>
      <c r="L449" t="s">
        <v>84</v>
      </c>
      <c r="M449">
        <v>10.3</v>
      </c>
      <c r="N449">
        <v>91</v>
      </c>
      <c r="O449">
        <v>15</v>
      </c>
      <c r="P449">
        <v>7.5</v>
      </c>
      <c r="Q449" t="s">
        <v>31</v>
      </c>
      <c r="R449">
        <v>0</v>
      </c>
      <c r="S449">
        <v>54</v>
      </c>
      <c r="T449">
        <v>0</v>
      </c>
      <c r="U449">
        <v>1</v>
      </c>
      <c r="V449">
        <v>3</v>
      </c>
      <c r="W449" t="s">
        <v>72</v>
      </c>
      <c r="X449">
        <v>0</v>
      </c>
      <c r="Y449" t="str">
        <f t="shared" si="6"/>
        <v>Medium</v>
      </c>
    </row>
    <row r="450" spans="1:25">
      <c r="A450" t="s">
        <v>563</v>
      </c>
      <c r="B450" s="1">
        <v>44931</v>
      </c>
      <c r="C450" s="2">
        <v>0.875</v>
      </c>
      <c r="D450" t="s">
        <v>26</v>
      </c>
      <c r="E450" t="s">
        <v>79</v>
      </c>
      <c r="F450" t="s">
        <v>43</v>
      </c>
      <c r="G450" t="s">
        <v>43</v>
      </c>
      <c r="H450" s="2">
        <v>0.87777777777777777</v>
      </c>
      <c r="I450" s="2">
        <v>0.89652777777777781</v>
      </c>
      <c r="J450">
        <v>7</v>
      </c>
      <c r="K450">
        <v>17</v>
      </c>
      <c r="L450" t="s">
        <v>30</v>
      </c>
      <c r="M450">
        <v>5.5</v>
      </c>
      <c r="N450">
        <v>37</v>
      </c>
      <c r="O450">
        <v>4</v>
      </c>
      <c r="P450">
        <v>13.1</v>
      </c>
      <c r="Q450" t="s">
        <v>46</v>
      </c>
      <c r="R450">
        <v>0</v>
      </c>
      <c r="S450">
        <v>95</v>
      </c>
      <c r="T450">
        <v>0</v>
      </c>
      <c r="U450">
        <v>0</v>
      </c>
      <c r="V450">
        <v>3</v>
      </c>
      <c r="W450" t="s">
        <v>32</v>
      </c>
      <c r="X450">
        <v>1</v>
      </c>
      <c r="Y450" t="str">
        <f t="shared" ref="Y450:Y513" si="7">IF(S450&lt;=33,"Low",IF(S450&lt;=66,"Medium","High"))</f>
        <v>High</v>
      </c>
    </row>
    <row r="451" spans="1:25">
      <c r="A451" t="s">
        <v>564</v>
      </c>
      <c r="B451" s="1">
        <v>44931</v>
      </c>
      <c r="C451" s="2">
        <v>0.88541666666666663</v>
      </c>
      <c r="D451" t="s">
        <v>74</v>
      </c>
      <c r="E451" t="s">
        <v>52</v>
      </c>
      <c r="F451" t="s">
        <v>86</v>
      </c>
      <c r="G451" t="s">
        <v>87</v>
      </c>
      <c r="H451" s="2">
        <v>0.88749999999999996</v>
      </c>
      <c r="I451" s="2">
        <v>0.90138888888888891</v>
      </c>
      <c r="J451">
        <v>19</v>
      </c>
      <c r="K451">
        <v>29</v>
      </c>
      <c r="L451" t="s">
        <v>45</v>
      </c>
      <c r="M451">
        <v>-3.2</v>
      </c>
      <c r="N451">
        <v>74</v>
      </c>
      <c r="O451">
        <v>23</v>
      </c>
      <c r="P451">
        <v>3.3</v>
      </c>
      <c r="Q451" t="s">
        <v>31</v>
      </c>
      <c r="R451">
        <v>10000</v>
      </c>
      <c r="S451">
        <v>58</v>
      </c>
      <c r="T451">
        <v>0</v>
      </c>
      <c r="U451">
        <v>0</v>
      </c>
      <c r="V451">
        <v>3</v>
      </c>
      <c r="W451" t="s">
        <v>72</v>
      </c>
      <c r="X451">
        <v>1</v>
      </c>
      <c r="Y451" t="str">
        <f t="shared" si="7"/>
        <v>Medium</v>
      </c>
    </row>
    <row r="452" spans="1:25">
      <c r="A452" t="s">
        <v>565</v>
      </c>
      <c r="B452" s="1">
        <v>44931</v>
      </c>
      <c r="C452" s="2">
        <v>0.89583333333333337</v>
      </c>
      <c r="D452" t="s">
        <v>74</v>
      </c>
      <c r="E452" t="s">
        <v>27</v>
      </c>
      <c r="F452" t="s">
        <v>90</v>
      </c>
      <c r="G452" t="s">
        <v>144</v>
      </c>
      <c r="H452" s="2">
        <v>0.89861111111111114</v>
      </c>
      <c r="I452" s="2">
        <v>0.91527777777777775</v>
      </c>
      <c r="J452">
        <v>14</v>
      </c>
      <c r="K452">
        <v>20</v>
      </c>
      <c r="L452" t="s">
        <v>54</v>
      </c>
      <c r="M452">
        <v>5.7</v>
      </c>
      <c r="N452">
        <v>82</v>
      </c>
      <c r="O452">
        <v>29</v>
      </c>
      <c r="P452">
        <v>1.3</v>
      </c>
      <c r="Q452" t="s">
        <v>63</v>
      </c>
      <c r="R452">
        <v>50000</v>
      </c>
      <c r="S452">
        <v>55</v>
      </c>
      <c r="T452">
        <v>0</v>
      </c>
      <c r="U452">
        <v>0</v>
      </c>
      <c r="V452">
        <v>3</v>
      </c>
      <c r="W452" t="s">
        <v>72</v>
      </c>
      <c r="X452">
        <v>1</v>
      </c>
      <c r="Y452" t="str">
        <f t="shared" si="7"/>
        <v>Medium</v>
      </c>
    </row>
    <row r="453" spans="1:25">
      <c r="A453" t="s">
        <v>566</v>
      </c>
      <c r="B453" s="1">
        <v>44931</v>
      </c>
      <c r="C453" s="2">
        <v>0.90625</v>
      </c>
      <c r="D453" t="s">
        <v>74</v>
      </c>
      <c r="E453" t="s">
        <v>161</v>
      </c>
      <c r="F453" t="s">
        <v>87</v>
      </c>
      <c r="G453" t="s">
        <v>91</v>
      </c>
      <c r="H453" s="2">
        <v>0.90902777777777777</v>
      </c>
      <c r="I453" s="2">
        <v>0.94652777777777775</v>
      </c>
      <c r="J453">
        <v>0</v>
      </c>
      <c r="K453">
        <v>5</v>
      </c>
      <c r="L453" t="s">
        <v>54</v>
      </c>
      <c r="M453">
        <v>-2.8</v>
      </c>
      <c r="N453">
        <v>92</v>
      </c>
      <c r="O453">
        <v>29</v>
      </c>
      <c r="P453">
        <v>17.100000000000001</v>
      </c>
      <c r="Q453" t="s">
        <v>46</v>
      </c>
      <c r="R453">
        <v>0</v>
      </c>
      <c r="S453">
        <v>21</v>
      </c>
      <c r="T453">
        <v>0</v>
      </c>
      <c r="U453">
        <v>0</v>
      </c>
      <c r="V453">
        <v>3</v>
      </c>
      <c r="W453" t="s">
        <v>39</v>
      </c>
      <c r="X453">
        <v>0</v>
      </c>
      <c r="Y453" t="str">
        <f t="shared" si="7"/>
        <v>Low</v>
      </c>
    </row>
    <row r="454" spans="1:25">
      <c r="A454" t="s">
        <v>567</v>
      </c>
      <c r="B454" s="1">
        <v>44931</v>
      </c>
      <c r="C454" s="2">
        <v>0.91666666666666663</v>
      </c>
      <c r="D454" t="s">
        <v>74</v>
      </c>
      <c r="E454" t="s">
        <v>130</v>
      </c>
      <c r="F454" t="s">
        <v>113</v>
      </c>
      <c r="G454" t="s">
        <v>123</v>
      </c>
      <c r="H454" s="2">
        <v>0.91874999999999996</v>
      </c>
      <c r="I454" s="2">
        <v>0.94930555555555551</v>
      </c>
      <c r="J454">
        <v>4</v>
      </c>
      <c r="K454">
        <v>-2</v>
      </c>
      <c r="L454" t="s">
        <v>38</v>
      </c>
      <c r="M454">
        <v>32</v>
      </c>
      <c r="N454">
        <v>86</v>
      </c>
      <c r="O454">
        <v>38</v>
      </c>
      <c r="P454">
        <v>11.3</v>
      </c>
      <c r="Q454" t="s">
        <v>31</v>
      </c>
      <c r="R454">
        <v>0</v>
      </c>
      <c r="S454">
        <v>99</v>
      </c>
      <c r="T454">
        <v>0</v>
      </c>
      <c r="U454">
        <v>1</v>
      </c>
      <c r="V454">
        <v>3</v>
      </c>
      <c r="W454" t="s">
        <v>72</v>
      </c>
      <c r="X454">
        <v>0</v>
      </c>
      <c r="Y454" t="str">
        <f t="shared" si="7"/>
        <v>High</v>
      </c>
    </row>
    <row r="455" spans="1:25">
      <c r="A455" t="s">
        <v>568</v>
      </c>
      <c r="B455" s="1">
        <v>44931</v>
      </c>
      <c r="C455" s="2">
        <v>0.92708333333333337</v>
      </c>
      <c r="D455" t="s">
        <v>74</v>
      </c>
      <c r="E455" t="s">
        <v>52</v>
      </c>
      <c r="F455" t="s">
        <v>87</v>
      </c>
      <c r="G455" t="s">
        <v>95</v>
      </c>
      <c r="H455" s="2">
        <v>0.92986111111111114</v>
      </c>
      <c r="I455" s="2">
        <v>0.95625000000000004</v>
      </c>
      <c r="J455">
        <v>9</v>
      </c>
      <c r="K455">
        <v>26</v>
      </c>
      <c r="L455" t="s">
        <v>30</v>
      </c>
      <c r="M455">
        <v>21.5</v>
      </c>
      <c r="N455">
        <v>83</v>
      </c>
      <c r="O455">
        <v>56</v>
      </c>
      <c r="P455">
        <v>13</v>
      </c>
      <c r="Q455" t="s">
        <v>31</v>
      </c>
      <c r="R455">
        <v>0</v>
      </c>
      <c r="S455">
        <v>17</v>
      </c>
      <c r="T455">
        <v>0</v>
      </c>
      <c r="U455">
        <v>1</v>
      </c>
      <c r="V455">
        <v>3</v>
      </c>
      <c r="W455" t="s">
        <v>72</v>
      </c>
      <c r="X455">
        <v>1</v>
      </c>
      <c r="Y455" t="str">
        <f t="shared" si="7"/>
        <v>Low</v>
      </c>
    </row>
    <row r="456" spans="1:25">
      <c r="A456" t="s">
        <v>569</v>
      </c>
      <c r="B456" s="1">
        <v>44931</v>
      </c>
      <c r="C456" s="2">
        <v>0.9375</v>
      </c>
      <c r="D456" t="s">
        <v>41</v>
      </c>
      <c r="E456" t="s">
        <v>157</v>
      </c>
      <c r="F456" t="s">
        <v>185</v>
      </c>
      <c r="G456" t="s">
        <v>116</v>
      </c>
      <c r="H456" s="2">
        <v>0.93888888888888888</v>
      </c>
      <c r="I456" s="2">
        <v>0.97847222222222219</v>
      </c>
      <c r="J456">
        <v>5</v>
      </c>
      <c r="K456">
        <v>18</v>
      </c>
      <c r="L456" t="s">
        <v>45</v>
      </c>
      <c r="M456">
        <v>30.5</v>
      </c>
      <c r="N456">
        <v>48</v>
      </c>
      <c r="O456">
        <v>47</v>
      </c>
      <c r="P456">
        <v>6.1</v>
      </c>
      <c r="Q456" t="s">
        <v>31</v>
      </c>
      <c r="R456">
        <v>2000</v>
      </c>
      <c r="S456">
        <v>57</v>
      </c>
      <c r="T456">
        <v>0</v>
      </c>
      <c r="U456">
        <v>0</v>
      </c>
      <c r="V456">
        <v>3</v>
      </c>
      <c r="W456" t="s">
        <v>32</v>
      </c>
      <c r="X456">
        <v>1</v>
      </c>
      <c r="Y456" t="str">
        <f t="shared" si="7"/>
        <v>Medium</v>
      </c>
    </row>
    <row r="457" spans="1:25">
      <c r="A457" t="s">
        <v>570</v>
      </c>
      <c r="B457" s="1">
        <v>44931</v>
      </c>
      <c r="C457" s="2">
        <v>0.94791666666666663</v>
      </c>
      <c r="D457" t="s">
        <v>26</v>
      </c>
      <c r="E457" t="s">
        <v>42</v>
      </c>
      <c r="F457" t="s">
        <v>176</v>
      </c>
      <c r="G457" t="s">
        <v>99</v>
      </c>
      <c r="H457" s="2">
        <v>0.94861111111111107</v>
      </c>
      <c r="I457" s="2">
        <v>0.97638888888888886</v>
      </c>
      <c r="J457">
        <v>17</v>
      </c>
      <c r="K457">
        <v>7</v>
      </c>
      <c r="L457" t="s">
        <v>30</v>
      </c>
      <c r="M457">
        <v>23.7</v>
      </c>
      <c r="N457">
        <v>96</v>
      </c>
      <c r="O457">
        <v>46</v>
      </c>
      <c r="P457">
        <v>7.4</v>
      </c>
      <c r="Q457" t="s">
        <v>31</v>
      </c>
      <c r="R457">
        <v>500</v>
      </c>
      <c r="S457">
        <v>39</v>
      </c>
      <c r="T457">
        <v>0</v>
      </c>
      <c r="U457">
        <v>1</v>
      </c>
      <c r="V457">
        <v>3</v>
      </c>
      <c r="W457" t="s">
        <v>72</v>
      </c>
      <c r="X457">
        <v>1</v>
      </c>
      <c r="Y457" t="str">
        <f t="shared" si="7"/>
        <v>Medium</v>
      </c>
    </row>
    <row r="458" spans="1:25">
      <c r="A458" t="s">
        <v>571</v>
      </c>
      <c r="B458" s="1">
        <v>44931</v>
      </c>
      <c r="C458" s="2">
        <v>0.95833333333333337</v>
      </c>
      <c r="D458" t="s">
        <v>74</v>
      </c>
      <c r="E458" t="s">
        <v>98</v>
      </c>
      <c r="F458" t="s">
        <v>105</v>
      </c>
      <c r="G458" t="s">
        <v>135</v>
      </c>
      <c r="H458" s="2">
        <v>0.96111111111111114</v>
      </c>
      <c r="I458" s="2">
        <v>0.98819444444444449</v>
      </c>
      <c r="J458">
        <v>9</v>
      </c>
      <c r="K458">
        <v>13</v>
      </c>
      <c r="L458" t="s">
        <v>84</v>
      </c>
      <c r="M458">
        <v>0.3</v>
      </c>
      <c r="N458">
        <v>75</v>
      </c>
      <c r="O458">
        <v>36</v>
      </c>
      <c r="P458">
        <v>1.6</v>
      </c>
      <c r="Q458" t="s">
        <v>71</v>
      </c>
      <c r="R458">
        <v>50000</v>
      </c>
      <c r="S458">
        <v>88</v>
      </c>
      <c r="T458">
        <v>0</v>
      </c>
      <c r="U458">
        <v>0</v>
      </c>
      <c r="V458">
        <v>3</v>
      </c>
      <c r="W458" t="s">
        <v>55</v>
      </c>
      <c r="X458">
        <v>1</v>
      </c>
      <c r="Y458" t="str">
        <f t="shared" si="7"/>
        <v>High</v>
      </c>
    </row>
    <row r="459" spans="1:25">
      <c r="A459" t="s">
        <v>572</v>
      </c>
      <c r="B459" s="1">
        <v>44931</v>
      </c>
      <c r="C459" s="2">
        <v>0.96875</v>
      </c>
      <c r="D459" t="s">
        <v>34</v>
      </c>
      <c r="E459" t="s">
        <v>35</v>
      </c>
      <c r="F459" t="s">
        <v>176</v>
      </c>
      <c r="G459" t="s">
        <v>81</v>
      </c>
      <c r="H459" s="2">
        <v>0.97013888888888888</v>
      </c>
      <c r="I459" s="2">
        <v>0</v>
      </c>
      <c r="J459">
        <v>0</v>
      </c>
      <c r="K459">
        <v>9</v>
      </c>
      <c r="L459" t="s">
        <v>38</v>
      </c>
      <c r="M459">
        <v>32.6</v>
      </c>
      <c r="N459">
        <v>39</v>
      </c>
      <c r="O459">
        <v>32</v>
      </c>
      <c r="P459">
        <v>17.100000000000001</v>
      </c>
      <c r="Q459" t="s">
        <v>31</v>
      </c>
      <c r="R459">
        <v>0</v>
      </c>
      <c r="S459">
        <v>30</v>
      </c>
      <c r="T459">
        <v>0</v>
      </c>
      <c r="U459">
        <v>0</v>
      </c>
      <c r="V459">
        <v>3</v>
      </c>
      <c r="W459" t="s">
        <v>55</v>
      </c>
      <c r="X459">
        <v>1</v>
      </c>
      <c r="Y459" t="str">
        <f t="shared" si="7"/>
        <v>Low</v>
      </c>
    </row>
    <row r="460" spans="1:25">
      <c r="A460" t="s">
        <v>573</v>
      </c>
      <c r="B460" s="1">
        <v>44931</v>
      </c>
      <c r="C460" s="2">
        <v>0.97916666666666663</v>
      </c>
      <c r="D460" t="s">
        <v>26</v>
      </c>
      <c r="E460" t="s">
        <v>111</v>
      </c>
      <c r="F460" t="s">
        <v>116</v>
      </c>
      <c r="G460" t="s">
        <v>168</v>
      </c>
      <c r="H460" s="2">
        <v>0.97986111111111107</v>
      </c>
      <c r="I460" s="2">
        <v>1.3194444444444444E-2</v>
      </c>
      <c r="J460">
        <v>14</v>
      </c>
      <c r="K460">
        <v>3</v>
      </c>
      <c r="L460" t="s">
        <v>54</v>
      </c>
      <c r="M460">
        <v>31</v>
      </c>
      <c r="N460">
        <v>47</v>
      </c>
      <c r="O460">
        <v>19</v>
      </c>
      <c r="P460">
        <v>11.8</v>
      </c>
      <c r="Q460" t="s">
        <v>71</v>
      </c>
      <c r="R460">
        <v>2000</v>
      </c>
      <c r="S460">
        <v>55</v>
      </c>
      <c r="T460">
        <v>0</v>
      </c>
      <c r="U460">
        <v>0</v>
      </c>
      <c r="V460">
        <v>3</v>
      </c>
      <c r="W460" t="s">
        <v>72</v>
      </c>
      <c r="X460">
        <v>0</v>
      </c>
      <c r="Y460" t="str">
        <f t="shared" si="7"/>
        <v>Medium</v>
      </c>
    </row>
    <row r="461" spans="1:25">
      <c r="A461" t="s">
        <v>574</v>
      </c>
      <c r="B461" s="1">
        <v>44931</v>
      </c>
      <c r="C461" s="2">
        <v>0.98958333333333337</v>
      </c>
      <c r="D461" t="s">
        <v>26</v>
      </c>
      <c r="E461" t="s">
        <v>111</v>
      </c>
      <c r="F461" t="s">
        <v>107</v>
      </c>
      <c r="G461" t="s">
        <v>81</v>
      </c>
      <c r="H461" s="2">
        <v>0.99027777777777781</v>
      </c>
      <c r="I461" s="2">
        <v>2.5694444444444443E-2</v>
      </c>
      <c r="J461">
        <v>6</v>
      </c>
      <c r="K461">
        <v>12</v>
      </c>
      <c r="L461" t="s">
        <v>54</v>
      </c>
      <c r="M461">
        <v>8.9</v>
      </c>
      <c r="N461">
        <v>41</v>
      </c>
      <c r="O461">
        <v>53</v>
      </c>
      <c r="P461">
        <v>1.7</v>
      </c>
      <c r="Q461" t="s">
        <v>31</v>
      </c>
      <c r="R461">
        <v>0</v>
      </c>
      <c r="S461">
        <v>34</v>
      </c>
      <c r="T461">
        <v>0</v>
      </c>
      <c r="U461">
        <v>0</v>
      </c>
      <c r="V461">
        <v>3</v>
      </c>
      <c r="W461" t="s">
        <v>55</v>
      </c>
      <c r="X461">
        <v>1</v>
      </c>
      <c r="Y461" t="str">
        <f t="shared" si="7"/>
        <v>Medium</v>
      </c>
    </row>
    <row r="462" spans="1:25">
      <c r="A462" t="s">
        <v>575</v>
      </c>
      <c r="B462" s="1">
        <v>44932</v>
      </c>
      <c r="C462" s="2">
        <v>0</v>
      </c>
      <c r="D462" t="s">
        <v>74</v>
      </c>
      <c r="E462" t="s">
        <v>141</v>
      </c>
      <c r="F462" t="s">
        <v>53</v>
      </c>
      <c r="G462" t="s">
        <v>66</v>
      </c>
      <c r="H462" s="2">
        <v>2.7777777777777779E-3</v>
      </c>
      <c r="I462" s="2">
        <v>2.4305555555555556E-2</v>
      </c>
      <c r="J462">
        <v>7</v>
      </c>
      <c r="K462">
        <v>29</v>
      </c>
      <c r="L462" t="s">
        <v>84</v>
      </c>
      <c r="M462">
        <v>-0.5</v>
      </c>
      <c r="N462">
        <v>78</v>
      </c>
      <c r="O462">
        <v>21</v>
      </c>
      <c r="P462">
        <v>16.100000000000001</v>
      </c>
      <c r="Q462" t="s">
        <v>46</v>
      </c>
      <c r="R462">
        <v>50000</v>
      </c>
      <c r="S462">
        <v>25</v>
      </c>
      <c r="T462">
        <v>0</v>
      </c>
      <c r="U462">
        <v>0</v>
      </c>
      <c r="V462">
        <v>4</v>
      </c>
      <c r="W462" t="s">
        <v>39</v>
      </c>
      <c r="X462">
        <v>1</v>
      </c>
      <c r="Y462" t="str">
        <f t="shared" si="7"/>
        <v>Low</v>
      </c>
    </row>
    <row r="463" spans="1:25">
      <c r="A463" t="s">
        <v>576</v>
      </c>
      <c r="B463" s="1">
        <v>44932</v>
      </c>
      <c r="C463" s="2">
        <v>1.0416666666666666E-2</v>
      </c>
      <c r="D463" t="s">
        <v>41</v>
      </c>
      <c r="E463" t="s">
        <v>61</v>
      </c>
      <c r="F463" t="s">
        <v>123</v>
      </c>
      <c r="G463" t="s">
        <v>185</v>
      </c>
      <c r="H463" s="2">
        <v>1.1805555555555555E-2</v>
      </c>
      <c r="I463" s="2">
        <v>3.888888888888889E-2</v>
      </c>
      <c r="J463">
        <v>19</v>
      </c>
      <c r="K463">
        <v>-3</v>
      </c>
      <c r="L463" t="s">
        <v>54</v>
      </c>
      <c r="M463">
        <v>23.2</v>
      </c>
      <c r="N463">
        <v>52</v>
      </c>
      <c r="O463">
        <v>40</v>
      </c>
      <c r="P463">
        <v>8.9</v>
      </c>
      <c r="Q463" t="s">
        <v>31</v>
      </c>
      <c r="R463">
        <v>0</v>
      </c>
      <c r="S463">
        <v>67</v>
      </c>
      <c r="T463">
        <v>0</v>
      </c>
      <c r="U463">
        <v>0</v>
      </c>
      <c r="V463">
        <v>4</v>
      </c>
      <c r="W463" t="s">
        <v>55</v>
      </c>
      <c r="X463">
        <v>0</v>
      </c>
      <c r="Y463" t="str">
        <f t="shared" si="7"/>
        <v>High</v>
      </c>
    </row>
    <row r="464" spans="1:25">
      <c r="A464" t="s">
        <v>577</v>
      </c>
      <c r="B464" s="1">
        <v>44932</v>
      </c>
      <c r="C464" s="2">
        <v>2.0833333333333332E-2</v>
      </c>
      <c r="D464" t="s">
        <v>74</v>
      </c>
      <c r="E464" t="s">
        <v>61</v>
      </c>
      <c r="F464" t="s">
        <v>70</v>
      </c>
      <c r="G464" t="s">
        <v>107</v>
      </c>
      <c r="H464" s="2">
        <v>2.361111111111111E-2</v>
      </c>
      <c r="I464" s="2">
        <v>4.6527777777777779E-2</v>
      </c>
      <c r="J464">
        <v>3</v>
      </c>
      <c r="K464">
        <v>7</v>
      </c>
      <c r="L464" t="s">
        <v>77</v>
      </c>
      <c r="M464">
        <v>24.1</v>
      </c>
      <c r="N464">
        <v>91</v>
      </c>
      <c r="O464">
        <v>57</v>
      </c>
      <c r="P464">
        <v>15.3</v>
      </c>
      <c r="Q464" t="s">
        <v>46</v>
      </c>
      <c r="R464">
        <v>0</v>
      </c>
      <c r="S464">
        <v>83</v>
      </c>
      <c r="T464">
        <v>0</v>
      </c>
      <c r="U464">
        <v>0</v>
      </c>
      <c r="V464">
        <v>4</v>
      </c>
      <c r="W464" t="s">
        <v>39</v>
      </c>
      <c r="X464">
        <v>1</v>
      </c>
      <c r="Y464" t="str">
        <f t="shared" si="7"/>
        <v>High</v>
      </c>
    </row>
    <row r="465" spans="1:25">
      <c r="A465" t="s">
        <v>578</v>
      </c>
      <c r="B465" s="1">
        <v>44932</v>
      </c>
      <c r="C465" s="2">
        <v>3.125E-2</v>
      </c>
      <c r="D465" t="s">
        <v>41</v>
      </c>
      <c r="E465" t="s">
        <v>68</v>
      </c>
      <c r="F465" t="s">
        <v>109</v>
      </c>
      <c r="G465" t="s">
        <v>113</v>
      </c>
      <c r="H465" s="2">
        <v>3.3333333333333333E-2</v>
      </c>
      <c r="I465" s="2">
        <v>4.9305555555555554E-2</v>
      </c>
      <c r="J465">
        <v>-2</v>
      </c>
      <c r="K465">
        <v>2</v>
      </c>
      <c r="L465" t="s">
        <v>38</v>
      </c>
      <c r="M465">
        <v>30.9</v>
      </c>
      <c r="N465">
        <v>40</v>
      </c>
      <c r="O465">
        <v>20</v>
      </c>
      <c r="P465">
        <v>0.3</v>
      </c>
      <c r="Q465" t="s">
        <v>31</v>
      </c>
      <c r="R465">
        <v>500</v>
      </c>
      <c r="S465">
        <v>33</v>
      </c>
      <c r="T465">
        <v>0</v>
      </c>
      <c r="U465">
        <v>0</v>
      </c>
      <c r="V465">
        <v>4</v>
      </c>
      <c r="W465" t="s">
        <v>72</v>
      </c>
      <c r="X465">
        <v>0</v>
      </c>
      <c r="Y465" t="str">
        <f t="shared" si="7"/>
        <v>Low</v>
      </c>
    </row>
    <row r="466" spans="1:25">
      <c r="A466" t="s">
        <v>579</v>
      </c>
      <c r="B466" s="1">
        <v>44932</v>
      </c>
      <c r="C466" s="2">
        <v>4.1666666666666664E-2</v>
      </c>
      <c r="D466" t="s">
        <v>34</v>
      </c>
      <c r="E466" t="s">
        <v>93</v>
      </c>
      <c r="F466" t="s">
        <v>91</v>
      </c>
      <c r="G466" t="s">
        <v>65</v>
      </c>
      <c r="H466" s="2">
        <v>4.2361111111111113E-2</v>
      </c>
      <c r="I466" s="2">
        <v>7.2916666666666671E-2</v>
      </c>
      <c r="J466">
        <v>19</v>
      </c>
      <c r="K466">
        <v>16</v>
      </c>
      <c r="L466" t="s">
        <v>84</v>
      </c>
      <c r="M466">
        <v>-2.9</v>
      </c>
      <c r="N466">
        <v>85</v>
      </c>
      <c r="O466">
        <v>36</v>
      </c>
      <c r="P466">
        <v>0.6</v>
      </c>
      <c r="Q466" t="s">
        <v>31</v>
      </c>
      <c r="R466">
        <v>10000</v>
      </c>
      <c r="S466">
        <v>75</v>
      </c>
      <c r="T466">
        <v>0</v>
      </c>
      <c r="U466">
        <v>0</v>
      </c>
      <c r="V466">
        <v>4</v>
      </c>
      <c r="W466" t="s">
        <v>39</v>
      </c>
      <c r="X466">
        <v>1</v>
      </c>
      <c r="Y466" t="str">
        <f t="shared" si="7"/>
        <v>High</v>
      </c>
    </row>
    <row r="467" spans="1:25">
      <c r="A467" t="s">
        <v>580</v>
      </c>
      <c r="B467" s="1">
        <v>44932</v>
      </c>
      <c r="C467" s="2">
        <v>5.2083333333333336E-2</v>
      </c>
      <c r="D467" t="s">
        <v>26</v>
      </c>
      <c r="E467" t="s">
        <v>89</v>
      </c>
      <c r="F467" t="s">
        <v>151</v>
      </c>
      <c r="G467" t="s">
        <v>116</v>
      </c>
      <c r="H467" s="2">
        <v>5.486111111111111E-2</v>
      </c>
      <c r="I467" s="2">
        <v>7.0833333333333331E-2</v>
      </c>
      <c r="J467">
        <v>9</v>
      </c>
      <c r="K467">
        <v>22</v>
      </c>
      <c r="L467" t="s">
        <v>38</v>
      </c>
      <c r="M467">
        <v>0.7</v>
      </c>
      <c r="N467">
        <v>84</v>
      </c>
      <c r="O467">
        <v>53</v>
      </c>
      <c r="P467">
        <v>3.4</v>
      </c>
      <c r="Q467" t="s">
        <v>31</v>
      </c>
      <c r="R467">
        <v>0</v>
      </c>
      <c r="S467">
        <v>15</v>
      </c>
      <c r="T467">
        <v>0</v>
      </c>
      <c r="U467">
        <v>0</v>
      </c>
      <c r="V467">
        <v>4</v>
      </c>
      <c r="W467" t="s">
        <v>39</v>
      </c>
      <c r="X467">
        <v>1</v>
      </c>
      <c r="Y467" t="str">
        <f t="shared" si="7"/>
        <v>Low</v>
      </c>
    </row>
    <row r="468" spans="1:25">
      <c r="A468" t="s">
        <v>581</v>
      </c>
      <c r="B468" s="1">
        <v>44932</v>
      </c>
      <c r="C468" s="2">
        <v>6.25E-2</v>
      </c>
      <c r="D468" t="s">
        <v>34</v>
      </c>
      <c r="E468" t="s">
        <v>27</v>
      </c>
      <c r="F468" t="s">
        <v>80</v>
      </c>
      <c r="G468" t="s">
        <v>168</v>
      </c>
      <c r="H468" s="2">
        <v>6.3194444444444442E-2</v>
      </c>
      <c r="I468" s="2">
        <v>7.9861111111111105E-2</v>
      </c>
      <c r="J468">
        <v>2</v>
      </c>
      <c r="K468">
        <v>8</v>
      </c>
      <c r="L468" t="s">
        <v>45</v>
      </c>
      <c r="M468">
        <v>18.899999999999999</v>
      </c>
      <c r="N468">
        <v>54</v>
      </c>
      <c r="O468">
        <v>26</v>
      </c>
      <c r="P468">
        <v>4.2</v>
      </c>
      <c r="Q468" t="s">
        <v>31</v>
      </c>
      <c r="R468">
        <v>0</v>
      </c>
      <c r="S468">
        <v>41</v>
      </c>
      <c r="T468">
        <v>0</v>
      </c>
      <c r="U468">
        <v>0</v>
      </c>
      <c r="V468">
        <v>4</v>
      </c>
      <c r="W468" t="s">
        <v>72</v>
      </c>
      <c r="X468">
        <v>1</v>
      </c>
      <c r="Y468" t="str">
        <f t="shared" si="7"/>
        <v>Medium</v>
      </c>
    </row>
    <row r="469" spans="1:25">
      <c r="A469" t="s">
        <v>582</v>
      </c>
      <c r="B469" s="1">
        <v>44932</v>
      </c>
      <c r="C469" s="2">
        <v>7.2916666666666671E-2</v>
      </c>
      <c r="D469" t="s">
        <v>41</v>
      </c>
      <c r="E469" t="s">
        <v>111</v>
      </c>
      <c r="F469" t="s">
        <v>116</v>
      </c>
      <c r="G469" t="s">
        <v>100</v>
      </c>
      <c r="H469" s="2">
        <v>7.4305555555555555E-2</v>
      </c>
      <c r="I469" s="2">
        <v>0.10694444444444444</v>
      </c>
      <c r="J469">
        <v>10</v>
      </c>
      <c r="K469">
        <v>26</v>
      </c>
      <c r="L469" t="s">
        <v>38</v>
      </c>
      <c r="M469">
        <v>19.8</v>
      </c>
      <c r="N469">
        <v>38</v>
      </c>
      <c r="O469">
        <v>37</v>
      </c>
      <c r="P469">
        <v>15.3</v>
      </c>
      <c r="Q469" t="s">
        <v>31</v>
      </c>
      <c r="R469">
        <v>0</v>
      </c>
      <c r="S469">
        <v>4</v>
      </c>
      <c r="T469">
        <v>0</v>
      </c>
      <c r="U469">
        <v>1</v>
      </c>
      <c r="V469">
        <v>4</v>
      </c>
      <c r="W469" t="s">
        <v>72</v>
      </c>
      <c r="X469">
        <v>1</v>
      </c>
      <c r="Y469" t="str">
        <f t="shared" si="7"/>
        <v>Low</v>
      </c>
    </row>
    <row r="470" spans="1:25">
      <c r="A470" t="s">
        <v>583</v>
      </c>
      <c r="B470" s="1">
        <v>44932</v>
      </c>
      <c r="C470" s="2">
        <v>8.3333333333333329E-2</v>
      </c>
      <c r="D470" t="s">
        <v>41</v>
      </c>
      <c r="E470" t="s">
        <v>104</v>
      </c>
      <c r="F470" t="s">
        <v>58</v>
      </c>
      <c r="G470" t="s">
        <v>128</v>
      </c>
      <c r="H470" s="2">
        <v>8.3333333333333329E-2</v>
      </c>
      <c r="I470" s="2">
        <v>0.12361111111111112</v>
      </c>
      <c r="J470">
        <v>12</v>
      </c>
      <c r="K470">
        <v>24</v>
      </c>
      <c r="L470" t="s">
        <v>38</v>
      </c>
      <c r="M470">
        <v>-3.7</v>
      </c>
      <c r="N470">
        <v>41</v>
      </c>
      <c r="O470">
        <v>34</v>
      </c>
      <c r="P470">
        <v>14.1</v>
      </c>
      <c r="Q470" t="s">
        <v>31</v>
      </c>
      <c r="R470">
        <v>0</v>
      </c>
      <c r="S470">
        <v>60</v>
      </c>
      <c r="T470">
        <v>0</v>
      </c>
      <c r="U470">
        <v>0</v>
      </c>
      <c r="V470">
        <v>4</v>
      </c>
      <c r="W470" t="s">
        <v>39</v>
      </c>
      <c r="X470">
        <v>1</v>
      </c>
      <c r="Y470" t="str">
        <f t="shared" si="7"/>
        <v>Medium</v>
      </c>
    </row>
    <row r="471" spans="1:25">
      <c r="A471" t="s">
        <v>584</v>
      </c>
      <c r="B471" s="1">
        <v>44932</v>
      </c>
      <c r="C471" s="2">
        <v>9.375E-2</v>
      </c>
      <c r="D471" t="s">
        <v>34</v>
      </c>
      <c r="E471" t="s">
        <v>126</v>
      </c>
      <c r="F471" t="s">
        <v>122</v>
      </c>
      <c r="G471" t="s">
        <v>128</v>
      </c>
      <c r="H471" s="2">
        <v>9.6527777777777782E-2</v>
      </c>
      <c r="I471" s="2">
        <v>0.12291666666666666</v>
      </c>
      <c r="J471">
        <v>19</v>
      </c>
      <c r="K471">
        <v>23</v>
      </c>
      <c r="L471" t="s">
        <v>45</v>
      </c>
      <c r="M471">
        <v>10.9</v>
      </c>
      <c r="N471">
        <v>40</v>
      </c>
      <c r="O471">
        <v>37</v>
      </c>
      <c r="P471">
        <v>12.3</v>
      </c>
      <c r="Q471" t="s">
        <v>63</v>
      </c>
      <c r="R471">
        <v>0</v>
      </c>
      <c r="S471">
        <v>43</v>
      </c>
      <c r="T471">
        <v>0</v>
      </c>
      <c r="U471">
        <v>0</v>
      </c>
      <c r="V471">
        <v>4</v>
      </c>
      <c r="W471" t="s">
        <v>32</v>
      </c>
      <c r="X471">
        <v>1</v>
      </c>
      <c r="Y471" t="str">
        <f t="shared" si="7"/>
        <v>Medium</v>
      </c>
    </row>
    <row r="472" spans="1:25">
      <c r="A472" t="s">
        <v>585</v>
      </c>
      <c r="B472" s="1">
        <v>44932</v>
      </c>
      <c r="C472" s="2">
        <v>0.10416666666666667</v>
      </c>
      <c r="D472" t="s">
        <v>41</v>
      </c>
      <c r="E472" t="s">
        <v>141</v>
      </c>
      <c r="F472" t="s">
        <v>118</v>
      </c>
      <c r="G472" t="s">
        <v>62</v>
      </c>
      <c r="H472" s="2">
        <v>0.10694444444444444</v>
      </c>
      <c r="I472" s="2">
        <v>0.13958333333333334</v>
      </c>
      <c r="J472">
        <v>8</v>
      </c>
      <c r="K472">
        <v>15</v>
      </c>
      <c r="L472" t="s">
        <v>84</v>
      </c>
      <c r="M472">
        <v>18.399999999999999</v>
      </c>
      <c r="N472">
        <v>67</v>
      </c>
      <c r="O472">
        <v>39</v>
      </c>
      <c r="P472">
        <v>17.7</v>
      </c>
      <c r="Q472" t="s">
        <v>31</v>
      </c>
      <c r="R472">
        <v>50000</v>
      </c>
      <c r="S472">
        <v>34</v>
      </c>
      <c r="T472">
        <v>0</v>
      </c>
      <c r="U472">
        <v>0</v>
      </c>
      <c r="V472">
        <v>4</v>
      </c>
      <c r="W472" t="s">
        <v>72</v>
      </c>
      <c r="X472">
        <v>1</v>
      </c>
      <c r="Y472" t="str">
        <f t="shared" si="7"/>
        <v>Medium</v>
      </c>
    </row>
    <row r="473" spans="1:25">
      <c r="A473" t="s">
        <v>586</v>
      </c>
      <c r="B473" s="1">
        <v>44932</v>
      </c>
      <c r="C473" s="2">
        <v>0.11458333333333333</v>
      </c>
      <c r="D473" t="s">
        <v>34</v>
      </c>
      <c r="E473" t="s">
        <v>104</v>
      </c>
      <c r="F473" t="s">
        <v>43</v>
      </c>
      <c r="G473" t="s">
        <v>105</v>
      </c>
      <c r="H473" s="2">
        <v>0.11527777777777778</v>
      </c>
      <c r="I473" s="2">
        <v>0.14305555555555555</v>
      </c>
      <c r="J473">
        <v>5</v>
      </c>
      <c r="K473">
        <v>1</v>
      </c>
      <c r="L473" t="s">
        <v>38</v>
      </c>
      <c r="M473">
        <v>24.5</v>
      </c>
      <c r="N473">
        <v>57</v>
      </c>
      <c r="O473">
        <v>59</v>
      </c>
      <c r="P473">
        <v>4.9000000000000004</v>
      </c>
      <c r="Q473" t="s">
        <v>46</v>
      </c>
      <c r="R473">
        <v>0</v>
      </c>
      <c r="S473">
        <v>90</v>
      </c>
      <c r="T473">
        <v>0</v>
      </c>
      <c r="U473">
        <v>0</v>
      </c>
      <c r="V473">
        <v>4</v>
      </c>
      <c r="W473" t="s">
        <v>72</v>
      </c>
      <c r="X473">
        <v>0</v>
      </c>
      <c r="Y473" t="str">
        <f t="shared" si="7"/>
        <v>High</v>
      </c>
    </row>
    <row r="474" spans="1:25">
      <c r="A474" t="s">
        <v>587</v>
      </c>
      <c r="B474" s="1">
        <v>44932</v>
      </c>
      <c r="C474" s="2">
        <v>0.125</v>
      </c>
      <c r="D474" t="s">
        <v>26</v>
      </c>
      <c r="E474" t="s">
        <v>68</v>
      </c>
      <c r="F474" t="s">
        <v>80</v>
      </c>
      <c r="G474" t="s">
        <v>151</v>
      </c>
      <c r="H474" s="2">
        <v>0.12638888888888888</v>
      </c>
      <c r="I474" s="2">
        <v>0.14444444444444443</v>
      </c>
      <c r="J474">
        <v>2</v>
      </c>
      <c r="K474">
        <v>1</v>
      </c>
      <c r="L474" t="s">
        <v>30</v>
      </c>
      <c r="M474">
        <v>7.6</v>
      </c>
      <c r="N474">
        <v>37</v>
      </c>
      <c r="O474">
        <v>5</v>
      </c>
      <c r="P474">
        <v>18.100000000000001</v>
      </c>
      <c r="Q474" t="s">
        <v>31</v>
      </c>
      <c r="R474">
        <v>500</v>
      </c>
      <c r="S474">
        <v>0</v>
      </c>
      <c r="T474">
        <v>0</v>
      </c>
      <c r="U474">
        <v>0</v>
      </c>
      <c r="V474">
        <v>4</v>
      </c>
      <c r="W474" t="s">
        <v>32</v>
      </c>
      <c r="X474">
        <v>0</v>
      </c>
      <c r="Y474" t="str">
        <f t="shared" si="7"/>
        <v>Low</v>
      </c>
    </row>
    <row r="475" spans="1:25">
      <c r="A475" t="s">
        <v>588</v>
      </c>
      <c r="B475" s="1">
        <v>44932</v>
      </c>
      <c r="C475" s="2">
        <v>0.13541666666666666</v>
      </c>
      <c r="D475" t="s">
        <v>34</v>
      </c>
      <c r="E475" t="s">
        <v>57</v>
      </c>
      <c r="F475" t="s">
        <v>80</v>
      </c>
      <c r="G475" t="s">
        <v>168</v>
      </c>
      <c r="H475" s="2">
        <v>0.13750000000000001</v>
      </c>
      <c r="I475" s="2">
        <v>0.1701388888888889</v>
      </c>
      <c r="J475">
        <v>-1</v>
      </c>
      <c r="K475">
        <v>23</v>
      </c>
      <c r="L475" t="s">
        <v>38</v>
      </c>
      <c r="M475">
        <v>14.4</v>
      </c>
      <c r="N475">
        <v>76</v>
      </c>
      <c r="O475">
        <v>31</v>
      </c>
      <c r="P475">
        <v>18.2</v>
      </c>
      <c r="Q475" t="s">
        <v>31</v>
      </c>
      <c r="R475">
        <v>500</v>
      </c>
      <c r="S475">
        <v>97</v>
      </c>
      <c r="T475">
        <v>0</v>
      </c>
      <c r="U475">
        <v>0</v>
      </c>
      <c r="V475">
        <v>4</v>
      </c>
      <c r="W475" t="s">
        <v>55</v>
      </c>
      <c r="X475">
        <v>1</v>
      </c>
      <c r="Y475" t="str">
        <f t="shared" si="7"/>
        <v>High</v>
      </c>
    </row>
    <row r="476" spans="1:25">
      <c r="A476" t="s">
        <v>589</v>
      </c>
      <c r="B476" s="1">
        <v>44932</v>
      </c>
      <c r="C476" s="2">
        <v>0.14583333333333334</v>
      </c>
      <c r="D476" t="s">
        <v>26</v>
      </c>
      <c r="E476" t="s">
        <v>141</v>
      </c>
      <c r="F476" t="s">
        <v>44</v>
      </c>
      <c r="G476" t="s">
        <v>62</v>
      </c>
      <c r="H476" s="2">
        <v>0.14722222222222223</v>
      </c>
      <c r="I476" s="2">
        <v>0.16388888888888889</v>
      </c>
      <c r="J476">
        <v>9</v>
      </c>
      <c r="K476">
        <v>24</v>
      </c>
      <c r="L476" t="s">
        <v>84</v>
      </c>
      <c r="M476">
        <v>27.6</v>
      </c>
      <c r="N476">
        <v>65</v>
      </c>
      <c r="O476">
        <v>15</v>
      </c>
      <c r="P476">
        <v>8.6999999999999993</v>
      </c>
      <c r="Q476" t="s">
        <v>71</v>
      </c>
      <c r="R476">
        <v>10000</v>
      </c>
      <c r="S476">
        <v>42</v>
      </c>
      <c r="T476">
        <v>1</v>
      </c>
      <c r="U476">
        <v>0</v>
      </c>
      <c r="V476">
        <v>4</v>
      </c>
      <c r="W476" t="s">
        <v>32</v>
      </c>
      <c r="X476">
        <v>1</v>
      </c>
      <c r="Y476" t="str">
        <f t="shared" si="7"/>
        <v>Medium</v>
      </c>
    </row>
    <row r="477" spans="1:25">
      <c r="A477" t="s">
        <v>590</v>
      </c>
      <c r="B477" s="1">
        <v>44932</v>
      </c>
      <c r="C477" s="2">
        <v>0.15625</v>
      </c>
      <c r="D477" t="s">
        <v>34</v>
      </c>
      <c r="E477" t="s">
        <v>130</v>
      </c>
      <c r="F477" t="s">
        <v>107</v>
      </c>
      <c r="G477" t="s">
        <v>100</v>
      </c>
      <c r="H477" s="2">
        <v>0.15902777777777777</v>
      </c>
      <c r="I477" s="2">
        <v>0.17569444444444443</v>
      </c>
      <c r="J477">
        <v>-1</v>
      </c>
      <c r="K477">
        <v>22</v>
      </c>
      <c r="L477" t="s">
        <v>54</v>
      </c>
      <c r="M477">
        <v>33.200000000000003</v>
      </c>
      <c r="N477">
        <v>79</v>
      </c>
      <c r="O477">
        <v>27</v>
      </c>
      <c r="P477">
        <v>1.9</v>
      </c>
      <c r="Q477" t="s">
        <v>101</v>
      </c>
      <c r="R477">
        <v>50000</v>
      </c>
      <c r="S477">
        <v>31</v>
      </c>
      <c r="T477">
        <v>0</v>
      </c>
      <c r="U477">
        <v>1</v>
      </c>
      <c r="V477">
        <v>4</v>
      </c>
      <c r="W477" t="s">
        <v>55</v>
      </c>
      <c r="X477">
        <v>1</v>
      </c>
      <c r="Y477" t="str">
        <f t="shared" si="7"/>
        <v>Low</v>
      </c>
    </row>
    <row r="478" spans="1:25">
      <c r="A478" t="s">
        <v>591</v>
      </c>
      <c r="B478" s="1">
        <v>44932</v>
      </c>
      <c r="C478" s="2">
        <v>0.16666666666666666</v>
      </c>
      <c r="D478" t="s">
        <v>41</v>
      </c>
      <c r="E478" t="s">
        <v>61</v>
      </c>
      <c r="F478" t="s">
        <v>91</v>
      </c>
      <c r="G478" t="s">
        <v>113</v>
      </c>
      <c r="H478" s="2">
        <v>0.16875000000000001</v>
      </c>
      <c r="I478" s="2">
        <v>0.18888888888888888</v>
      </c>
      <c r="J478">
        <v>13</v>
      </c>
      <c r="K478">
        <v>23</v>
      </c>
      <c r="L478" t="s">
        <v>45</v>
      </c>
      <c r="M478">
        <v>4.2</v>
      </c>
      <c r="N478">
        <v>38</v>
      </c>
      <c r="O478">
        <v>15</v>
      </c>
      <c r="P478">
        <v>14.5</v>
      </c>
      <c r="Q478" t="s">
        <v>31</v>
      </c>
      <c r="R478">
        <v>500</v>
      </c>
      <c r="S478">
        <v>62</v>
      </c>
      <c r="T478">
        <v>0</v>
      </c>
      <c r="U478">
        <v>0</v>
      </c>
      <c r="V478">
        <v>4</v>
      </c>
      <c r="W478" t="s">
        <v>32</v>
      </c>
      <c r="X478">
        <v>1</v>
      </c>
      <c r="Y478" t="str">
        <f t="shared" si="7"/>
        <v>Medium</v>
      </c>
    </row>
    <row r="479" spans="1:25">
      <c r="A479" t="s">
        <v>592</v>
      </c>
      <c r="B479" s="1">
        <v>44932</v>
      </c>
      <c r="C479" s="2">
        <v>0.17708333333333334</v>
      </c>
      <c r="D479" t="s">
        <v>34</v>
      </c>
      <c r="E479" t="s">
        <v>61</v>
      </c>
      <c r="F479" t="s">
        <v>118</v>
      </c>
      <c r="G479" t="s">
        <v>86</v>
      </c>
      <c r="H479" s="2">
        <v>0.17847222222222223</v>
      </c>
      <c r="I479" s="2">
        <v>0.19236111111111112</v>
      </c>
      <c r="J479">
        <v>18</v>
      </c>
      <c r="K479">
        <v>17</v>
      </c>
      <c r="L479" t="s">
        <v>54</v>
      </c>
      <c r="M479">
        <v>5.0999999999999996</v>
      </c>
      <c r="N479">
        <v>89</v>
      </c>
      <c r="O479">
        <v>26</v>
      </c>
      <c r="P479">
        <v>6.7</v>
      </c>
      <c r="Q479" t="s">
        <v>101</v>
      </c>
      <c r="R479">
        <v>0</v>
      </c>
      <c r="S479">
        <v>32</v>
      </c>
      <c r="T479">
        <v>0</v>
      </c>
      <c r="U479">
        <v>0</v>
      </c>
      <c r="V479">
        <v>4</v>
      </c>
      <c r="W479" t="s">
        <v>39</v>
      </c>
      <c r="X479">
        <v>1</v>
      </c>
      <c r="Y479" t="str">
        <f t="shared" si="7"/>
        <v>Low</v>
      </c>
    </row>
    <row r="480" spans="1:25">
      <c r="A480" t="s">
        <v>593</v>
      </c>
      <c r="B480" s="1">
        <v>44932</v>
      </c>
      <c r="C480" s="2">
        <v>0.1875</v>
      </c>
      <c r="D480" t="s">
        <v>41</v>
      </c>
      <c r="E480" t="s">
        <v>161</v>
      </c>
      <c r="F480" t="s">
        <v>36</v>
      </c>
      <c r="G480" t="s">
        <v>86</v>
      </c>
      <c r="H480" s="2">
        <v>0.1875</v>
      </c>
      <c r="I480" s="2">
        <v>0.22500000000000001</v>
      </c>
      <c r="J480">
        <v>0</v>
      </c>
      <c r="K480">
        <v>-3</v>
      </c>
      <c r="L480" t="s">
        <v>84</v>
      </c>
      <c r="M480">
        <v>32.6</v>
      </c>
      <c r="N480">
        <v>96</v>
      </c>
      <c r="O480">
        <v>52</v>
      </c>
      <c r="P480">
        <v>15.9</v>
      </c>
      <c r="Q480" t="s">
        <v>31</v>
      </c>
      <c r="R480">
        <v>0</v>
      </c>
      <c r="S480">
        <v>94</v>
      </c>
      <c r="T480">
        <v>0</v>
      </c>
      <c r="U480">
        <v>0</v>
      </c>
      <c r="V480">
        <v>4</v>
      </c>
      <c r="W480" t="s">
        <v>72</v>
      </c>
      <c r="X480">
        <v>0</v>
      </c>
      <c r="Y480" t="str">
        <f t="shared" si="7"/>
        <v>High</v>
      </c>
    </row>
    <row r="481" spans="1:25">
      <c r="A481" t="s">
        <v>594</v>
      </c>
      <c r="B481" s="1">
        <v>44932</v>
      </c>
      <c r="C481" s="2">
        <v>0.19791666666666666</v>
      </c>
      <c r="D481" t="s">
        <v>34</v>
      </c>
      <c r="E481" t="s">
        <v>52</v>
      </c>
      <c r="F481" t="s">
        <v>75</v>
      </c>
      <c r="G481" t="s">
        <v>44</v>
      </c>
      <c r="H481" s="2">
        <v>0.1986111111111111</v>
      </c>
      <c r="I481" s="2">
        <v>0.23402777777777778</v>
      </c>
      <c r="J481">
        <v>7</v>
      </c>
      <c r="K481">
        <v>24</v>
      </c>
      <c r="L481" t="s">
        <v>77</v>
      </c>
      <c r="M481">
        <v>10.8</v>
      </c>
      <c r="N481">
        <v>82</v>
      </c>
      <c r="O481">
        <v>2</v>
      </c>
      <c r="P481">
        <v>3.3</v>
      </c>
      <c r="Q481" t="s">
        <v>71</v>
      </c>
      <c r="R481">
        <v>0</v>
      </c>
      <c r="S481">
        <v>76</v>
      </c>
      <c r="T481">
        <v>0</v>
      </c>
      <c r="U481">
        <v>0</v>
      </c>
      <c r="V481">
        <v>4</v>
      </c>
      <c r="W481" t="s">
        <v>32</v>
      </c>
      <c r="X481">
        <v>1</v>
      </c>
      <c r="Y481" t="str">
        <f t="shared" si="7"/>
        <v>High</v>
      </c>
    </row>
    <row r="482" spans="1:25">
      <c r="A482" t="s">
        <v>595</v>
      </c>
      <c r="B482" s="1">
        <v>44932</v>
      </c>
      <c r="C482" s="2">
        <v>0.20833333333333334</v>
      </c>
      <c r="D482" t="s">
        <v>34</v>
      </c>
      <c r="E482" t="s">
        <v>35</v>
      </c>
      <c r="F482" t="s">
        <v>75</v>
      </c>
      <c r="G482" t="s">
        <v>49</v>
      </c>
      <c r="H482" s="2">
        <v>0.20972222222222223</v>
      </c>
      <c r="I482" s="2">
        <v>0.2361111111111111</v>
      </c>
      <c r="J482">
        <v>16</v>
      </c>
      <c r="K482">
        <v>11</v>
      </c>
      <c r="L482" t="s">
        <v>54</v>
      </c>
      <c r="M482">
        <v>23.7</v>
      </c>
      <c r="N482">
        <v>46</v>
      </c>
      <c r="O482">
        <v>48</v>
      </c>
      <c r="P482">
        <v>10.8</v>
      </c>
      <c r="Q482" t="s">
        <v>31</v>
      </c>
      <c r="R482">
        <v>0</v>
      </c>
      <c r="S482">
        <v>65</v>
      </c>
      <c r="T482">
        <v>0</v>
      </c>
      <c r="U482">
        <v>0</v>
      </c>
      <c r="V482">
        <v>4</v>
      </c>
      <c r="W482" t="s">
        <v>72</v>
      </c>
      <c r="X482">
        <v>1</v>
      </c>
      <c r="Y482" t="str">
        <f t="shared" si="7"/>
        <v>Medium</v>
      </c>
    </row>
    <row r="483" spans="1:25">
      <c r="A483" t="s">
        <v>596</v>
      </c>
      <c r="B483" s="1">
        <v>44932</v>
      </c>
      <c r="C483" s="2">
        <v>0.21875</v>
      </c>
      <c r="D483" t="s">
        <v>74</v>
      </c>
      <c r="E483" t="s">
        <v>157</v>
      </c>
      <c r="F483" t="s">
        <v>168</v>
      </c>
      <c r="G483" t="s">
        <v>87</v>
      </c>
      <c r="H483" s="2">
        <v>0.22013888888888888</v>
      </c>
      <c r="I483" s="2">
        <v>0.25347222222222221</v>
      </c>
      <c r="J483">
        <v>5</v>
      </c>
      <c r="K483">
        <v>13</v>
      </c>
      <c r="L483" t="s">
        <v>38</v>
      </c>
      <c r="M483">
        <v>19.5</v>
      </c>
      <c r="N483">
        <v>82</v>
      </c>
      <c r="O483">
        <v>20</v>
      </c>
      <c r="P483">
        <v>10.199999999999999</v>
      </c>
      <c r="Q483" t="s">
        <v>31</v>
      </c>
      <c r="R483">
        <v>0</v>
      </c>
      <c r="S483">
        <v>29</v>
      </c>
      <c r="T483">
        <v>0</v>
      </c>
      <c r="U483">
        <v>0</v>
      </c>
      <c r="V483">
        <v>4</v>
      </c>
      <c r="W483" t="s">
        <v>55</v>
      </c>
      <c r="X483">
        <v>1</v>
      </c>
      <c r="Y483" t="str">
        <f t="shared" si="7"/>
        <v>Low</v>
      </c>
    </row>
    <row r="484" spans="1:25">
      <c r="A484" t="s">
        <v>597</v>
      </c>
      <c r="B484" s="1">
        <v>44932</v>
      </c>
      <c r="C484" s="2">
        <v>0.22916666666666666</v>
      </c>
      <c r="D484" t="s">
        <v>41</v>
      </c>
      <c r="E484" t="s">
        <v>93</v>
      </c>
      <c r="F484" t="s">
        <v>95</v>
      </c>
      <c r="G484" t="s">
        <v>49</v>
      </c>
      <c r="H484" s="2">
        <v>0.22916666666666666</v>
      </c>
      <c r="I484" s="2">
        <v>0.26597222222222222</v>
      </c>
      <c r="J484">
        <v>4</v>
      </c>
      <c r="K484">
        <v>22</v>
      </c>
      <c r="L484" t="s">
        <v>38</v>
      </c>
      <c r="M484">
        <v>6.4</v>
      </c>
      <c r="N484">
        <v>57</v>
      </c>
      <c r="O484">
        <v>37</v>
      </c>
      <c r="P484">
        <v>2</v>
      </c>
      <c r="Q484" t="s">
        <v>31</v>
      </c>
      <c r="R484">
        <v>500</v>
      </c>
      <c r="S484">
        <v>9</v>
      </c>
      <c r="T484">
        <v>0</v>
      </c>
      <c r="U484">
        <v>0</v>
      </c>
      <c r="V484">
        <v>4</v>
      </c>
      <c r="W484" t="s">
        <v>39</v>
      </c>
      <c r="X484">
        <v>1</v>
      </c>
      <c r="Y484" t="str">
        <f t="shared" si="7"/>
        <v>Low</v>
      </c>
    </row>
    <row r="485" spans="1:25">
      <c r="A485" t="s">
        <v>598</v>
      </c>
      <c r="B485" s="1">
        <v>44932</v>
      </c>
      <c r="C485" s="2">
        <v>0.23958333333333334</v>
      </c>
      <c r="D485" t="s">
        <v>74</v>
      </c>
      <c r="E485" t="s">
        <v>27</v>
      </c>
      <c r="F485" t="s">
        <v>28</v>
      </c>
      <c r="G485" t="s">
        <v>75</v>
      </c>
      <c r="H485" s="2">
        <v>0.24236111111111111</v>
      </c>
      <c r="I485" s="2">
        <v>0.27500000000000002</v>
      </c>
      <c r="J485">
        <v>-2</v>
      </c>
      <c r="K485">
        <v>16</v>
      </c>
      <c r="L485" t="s">
        <v>45</v>
      </c>
      <c r="M485">
        <v>21.1</v>
      </c>
      <c r="N485">
        <v>92</v>
      </c>
      <c r="O485">
        <v>37</v>
      </c>
      <c r="P485">
        <v>7.3</v>
      </c>
      <c r="Q485" t="s">
        <v>31</v>
      </c>
      <c r="R485">
        <v>0</v>
      </c>
      <c r="S485">
        <v>22</v>
      </c>
      <c r="T485">
        <v>0</v>
      </c>
      <c r="U485">
        <v>1</v>
      </c>
      <c r="V485">
        <v>4</v>
      </c>
      <c r="W485" t="s">
        <v>72</v>
      </c>
      <c r="X485">
        <v>1</v>
      </c>
      <c r="Y485" t="str">
        <f t="shared" si="7"/>
        <v>Low</v>
      </c>
    </row>
    <row r="486" spans="1:25">
      <c r="A486" t="s">
        <v>599</v>
      </c>
      <c r="B486" s="1">
        <v>44932</v>
      </c>
      <c r="C486" s="2">
        <v>0.25</v>
      </c>
      <c r="D486" t="s">
        <v>41</v>
      </c>
      <c r="E486" t="s">
        <v>147</v>
      </c>
      <c r="F486" t="s">
        <v>90</v>
      </c>
      <c r="G486" t="s">
        <v>100</v>
      </c>
      <c r="H486" s="2">
        <v>0.25069444444444444</v>
      </c>
      <c r="I486" s="2">
        <v>0.28749999999999998</v>
      </c>
      <c r="J486">
        <v>9</v>
      </c>
      <c r="K486">
        <v>21</v>
      </c>
      <c r="L486" t="s">
        <v>38</v>
      </c>
      <c r="M486">
        <v>21.2</v>
      </c>
      <c r="N486">
        <v>44</v>
      </c>
      <c r="O486">
        <v>29</v>
      </c>
      <c r="P486">
        <v>1.7</v>
      </c>
      <c r="Q486" t="s">
        <v>31</v>
      </c>
      <c r="R486">
        <v>0</v>
      </c>
      <c r="S486">
        <v>96</v>
      </c>
      <c r="T486">
        <v>0</v>
      </c>
      <c r="U486">
        <v>0</v>
      </c>
      <c r="V486">
        <v>4</v>
      </c>
      <c r="W486" t="s">
        <v>32</v>
      </c>
      <c r="X486">
        <v>1</v>
      </c>
      <c r="Y486" t="str">
        <f t="shared" si="7"/>
        <v>High</v>
      </c>
    </row>
    <row r="487" spans="1:25">
      <c r="A487" t="s">
        <v>600</v>
      </c>
      <c r="B487" s="1">
        <v>44932</v>
      </c>
      <c r="C487" s="2">
        <v>0.26041666666666669</v>
      </c>
      <c r="D487" t="s">
        <v>74</v>
      </c>
      <c r="E487" t="s">
        <v>98</v>
      </c>
      <c r="F487" t="s">
        <v>29</v>
      </c>
      <c r="G487" t="s">
        <v>128</v>
      </c>
      <c r="H487" s="2">
        <v>0.26180555555555557</v>
      </c>
      <c r="I487" s="2">
        <v>0.28402777777777777</v>
      </c>
      <c r="J487">
        <v>2</v>
      </c>
      <c r="K487">
        <v>9</v>
      </c>
      <c r="L487" t="s">
        <v>30</v>
      </c>
      <c r="M487">
        <v>18.7</v>
      </c>
      <c r="N487">
        <v>48</v>
      </c>
      <c r="O487">
        <v>21</v>
      </c>
      <c r="P487">
        <v>9.3000000000000007</v>
      </c>
      <c r="Q487" t="s">
        <v>31</v>
      </c>
      <c r="R487">
        <v>50000</v>
      </c>
      <c r="S487">
        <v>38</v>
      </c>
      <c r="T487">
        <v>0</v>
      </c>
      <c r="U487">
        <v>1</v>
      </c>
      <c r="V487">
        <v>4</v>
      </c>
      <c r="W487" t="s">
        <v>32</v>
      </c>
      <c r="X487">
        <v>1</v>
      </c>
      <c r="Y487" t="str">
        <f t="shared" si="7"/>
        <v>Medium</v>
      </c>
    </row>
    <row r="488" spans="1:25">
      <c r="A488" t="s">
        <v>601</v>
      </c>
      <c r="B488" s="1">
        <v>44932</v>
      </c>
      <c r="C488" s="2">
        <v>0.27083333333333331</v>
      </c>
      <c r="D488" t="s">
        <v>26</v>
      </c>
      <c r="E488" t="s">
        <v>130</v>
      </c>
      <c r="F488" t="s">
        <v>70</v>
      </c>
      <c r="G488" t="s">
        <v>105</v>
      </c>
      <c r="H488" s="2">
        <v>0.27291666666666664</v>
      </c>
      <c r="I488" s="2">
        <v>0.30625000000000002</v>
      </c>
      <c r="J488">
        <v>13</v>
      </c>
      <c r="K488">
        <v>29</v>
      </c>
      <c r="L488" t="s">
        <v>30</v>
      </c>
      <c r="M488">
        <v>-1</v>
      </c>
      <c r="N488">
        <v>99</v>
      </c>
      <c r="O488">
        <v>18</v>
      </c>
      <c r="P488">
        <v>16.899999999999999</v>
      </c>
      <c r="Q488" t="s">
        <v>71</v>
      </c>
      <c r="R488">
        <v>0</v>
      </c>
      <c r="S488">
        <v>44</v>
      </c>
      <c r="T488">
        <v>0</v>
      </c>
      <c r="U488">
        <v>0</v>
      </c>
      <c r="V488">
        <v>4</v>
      </c>
      <c r="W488" t="s">
        <v>39</v>
      </c>
      <c r="X488">
        <v>1</v>
      </c>
      <c r="Y488" t="str">
        <f t="shared" si="7"/>
        <v>Medium</v>
      </c>
    </row>
    <row r="489" spans="1:25">
      <c r="A489" t="s">
        <v>602</v>
      </c>
      <c r="B489" s="1">
        <v>44932</v>
      </c>
      <c r="C489" s="2">
        <v>0.28125</v>
      </c>
      <c r="D489" t="s">
        <v>34</v>
      </c>
      <c r="E489" t="s">
        <v>111</v>
      </c>
      <c r="F489" t="s">
        <v>76</v>
      </c>
      <c r="G489" t="s">
        <v>66</v>
      </c>
      <c r="H489" s="2">
        <v>0.28263888888888888</v>
      </c>
      <c r="I489" s="2">
        <v>0.2986111111111111</v>
      </c>
      <c r="J489">
        <v>1</v>
      </c>
      <c r="K489">
        <v>21</v>
      </c>
      <c r="L489" t="s">
        <v>54</v>
      </c>
      <c r="M489">
        <v>34.799999999999997</v>
      </c>
      <c r="N489">
        <v>76</v>
      </c>
      <c r="O489">
        <v>30</v>
      </c>
      <c r="P489">
        <v>5.4</v>
      </c>
      <c r="Q489" t="s">
        <v>31</v>
      </c>
      <c r="R489">
        <v>0</v>
      </c>
      <c r="S489">
        <v>28</v>
      </c>
      <c r="T489">
        <v>0</v>
      </c>
      <c r="U489">
        <v>0</v>
      </c>
      <c r="V489">
        <v>4</v>
      </c>
      <c r="W489" t="s">
        <v>55</v>
      </c>
      <c r="X489">
        <v>1</v>
      </c>
      <c r="Y489" t="str">
        <f t="shared" si="7"/>
        <v>Low</v>
      </c>
    </row>
    <row r="490" spans="1:25">
      <c r="A490" t="s">
        <v>603</v>
      </c>
      <c r="B490" s="1">
        <v>44932</v>
      </c>
      <c r="C490" s="2">
        <v>0.29166666666666669</v>
      </c>
      <c r="D490" t="s">
        <v>41</v>
      </c>
      <c r="E490" t="s">
        <v>42</v>
      </c>
      <c r="F490" t="s">
        <v>58</v>
      </c>
      <c r="G490" t="s">
        <v>81</v>
      </c>
      <c r="H490" s="2">
        <v>0.29236111111111113</v>
      </c>
      <c r="I490" s="2">
        <v>0.31944444444444442</v>
      </c>
      <c r="J490">
        <v>14</v>
      </c>
      <c r="K490">
        <v>4</v>
      </c>
      <c r="L490" t="s">
        <v>84</v>
      </c>
      <c r="M490">
        <v>11</v>
      </c>
      <c r="N490">
        <v>77</v>
      </c>
      <c r="O490">
        <v>19</v>
      </c>
      <c r="P490">
        <v>15.3</v>
      </c>
      <c r="Q490" t="s">
        <v>31</v>
      </c>
      <c r="R490">
        <v>2000</v>
      </c>
      <c r="S490">
        <v>29</v>
      </c>
      <c r="T490">
        <v>0</v>
      </c>
      <c r="U490">
        <v>0</v>
      </c>
      <c r="V490">
        <v>4</v>
      </c>
      <c r="W490" t="s">
        <v>39</v>
      </c>
      <c r="X490">
        <v>0</v>
      </c>
      <c r="Y490" t="str">
        <f t="shared" si="7"/>
        <v>Low</v>
      </c>
    </row>
    <row r="491" spans="1:25">
      <c r="A491" t="s">
        <v>604</v>
      </c>
      <c r="B491" s="1">
        <v>44932</v>
      </c>
      <c r="C491" s="2">
        <v>0.30208333333333331</v>
      </c>
      <c r="D491" t="s">
        <v>41</v>
      </c>
      <c r="E491" t="s">
        <v>98</v>
      </c>
      <c r="F491" t="s">
        <v>194</v>
      </c>
      <c r="G491" t="s">
        <v>113</v>
      </c>
      <c r="H491" s="2">
        <v>0.3034722222222222</v>
      </c>
      <c r="I491" s="2">
        <v>0.33819444444444446</v>
      </c>
      <c r="J491">
        <v>18</v>
      </c>
      <c r="K491">
        <v>1</v>
      </c>
      <c r="L491" t="s">
        <v>45</v>
      </c>
      <c r="M491">
        <v>20.5</v>
      </c>
      <c r="N491">
        <v>49</v>
      </c>
      <c r="O491">
        <v>46</v>
      </c>
      <c r="P491">
        <v>3.7</v>
      </c>
      <c r="Q491" t="s">
        <v>31</v>
      </c>
      <c r="R491">
        <v>500</v>
      </c>
      <c r="S491">
        <v>33</v>
      </c>
      <c r="T491">
        <v>0</v>
      </c>
      <c r="U491">
        <v>0</v>
      </c>
      <c r="V491">
        <v>4</v>
      </c>
      <c r="W491" t="s">
        <v>39</v>
      </c>
      <c r="X491">
        <v>0</v>
      </c>
      <c r="Y491" t="str">
        <f t="shared" si="7"/>
        <v>Low</v>
      </c>
    </row>
    <row r="492" spans="1:25">
      <c r="A492" t="s">
        <v>605</v>
      </c>
      <c r="B492" s="1">
        <v>44932</v>
      </c>
      <c r="C492" s="2">
        <v>0.3125</v>
      </c>
      <c r="D492" t="s">
        <v>34</v>
      </c>
      <c r="E492" t="s">
        <v>98</v>
      </c>
      <c r="F492" t="s">
        <v>185</v>
      </c>
      <c r="G492" t="s">
        <v>87</v>
      </c>
      <c r="H492" s="2">
        <v>0.3125</v>
      </c>
      <c r="I492" s="2">
        <v>0.34791666666666665</v>
      </c>
      <c r="J492">
        <v>-1</v>
      </c>
      <c r="K492">
        <v>2</v>
      </c>
      <c r="L492" t="s">
        <v>77</v>
      </c>
      <c r="M492">
        <v>30.4</v>
      </c>
      <c r="N492">
        <v>66</v>
      </c>
      <c r="O492">
        <v>18</v>
      </c>
      <c r="P492">
        <v>13.5</v>
      </c>
      <c r="Q492" t="s">
        <v>46</v>
      </c>
      <c r="R492">
        <v>0</v>
      </c>
      <c r="S492">
        <v>51</v>
      </c>
      <c r="T492">
        <v>0</v>
      </c>
      <c r="U492">
        <v>0</v>
      </c>
      <c r="V492">
        <v>4</v>
      </c>
      <c r="W492" t="s">
        <v>72</v>
      </c>
      <c r="X492">
        <v>0</v>
      </c>
      <c r="Y492" t="str">
        <f t="shared" si="7"/>
        <v>Medium</v>
      </c>
    </row>
    <row r="493" spans="1:25">
      <c r="A493" t="s">
        <v>606</v>
      </c>
      <c r="B493" s="1">
        <v>44932</v>
      </c>
      <c r="C493" s="2">
        <v>0.32291666666666669</v>
      </c>
      <c r="D493" t="s">
        <v>41</v>
      </c>
      <c r="E493" t="s">
        <v>35</v>
      </c>
      <c r="F493" t="s">
        <v>65</v>
      </c>
      <c r="G493" t="s">
        <v>185</v>
      </c>
      <c r="H493" s="2">
        <v>0.32430555555555557</v>
      </c>
      <c r="I493" s="2">
        <v>0.34930555555555554</v>
      </c>
      <c r="J493">
        <v>9</v>
      </c>
      <c r="K493">
        <v>19</v>
      </c>
      <c r="L493" t="s">
        <v>54</v>
      </c>
      <c r="M493">
        <v>11.9</v>
      </c>
      <c r="N493">
        <v>31</v>
      </c>
      <c r="O493">
        <v>1</v>
      </c>
      <c r="P493">
        <v>18.3</v>
      </c>
      <c r="Q493" t="s">
        <v>46</v>
      </c>
      <c r="R493">
        <v>2000</v>
      </c>
      <c r="S493">
        <v>80</v>
      </c>
      <c r="T493">
        <v>0</v>
      </c>
      <c r="U493">
        <v>1</v>
      </c>
      <c r="V493">
        <v>4</v>
      </c>
      <c r="W493" t="s">
        <v>55</v>
      </c>
      <c r="X493">
        <v>1</v>
      </c>
      <c r="Y493" t="str">
        <f t="shared" si="7"/>
        <v>High</v>
      </c>
    </row>
    <row r="494" spans="1:25">
      <c r="A494" t="s">
        <v>607</v>
      </c>
      <c r="B494" s="1">
        <v>44932</v>
      </c>
      <c r="C494" s="2">
        <v>0.33333333333333331</v>
      </c>
      <c r="D494" t="s">
        <v>41</v>
      </c>
      <c r="E494" t="s">
        <v>89</v>
      </c>
      <c r="F494" t="s">
        <v>154</v>
      </c>
      <c r="G494" t="s">
        <v>135</v>
      </c>
      <c r="H494" s="2">
        <v>0.3347222222222222</v>
      </c>
      <c r="I494" s="2">
        <v>0.36944444444444446</v>
      </c>
      <c r="J494">
        <v>-2</v>
      </c>
      <c r="K494">
        <v>26</v>
      </c>
      <c r="L494" t="s">
        <v>84</v>
      </c>
      <c r="M494">
        <v>26</v>
      </c>
      <c r="N494">
        <v>93</v>
      </c>
      <c r="O494">
        <v>39</v>
      </c>
      <c r="P494">
        <v>6.5</v>
      </c>
      <c r="Q494" t="s">
        <v>31</v>
      </c>
      <c r="R494">
        <v>0</v>
      </c>
      <c r="S494">
        <v>21</v>
      </c>
      <c r="T494">
        <v>0</v>
      </c>
      <c r="U494">
        <v>0</v>
      </c>
      <c r="V494">
        <v>4</v>
      </c>
      <c r="W494" t="s">
        <v>39</v>
      </c>
      <c r="X494">
        <v>1</v>
      </c>
      <c r="Y494" t="str">
        <f t="shared" si="7"/>
        <v>Low</v>
      </c>
    </row>
    <row r="495" spans="1:25">
      <c r="A495" t="s">
        <v>608</v>
      </c>
      <c r="B495" s="1">
        <v>44932</v>
      </c>
      <c r="C495" s="2">
        <v>0.34375</v>
      </c>
      <c r="D495" t="s">
        <v>74</v>
      </c>
      <c r="E495" t="s">
        <v>161</v>
      </c>
      <c r="F495" t="s">
        <v>81</v>
      </c>
      <c r="G495" t="s">
        <v>53</v>
      </c>
      <c r="H495" s="2">
        <v>0.34583333333333333</v>
      </c>
      <c r="I495" s="2">
        <v>0.37638888888888888</v>
      </c>
      <c r="J495">
        <v>9</v>
      </c>
      <c r="K495">
        <v>10</v>
      </c>
      <c r="L495" t="s">
        <v>45</v>
      </c>
      <c r="M495">
        <v>33.9</v>
      </c>
      <c r="N495">
        <v>65</v>
      </c>
      <c r="O495">
        <v>38</v>
      </c>
      <c r="P495">
        <v>18</v>
      </c>
      <c r="Q495" t="s">
        <v>31</v>
      </c>
      <c r="R495">
        <v>0</v>
      </c>
      <c r="S495">
        <v>4</v>
      </c>
      <c r="T495">
        <v>0</v>
      </c>
      <c r="U495">
        <v>1</v>
      </c>
      <c r="V495">
        <v>4</v>
      </c>
      <c r="W495" t="s">
        <v>72</v>
      </c>
      <c r="X495">
        <v>1</v>
      </c>
      <c r="Y495" t="str">
        <f t="shared" si="7"/>
        <v>Low</v>
      </c>
    </row>
    <row r="496" spans="1:25">
      <c r="A496" t="s">
        <v>609</v>
      </c>
      <c r="B496" s="1">
        <v>44932</v>
      </c>
      <c r="C496" s="2">
        <v>0.35416666666666669</v>
      </c>
      <c r="D496" t="s">
        <v>41</v>
      </c>
      <c r="E496" t="s">
        <v>61</v>
      </c>
      <c r="F496" t="s">
        <v>91</v>
      </c>
      <c r="G496" t="s">
        <v>28</v>
      </c>
      <c r="H496" s="2">
        <v>0.35416666666666669</v>
      </c>
      <c r="I496" s="2">
        <v>0.3888888888888889</v>
      </c>
      <c r="J496">
        <v>9</v>
      </c>
      <c r="K496">
        <v>19</v>
      </c>
      <c r="L496" t="s">
        <v>45</v>
      </c>
      <c r="M496">
        <v>9.4</v>
      </c>
      <c r="N496">
        <v>34</v>
      </c>
      <c r="O496">
        <v>26</v>
      </c>
      <c r="P496">
        <v>10.1</v>
      </c>
      <c r="Q496" t="s">
        <v>31</v>
      </c>
      <c r="R496">
        <v>0</v>
      </c>
      <c r="S496">
        <v>10</v>
      </c>
      <c r="T496">
        <v>0</v>
      </c>
      <c r="U496">
        <v>1</v>
      </c>
      <c r="V496">
        <v>4</v>
      </c>
      <c r="W496" t="s">
        <v>72</v>
      </c>
      <c r="X496">
        <v>1</v>
      </c>
      <c r="Y496" t="str">
        <f t="shared" si="7"/>
        <v>Low</v>
      </c>
    </row>
    <row r="497" spans="1:25">
      <c r="A497" t="s">
        <v>610</v>
      </c>
      <c r="B497" s="1">
        <v>44932</v>
      </c>
      <c r="C497" s="2">
        <v>0.36458333333333331</v>
      </c>
      <c r="D497" t="s">
        <v>26</v>
      </c>
      <c r="E497" t="s">
        <v>126</v>
      </c>
      <c r="F497" t="s">
        <v>62</v>
      </c>
      <c r="G497" t="s">
        <v>142</v>
      </c>
      <c r="H497" s="2">
        <v>0.36458333333333331</v>
      </c>
      <c r="I497" s="2">
        <v>0.3923611111111111</v>
      </c>
      <c r="J497">
        <v>9</v>
      </c>
      <c r="K497">
        <v>7</v>
      </c>
      <c r="L497" t="s">
        <v>54</v>
      </c>
      <c r="M497">
        <v>11.2</v>
      </c>
      <c r="N497">
        <v>93</v>
      </c>
      <c r="O497">
        <v>7</v>
      </c>
      <c r="P497">
        <v>6.3</v>
      </c>
      <c r="Q497" t="s">
        <v>101</v>
      </c>
      <c r="R497">
        <v>500</v>
      </c>
      <c r="S497">
        <v>85</v>
      </c>
      <c r="T497">
        <v>0</v>
      </c>
      <c r="U497">
        <v>0</v>
      </c>
      <c r="V497">
        <v>4</v>
      </c>
      <c r="W497" t="s">
        <v>55</v>
      </c>
      <c r="X497">
        <v>1</v>
      </c>
      <c r="Y497" t="str">
        <f t="shared" si="7"/>
        <v>High</v>
      </c>
    </row>
    <row r="498" spans="1:25">
      <c r="A498" t="s">
        <v>611</v>
      </c>
      <c r="B498" s="1">
        <v>44932</v>
      </c>
      <c r="C498" s="2">
        <v>0.375</v>
      </c>
      <c r="D498" t="s">
        <v>26</v>
      </c>
      <c r="E498" t="s">
        <v>52</v>
      </c>
      <c r="F498" t="s">
        <v>151</v>
      </c>
      <c r="G498" t="s">
        <v>96</v>
      </c>
      <c r="H498" s="2">
        <v>0.37638888888888888</v>
      </c>
      <c r="I498" s="2">
        <v>0.41180555555555554</v>
      </c>
      <c r="J498">
        <v>16</v>
      </c>
      <c r="K498">
        <v>27</v>
      </c>
      <c r="L498" t="s">
        <v>84</v>
      </c>
      <c r="M498">
        <v>31.2</v>
      </c>
      <c r="N498">
        <v>36</v>
      </c>
      <c r="O498">
        <v>44</v>
      </c>
      <c r="P498">
        <v>17.899999999999999</v>
      </c>
      <c r="Q498" t="s">
        <v>46</v>
      </c>
      <c r="R498">
        <v>0</v>
      </c>
      <c r="S498">
        <v>31</v>
      </c>
      <c r="T498">
        <v>0</v>
      </c>
      <c r="U498">
        <v>0</v>
      </c>
      <c r="V498">
        <v>4</v>
      </c>
      <c r="W498" t="s">
        <v>55</v>
      </c>
      <c r="X498">
        <v>1</v>
      </c>
      <c r="Y498" t="str">
        <f t="shared" si="7"/>
        <v>Low</v>
      </c>
    </row>
    <row r="499" spans="1:25">
      <c r="A499" t="s">
        <v>612</v>
      </c>
      <c r="B499" s="1">
        <v>44932</v>
      </c>
      <c r="C499" s="2">
        <v>0.38541666666666669</v>
      </c>
      <c r="D499" t="s">
        <v>34</v>
      </c>
      <c r="E499" t="s">
        <v>147</v>
      </c>
      <c r="F499" t="s">
        <v>107</v>
      </c>
      <c r="G499" t="s">
        <v>49</v>
      </c>
      <c r="H499" s="2">
        <v>0.38750000000000001</v>
      </c>
      <c r="I499" s="2">
        <v>0.40902777777777777</v>
      </c>
      <c r="J499">
        <v>14</v>
      </c>
      <c r="K499">
        <v>2</v>
      </c>
      <c r="L499" t="s">
        <v>84</v>
      </c>
      <c r="M499">
        <v>1.4</v>
      </c>
      <c r="N499">
        <v>99</v>
      </c>
      <c r="O499">
        <v>53</v>
      </c>
      <c r="P499">
        <v>0.6</v>
      </c>
      <c r="Q499" t="s">
        <v>31</v>
      </c>
      <c r="R499">
        <v>2000</v>
      </c>
      <c r="S499">
        <v>23</v>
      </c>
      <c r="T499">
        <v>0</v>
      </c>
      <c r="U499">
        <v>0</v>
      </c>
      <c r="V499">
        <v>4</v>
      </c>
      <c r="W499" t="s">
        <v>72</v>
      </c>
      <c r="X499">
        <v>0</v>
      </c>
      <c r="Y499" t="str">
        <f t="shared" si="7"/>
        <v>Low</v>
      </c>
    </row>
    <row r="500" spans="1:25">
      <c r="A500" t="s">
        <v>613</v>
      </c>
      <c r="B500" s="1">
        <v>44932</v>
      </c>
      <c r="C500" s="2">
        <v>0.39583333333333331</v>
      </c>
      <c r="D500" t="s">
        <v>41</v>
      </c>
      <c r="E500" t="s">
        <v>35</v>
      </c>
      <c r="F500" t="s">
        <v>105</v>
      </c>
      <c r="G500" t="s">
        <v>44</v>
      </c>
      <c r="H500" s="2">
        <v>0.3972222222222222</v>
      </c>
      <c r="I500" s="2">
        <v>0.41875000000000001</v>
      </c>
      <c r="J500">
        <v>17</v>
      </c>
      <c r="K500">
        <v>7</v>
      </c>
      <c r="L500" t="s">
        <v>38</v>
      </c>
      <c r="M500">
        <v>-3.9</v>
      </c>
      <c r="N500">
        <v>51</v>
      </c>
      <c r="O500">
        <v>26</v>
      </c>
      <c r="P500">
        <v>0.6</v>
      </c>
      <c r="Q500" t="s">
        <v>59</v>
      </c>
      <c r="R500">
        <v>0</v>
      </c>
      <c r="S500">
        <v>10</v>
      </c>
      <c r="T500">
        <v>0</v>
      </c>
      <c r="U500">
        <v>1</v>
      </c>
      <c r="V500">
        <v>4</v>
      </c>
      <c r="W500" t="s">
        <v>55</v>
      </c>
      <c r="X500">
        <v>1</v>
      </c>
      <c r="Y500" t="str">
        <f t="shared" si="7"/>
        <v>Low</v>
      </c>
    </row>
    <row r="501" spans="1:25">
      <c r="A501" t="s">
        <v>614</v>
      </c>
      <c r="B501" s="1">
        <v>44932</v>
      </c>
      <c r="C501" s="2">
        <v>0.40625</v>
      </c>
      <c r="D501" t="s">
        <v>34</v>
      </c>
      <c r="E501" t="s">
        <v>161</v>
      </c>
      <c r="F501" t="s">
        <v>135</v>
      </c>
      <c r="G501" t="s">
        <v>116</v>
      </c>
      <c r="H501" s="2">
        <v>0.40763888888888888</v>
      </c>
      <c r="I501" s="2">
        <v>0.43263888888888891</v>
      </c>
      <c r="J501">
        <v>8</v>
      </c>
      <c r="K501">
        <v>9</v>
      </c>
      <c r="L501" t="s">
        <v>77</v>
      </c>
      <c r="M501">
        <v>31.4</v>
      </c>
      <c r="N501">
        <v>75</v>
      </c>
      <c r="O501">
        <v>14</v>
      </c>
      <c r="P501">
        <v>12</v>
      </c>
      <c r="Q501" t="s">
        <v>31</v>
      </c>
      <c r="R501">
        <v>10000</v>
      </c>
      <c r="S501">
        <v>10</v>
      </c>
      <c r="T501">
        <v>1</v>
      </c>
      <c r="U501">
        <v>1</v>
      </c>
      <c r="V501">
        <v>4</v>
      </c>
      <c r="W501" t="s">
        <v>72</v>
      </c>
      <c r="X501">
        <v>1</v>
      </c>
      <c r="Y501" t="str">
        <f t="shared" si="7"/>
        <v>Low</v>
      </c>
    </row>
    <row r="502" spans="1:25">
      <c r="A502" t="s">
        <v>615</v>
      </c>
      <c r="B502" s="1">
        <v>44932</v>
      </c>
      <c r="C502" s="2">
        <v>0.41666666666666669</v>
      </c>
      <c r="D502" t="s">
        <v>26</v>
      </c>
      <c r="E502" t="s">
        <v>126</v>
      </c>
      <c r="F502" t="s">
        <v>65</v>
      </c>
      <c r="G502" t="s">
        <v>96</v>
      </c>
      <c r="H502" s="2">
        <v>0.41736111111111113</v>
      </c>
      <c r="I502" s="2">
        <v>0.44027777777777777</v>
      </c>
      <c r="J502">
        <v>10</v>
      </c>
      <c r="K502">
        <v>8</v>
      </c>
      <c r="L502" t="s">
        <v>30</v>
      </c>
      <c r="M502">
        <v>27.9</v>
      </c>
      <c r="N502">
        <v>69</v>
      </c>
      <c r="O502">
        <v>11</v>
      </c>
      <c r="P502">
        <v>15.9</v>
      </c>
      <c r="Q502" t="s">
        <v>31</v>
      </c>
      <c r="R502">
        <v>10000</v>
      </c>
      <c r="S502">
        <v>16</v>
      </c>
      <c r="T502">
        <v>0</v>
      </c>
      <c r="U502">
        <v>0</v>
      </c>
      <c r="V502">
        <v>4</v>
      </c>
      <c r="W502" t="s">
        <v>55</v>
      </c>
      <c r="X502">
        <v>1</v>
      </c>
      <c r="Y502" t="str">
        <f t="shared" si="7"/>
        <v>Low</v>
      </c>
    </row>
    <row r="503" spans="1:25">
      <c r="A503" t="s">
        <v>616</v>
      </c>
      <c r="B503" s="1">
        <v>44932</v>
      </c>
      <c r="C503" s="2">
        <v>0.42708333333333331</v>
      </c>
      <c r="D503" t="s">
        <v>41</v>
      </c>
      <c r="E503" t="s">
        <v>147</v>
      </c>
      <c r="F503" t="s">
        <v>122</v>
      </c>
      <c r="G503" t="s">
        <v>65</v>
      </c>
      <c r="H503" s="2">
        <v>0.42777777777777776</v>
      </c>
      <c r="I503" s="2">
        <v>0.44444444444444442</v>
      </c>
      <c r="J503">
        <v>5</v>
      </c>
      <c r="K503">
        <v>-2</v>
      </c>
      <c r="L503" t="s">
        <v>38</v>
      </c>
      <c r="M503">
        <v>33.9</v>
      </c>
      <c r="N503">
        <v>90</v>
      </c>
      <c r="O503">
        <v>46</v>
      </c>
      <c r="P503">
        <v>15</v>
      </c>
      <c r="Q503" t="s">
        <v>101</v>
      </c>
      <c r="R503">
        <v>0</v>
      </c>
      <c r="S503">
        <v>31</v>
      </c>
      <c r="T503">
        <v>0</v>
      </c>
      <c r="U503">
        <v>0</v>
      </c>
      <c r="V503">
        <v>4</v>
      </c>
      <c r="W503" t="s">
        <v>55</v>
      </c>
      <c r="X503">
        <v>0</v>
      </c>
      <c r="Y503" t="str">
        <f t="shared" si="7"/>
        <v>Low</v>
      </c>
    </row>
    <row r="504" spans="1:25">
      <c r="A504" t="s">
        <v>617</v>
      </c>
      <c r="B504" s="1">
        <v>44932</v>
      </c>
      <c r="C504" s="2">
        <v>0.4375</v>
      </c>
      <c r="D504" t="s">
        <v>41</v>
      </c>
      <c r="E504" t="s">
        <v>61</v>
      </c>
      <c r="F504" t="s">
        <v>151</v>
      </c>
      <c r="G504" t="s">
        <v>118</v>
      </c>
      <c r="H504" s="2">
        <v>0.43958333333333333</v>
      </c>
      <c r="I504" s="2">
        <v>0.45694444444444443</v>
      </c>
      <c r="J504">
        <v>7</v>
      </c>
      <c r="K504">
        <v>13</v>
      </c>
      <c r="L504" t="s">
        <v>45</v>
      </c>
      <c r="M504">
        <v>-2.7</v>
      </c>
      <c r="N504">
        <v>75</v>
      </c>
      <c r="O504">
        <v>13</v>
      </c>
      <c r="P504">
        <v>1.6</v>
      </c>
      <c r="Q504" t="s">
        <v>101</v>
      </c>
      <c r="R504">
        <v>0</v>
      </c>
      <c r="S504">
        <v>82</v>
      </c>
      <c r="T504">
        <v>0</v>
      </c>
      <c r="U504">
        <v>0</v>
      </c>
      <c r="V504">
        <v>4</v>
      </c>
      <c r="W504" t="s">
        <v>55</v>
      </c>
      <c r="X504">
        <v>1</v>
      </c>
      <c r="Y504" t="str">
        <f t="shared" si="7"/>
        <v>High</v>
      </c>
    </row>
    <row r="505" spans="1:25">
      <c r="A505" t="s">
        <v>618</v>
      </c>
      <c r="B505" s="1">
        <v>44932</v>
      </c>
      <c r="C505" s="2">
        <v>0.44791666666666669</v>
      </c>
      <c r="D505" t="s">
        <v>34</v>
      </c>
      <c r="E505" t="s">
        <v>27</v>
      </c>
      <c r="F505" t="s">
        <v>90</v>
      </c>
      <c r="G505" t="s">
        <v>100</v>
      </c>
      <c r="H505" s="2">
        <v>0.45069444444444445</v>
      </c>
      <c r="I505" s="2">
        <v>0.48680555555555555</v>
      </c>
      <c r="J505">
        <v>5</v>
      </c>
      <c r="K505">
        <v>24</v>
      </c>
      <c r="L505" t="s">
        <v>77</v>
      </c>
      <c r="M505">
        <v>1.2</v>
      </c>
      <c r="N505">
        <v>57</v>
      </c>
      <c r="O505">
        <v>6</v>
      </c>
      <c r="P505">
        <v>19</v>
      </c>
      <c r="Q505" t="s">
        <v>46</v>
      </c>
      <c r="R505">
        <v>2000</v>
      </c>
      <c r="S505">
        <v>26</v>
      </c>
      <c r="T505">
        <v>1</v>
      </c>
      <c r="U505">
        <v>1</v>
      </c>
      <c r="V505">
        <v>4</v>
      </c>
      <c r="W505" t="s">
        <v>32</v>
      </c>
      <c r="X505">
        <v>1</v>
      </c>
      <c r="Y505" t="str">
        <f t="shared" si="7"/>
        <v>Low</v>
      </c>
    </row>
    <row r="506" spans="1:25">
      <c r="A506" t="s">
        <v>619</v>
      </c>
      <c r="B506" s="1">
        <v>44932</v>
      </c>
      <c r="C506" s="2">
        <v>0.45833333333333331</v>
      </c>
      <c r="D506" t="s">
        <v>26</v>
      </c>
      <c r="E506" t="s">
        <v>61</v>
      </c>
      <c r="F506" t="s">
        <v>95</v>
      </c>
      <c r="G506" t="s">
        <v>113</v>
      </c>
      <c r="H506" s="2">
        <v>0.45902777777777776</v>
      </c>
      <c r="I506" s="2">
        <v>0.48541666666666666</v>
      </c>
      <c r="J506">
        <v>17</v>
      </c>
      <c r="K506">
        <v>24</v>
      </c>
      <c r="L506" t="s">
        <v>77</v>
      </c>
      <c r="M506">
        <v>-0.8</v>
      </c>
      <c r="N506">
        <v>64</v>
      </c>
      <c r="O506">
        <v>16</v>
      </c>
      <c r="P506">
        <v>14.1</v>
      </c>
      <c r="Q506" t="s">
        <v>31</v>
      </c>
      <c r="R506">
        <v>0</v>
      </c>
      <c r="S506">
        <v>31</v>
      </c>
      <c r="T506">
        <v>0</v>
      </c>
      <c r="U506">
        <v>1</v>
      </c>
      <c r="V506">
        <v>4</v>
      </c>
      <c r="W506" t="s">
        <v>55</v>
      </c>
      <c r="X506">
        <v>1</v>
      </c>
      <c r="Y506" t="str">
        <f t="shared" si="7"/>
        <v>Low</v>
      </c>
    </row>
    <row r="507" spans="1:25">
      <c r="A507" t="s">
        <v>620</v>
      </c>
      <c r="B507" s="1">
        <v>44932</v>
      </c>
      <c r="C507" s="2">
        <v>0.46875</v>
      </c>
      <c r="D507" t="s">
        <v>41</v>
      </c>
      <c r="E507" t="s">
        <v>35</v>
      </c>
      <c r="F507" t="s">
        <v>128</v>
      </c>
      <c r="G507" t="s">
        <v>29</v>
      </c>
      <c r="H507" s="2">
        <v>0.47152777777777777</v>
      </c>
      <c r="I507" s="2">
        <v>0.50555555555555554</v>
      </c>
      <c r="J507">
        <v>5</v>
      </c>
      <c r="K507">
        <v>18</v>
      </c>
      <c r="L507" t="s">
        <v>84</v>
      </c>
      <c r="M507">
        <v>22.3</v>
      </c>
      <c r="N507">
        <v>30</v>
      </c>
      <c r="O507">
        <v>25</v>
      </c>
      <c r="P507">
        <v>19</v>
      </c>
      <c r="Q507" t="s">
        <v>31</v>
      </c>
      <c r="R507">
        <v>0</v>
      </c>
      <c r="S507">
        <v>60</v>
      </c>
      <c r="T507">
        <v>0</v>
      </c>
      <c r="U507">
        <v>0</v>
      </c>
      <c r="V507">
        <v>4</v>
      </c>
      <c r="W507" t="s">
        <v>32</v>
      </c>
      <c r="X507">
        <v>1</v>
      </c>
      <c r="Y507" t="str">
        <f t="shared" si="7"/>
        <v>Medium</v>
      </c>
    </row>
    <row r="508" spans="1:25">
      <c r="A508" t="s">
        <v>621</v>
      </c>
      <c r="B508" s="1">
        <v>44932</v>
      </c>
      <c r="C508" s="2">
        <v>0.47916666666666669</v>
      </c>
      <c r="D508" t="s">
        <v>34</v>
      </c>
      <c r="E508" t="s">
        <v>61</v>
      </c>
      <c r="F508" t="s">
        <v>75</v>
      </c>
      <c r="G508" t="s">
        <v>176</v>
      </c>
      <c r="H508" s="2">
        <v>0.47916666666666669</v>
      </c>
      <c r="I508" s="2">
        <v>0.51875000000000004</v>
      </c>
      <c r="J508">
        <v>6</v>
      </c>
      <c r="K508">
        <v>3</v>
      </c>
      <c r="L508" t="s">
        <v>77</v>
      </c>
      <c r="M508">
        <v>19.2</v>
      </c>
      <c r="N508">
        <v>58</v>
      </c>
      <c r="O508">
        <v>36</v>
      </c>
      <c r="P508">
        <v>6.6</v>
      </c>
      <c r="Q508" t="s">
        <v>101</v>
      </c>
      <c r="R508">
        <v>0</v>
      </c>
      <c r="S508">
        <v>24</v>
      </c>
      <c r="T508">
        <v>0</v>
      </c>
      <c r="U508">
        <v>0</v>
      </c>
      <c r="V508">
        <v>4</v>
      </c>
      <c r="W508" t="s">
        <v>72</v>
      </c>
      <c r="X508">
        <v>0</v>
      </c>
      <c r="Y508" t="str">
        <f t="shared" si="7"/>
        <v>Low</v>
      </c>
    </row>
    <row r="509" spans="1:25">
      <c r="A509" t="s">
        <v>622</v>
      </c>
      <c r="B509" s="1">
        <v>44932</v>
      </c>
      <c r="C509" s="2">
        <v>0.48958333333333331</v>
      </c>
      <c r="D509" t="s">
        <v>26</v>
      </c>
      <c r="E509" t="s">
        <v>57</v>
      </c>
      <c r="F509" t="s">
        <v>83</v>
      </c>
      <c r="G509" t="s">
        <v>65</v>
      </c>
      <c r="H509" s="2">
        <v>0.49027777777777776</v>
      </c>
      <c r="I509" s="2">
        <v>0.52083333333333337</v>
      </c>
      <c r="J509">
        <v>4</v>
      </c>
      <c r="K509">
        <v>11</v>
      </c>
      <c r="L509" t="s">
        <v>54</v>
      </c>
      <c r="M509">
        <v>9.4</v>
      </c>
      <c r="N509">
        <v>38</v>
      </c>
      <c r="O509">
        <v>19</v>
      </c>
      <c r="P509">
        <v>13.9</v>
      </c>
      <c r="Q509" t="s">
        <v>71</v>
      </c>
      <c r="R509">
        <v>0</v>
      </c>
      <c r="S509">
        <v>63</v>
      </c>
      <c r="T509">
        <v>0</v>
      </c>
      <c r="U509">
        <v>0</v>
      </c>
      <c r="V509">
        <v>4</v>
      </c>
      <c r="W509" t="s">
        <v>39</v>
      </c>
      <c r="X509">
        <v>1</v>
      </c>
      <c r="Y509" t="str">
        <f t="shared" si="7"/>
        <v>Medium</v>
      </c>
    </row>
    <row r="510" spans="1:25">
      <c r="A510" t="s">
        <v>623</v>
      </c>
      <c r="B510" s="1">
        <v>44932</v>
      </c>
      <c r="C510" s="2">
        <v>0.5</v>
      </c>
      <c r="D510" t="s">
        <v>34</v>
      </c>
      <c r="E510" t="s">
        <v>57</v>
      </c>
      <c r="F510" t="s">
        <v>163</v>
      </c>
      <c r="G510" t="s">
        <v>36</v>
      </c>
      <c r="H510" s="2">
        <v>0.50069444444444444</v>
      </c>
      <c r="I510" s="2">
        <v>0.52569444444444446</v>
      </c>
      <c r="J510">
        <v>11</v>
      </c>
      <c r="K510">
        <v>28</v>
      </c>
      <c r="L510" t="s">
        <v>77</v>
      </c>
      <c r="M510">
        <v>-2.7</v>
      </c>
      <c r="N510">
        <v>38</v>
      </c>
      <c r="O510">
        <v>9</v>
      </c>
      <c r="P510">
        <v>17.2</v>
      </c>
      <c r="Q510" t="s">
        <v>31</v>
      </c>
      <c r="R510">
        <v>0</v>
      </c>
      <c r="S510">
        <v>63</v>
      </c>
      <c r="T510">
        <v>0</v>
      </c>
      <c r="U510">
        <v>0</v>
      </c>
      <c r="V510">
        <v>4</v>
      </c>
      <c r="W510" t="s">
        <v>39</v>
      </c>
      <c r="X510">
        <v>1</v>
      </c>
      <c r="Y510" t="str">
        <f t="shared" si="7"/>
        <v>Medium</v>
      </c>
    </row>
    <row r="511" spans="1:25">
      <c r="A511" t="s">
        <v>624</v>
      </c>
      <c r="B511" s="1">
        <v>44932</v>
      </c>
      <c r="C511" s="2">
        <v>0.51041666666666663</v>
      </c>
      <c r="D511" t="s">
        <v>74</v>
      </c>
      <c r="E511" t="s">
        <v>35</v>
      </c>
      <c r="F511" t="s">
        <v>70</v>
      </c>
      <c r="G511" t="s">
        <v>44</v>
      </c>
      <c r="H511" s="2">
        <v>0.51249999999999996</v>
      </c>
      <c r="I511" s="2">
        <v>0.54305555555555551</v>
      </c>
      <c r="J511">
        <v>-1</v>
      </c>
      <c r="K511">
        <v>7</v>
      </c>
      <c r="L511" t="s">
        <v>45</v>
      </c>
      <c r="M511">
        <v>20.6</v>
      </c>
      <c r="N511">
        <v>51</v>
      </c>
      <c r="O511">
        <v>18</v>
      </c>
      <c r="P511">
        <v>7.6</v>
      </c>
      <c r="Q511" t="s">
        <v>31</v>
      </c>
      <c r="R511">
        <v>0</v>
      </c>
      <c r="S511">
        <v>27</v>
      </c>
      <c r="T511">
        <v>0</v>
      </c>
      <c r="U511">
        <v>1</v>
      </c>
      <c r="V511">
        <v>4</v>
      </c>
      <c r="W511" t="s">
        <v>39</v>
      </c>
      <c r="X511">
        <v>1</v>
      </c>
      <c r="Y511" t="str">
        <f t="shared" si="7"/>
        <v>Low</v>
      </c>
    </row>
    <row r="512" spans="1:25">
      <c r="A512" t="s">
        <v>625</v>
      </c>
      <c r="B512" s="1">
        <v>44932</v>
      </c>
      <c r="C512" s="2">
        <v>0.52083333333333337</v>
      </c>
      <c r="D512" t="s">
        <v>41</v>
      </c>
      <c r="E512" t="s">
        <v>27</v>
      </c>
      <c r="F512" t="s">
        <v>148</v>
      </c>
      <c r="G512" t="s">
        <v>105</v>
      </c>
      <c r="H512" s="2">
        <v>0.52361111111111114</v>
      </c>
      <c r="I512" s="2">
        <v>0.54027777777777775</v>
      </c>
      <c r="J512">
        <v>8</v>
      </c>
      <c r="K512">
        <v>20</v>
      </c>
      <c r="L512" t="s">
        <v>54</v>
      </c>
      <c r="M512">
        <v>17.8</v>
      </c>
      <c r="N512">
        <v>92</v>
      </c>
      <c r="O512">
        <v>17</v>
      </c>
      <c r="P512">
        <v>19.3</v>
      </c>
      <c r="Q512" t="s">
        <v>101</v>
      </c>
      <c r="R512">
        <v>500</v>
      </c>
      <c r="S512">
        <v>39</v>
      </c>
      <c r="T512">
        <v>0</v>
      </c>
      <c r="U512">
        <v>0</v>
      </c>
      <c r="V512">
        <v>4</v>
      </c>
      <c r="W512" t="s">
        <v>72</v>
      </c>
      <c r="X512">
        <v>1</v>
      </c>
      <c r="Y512" t="str">
        <f t="shared" si="7"/>
        <v>Medium</v>
      </c>
    </row>
    <row r="513" spans="1:25">
      <c r="A513" t="s">
        <v>626</v>
      </c>
      <c r="B513" s="1">
        <v>44932</v>
      </c>
      <c r="C513" s="2">
        <v>0.53125</v>
      </c>
      <c r="D513" t="s">
        <v>74</v>
      </c>
      <c r="E513" t="s">
        <v>27</v>
      </c>
      <c r="F513" t="s">
        <v>87</v>
      </c>
      <c r="G513" t="s">
        <v>109</v>
      </c>
      <c r="H513" s="2">
        <v>0.53194444444444444</v>
      </c>
      <c r="I513" s="2">
        <v>0.56666666666666665</v>
      </c>
      <c r="J513">
        <v>5</v>
      </c>
      <c r="K513">
        <v>-1</v>
      </c>
      <c r="L513" t="s">
        <v>54</v>
      </c>
      <c r="M513">
        <v>-0.5</v>
      </c>
      <c r="N513">
        <v>95</v>
      </c>
      <c r="O513">
        <v>29</v>
      </c>
      <c r="P513">
        <v>5.3</v>
      </c>
      <c r="Q513" t="s">
        <v>101</v>
      </c>
      <c r="R513">
        <v>0</v>
      </c>
      <c r="S513">
        <v>90</v>
      </c>
      <c r="T513">
        <v>0</v>
      </c>
      <c r="U513">
        <v>0</v>
      </c>
      <c r="V513">
        <v>4</v>
      </c>
      <c r="W513" t="s">
        <v>55</v>
      </c>
      <c r="X513">
        <v>0</v>
      </c>
      <c r="Y513" t="str">
        <f t="shared" si="7"/>
        <v>High</v>
      </c>
    </row>
    <row r="514" spans="1:25">
      <c r="A514" t="s">
        <v>627</v>
      </c>
      <c r="B514" s="1">
        <v>44932</v>
      </c>
      <c r="C514" s="2">
        <v>0.54166666666666663</v>
      </c>
      <c r="D514" t="s">
        <v>26</v>
      </c>
      <c r="E514" t="s">
        <v>68</v>
      </c>
      <c r="F514" t="s">
        <v>116</v>
      </c>
      <c r="G514" t="s">
        <v>123</v>
      </c>
      <c r="H514" s="2">
        <v>0.54236111111111107</v>
      </c>
      <c r="I514" s="2">
        <v>0.55902777777777779</v>
      </c>
      <c r="J514">
        <v>10</v>
      </c>
      <c r="K514">
        <v>26</v>
      </c>
      <c r="L514" t="s">
        <v>38</v>
      </c>
      <c r="M514">
        <v>31.4</v>
      </c>
      <c r="N514">
        <v>87</v>
      </c>
      <c r="O514">
        <v>29</v>
      </c>
      <c r="P514">
        <v>6.3</v>
      </c>
      <c r="Q514" t="s">
        <v>71</v>
      </c>
      <c r="R514">
        <v>0</v>
      </c>
      <c r="S514">
        <v>13</v>
      </c>
      <c r="T514">
        <v>0</v>
      </c>
      <c r="U514">
        <v>0</v>
      </c>
      <c r="V514">
        <v>4</v>
      </c>
      <c r="W514" t="s">
        <v>32</v>
      </c>
      <c r="X514">
        <v>1</v>
      </c>
      <c r="Y514" t="str">
        <f t="shared" ref="Y514:Y577" si="8">IF(S514&lt;=33,"Low",IF(S514&lt;=66,"Medium","High"))</f>
        <v>Low</v>
      </c>
    </row>
    <row r="515" spans="1:25">
      <c r="A515" t="s">
        <v>628</v>
      </c>
      <c r="B515" s="1">
        <v>44932</v>
      </c>
      <c r="C515" s="2">
        <v>0.55208333333333337</v>
      </c>
      <c r="D515" t="s">
        <v>74</v>
      </c>
      <c r="E515" t="s">
        <v>35</v>
      </c>
      <c r="F515" t="s">
        <v>142</v>
      </c>
      <c r="G515" t="s">
        <v>58</v>
      </c>
      <c r="H515" s="2">
        <v>0.5541666666666667</v>
      </c>
      <c r="I515" s="2">
        <v>0.57499999999999996</v>
      </c>
      <c r="J515">
        <v>18</v>
      </c>
      <c r="K515">
        <v>2</v>
      </c>
      <c r="L515" t="s">
        <v>77</v>
      </c>
      <c r="M515">
        <v>3</v>
      </c>
      <c r="N515">
        <v>99</v>
      </c>
      <c r="O515">
        <v>24</v>
      </c>
      <c r="P515">
        <v>18.399999999999999</v>
      </c>
      <c r="Q515" t="s">
        <v>46</v>
      </c>
      <c r="R515">
        <v>50000</v>
      </c>
      <c r="S515">
        <v>41</v>
      </c>
      <c r="T515">
        <v>0</v>
      </c>
      <c r="U515">
        <v>0</v>
      </c>
      <c r="V515">
        <v>4</v>
      </c>
      <c r="W515" t="s">
        <v>72</v>
      </c>
      <c r="X515">
        <v>0</v>
      </c>
      <c r="Y515" t="str">
        <f t="shared" si="8"/>
        <v>Medium</v>
      </c>
    </row>
    <row r="516" spans="1:25">
      <c r="A516" t="s">
        <v>629</v>
      </c>
      <c r="B516" s="1">
        <v>44932</v>
      </c>
      <c r="C516" s="2">
        <v>0.5625</v>
      </c>
      <c r="D516" t="s">
        <v>74</v>
      </c>
      <c r="E516" t="s">
        <v>126</v>
      </c>
      <c r="F516" t="s">
        <v>87</v>
      </c>
      <c r="G516" t="s">
        <v>86</v>
      </c>
      <c r="H516" s="2">
        <v>0.56458333333333333</v>
      </c>
      <c r="I516" s="2">
        <v>0.59513888888888888</v>
      </c>
      <c r="J516">
        <v>12</v>
      </c>
      <c r="K516">
        <v>-2</v>
      </c>
      <c r="L516" t="s">
        <v>84</v>
      </c>
      <c r="M516">
        <v>24.7</v>
      </c>
      <c r="N516">
        <v>84</v>
      </c>
      <c r="O516">
        <v>23</v>
      </c>
      <c r="P516">
        <v>19.399999999999999</v>
      </c>
      <c r="Q516" t="s">
        <v>31</v>
      </c>
      <c r="R516">
        <v>500</v>
      </c>
      <c r="S516">
        <v>38</v>
      </c>
      <c r="T516">
        <v>0</v>
      </c>
      <c r="U516">
        <v>0</v>
      </c>
      <c r="V516">
        <v>4</v>
      </c>
      <c r="W516" t="s">
        <v>39</v>
      </c>
      <c r="X516">
        <v>0</v>
      </c>
      <c r="Y516" t="str">
        <f t="shared" si="8"/>
        <v>Medium</v>
      </c>
    </row>
    <row r="517" spans="1:25">
      <c r="A517" t="s">
        <v>630</v>
      </c>
      <c r="B517" s="1">
        <v>44932</v>
      </c>
      <c r="C517" s="2">
        <v>0.57291666666666663</v>
      </c>
      <c r="D517" t="s">
        <v>26</v>
      </c>
      <c r="E517" t="s">
        <v>79</v>
      </c>
      <c r="F517" t="s">
        <v>151</v>
      </c>
      <c r="G517" t="s">
        <v>151</v>
      </c>
      <c r="H517" s="2">
        <v>0.5756944444444444</v>
      </c>
      <c r="I517" s="2">
        <v>0.60277777777777775</v>
      </c>
      <c r="J517">
        <v>0</v>
      </c>
      <c r="K517">
        <v>10</v>
      </c>
      <c r="L517" t="s">
        <v>38</v>
      </c>
      <c r="M517">
        <v>30.4</v>
      </c>
      <c r="N517">
        <v>42</v>
      </c>
      <c r="O517">
        <v>9</v>
      </c>
      <c r="P517">
        <v>5.7</v>
      </c>
      <c r="Q517" t="s">
        <v>71</v>
      </c>
      <c r="R517">
        <v>0</v>
      </c>
      <c r="S517">
        <v>1</v>
      </c>
      <c r="T517">
        <v>0</v>
      </c>
      <c r="U517">
        <v>1</v>
      </c>
      <c r="V517">
        <v>4</v>
      </c>
      <c r="W517" t="s">
        <v>39</v>
      </c>
      <c r="X517">
        <v>1</v>
      </c>
      <c r="Y517" t="str">
        <f t="shared" si="8"/>
        <v>Low</v>
      </c>
    </row>
    <row r="518" spans="1:25">
      <c r="A518" t="s">
        <v>631</v>
      </c>
      <c r="B518" s="1">
        <v>44932</v>
      </c>
      <c r="C518" s="2">
        <v>0.58333333333333337</v>
      </c>
      <c r="D518" t="s">
        <v>34</v>
      </c>
      <c r="E518" t="s">
        <v>111</v>
      </c>
      <c r="F518" t="s">
        <v>122</v>
      </c>
      <c r="G518" t="s">
        <v>194</v>
      </c>
      <c r="H518" s="2">
        <v>0.58333333333333337</v>
      </c>
      <c r="I518" s="2">
        <v>0.60555555555555551</v>
      </c>
      <c r="J518">
        <v>11</v>
      </c>
      <c r="K518">
        <v>14</v>
      </c>
      <c r="L518" t="s">
        <v>84</v>
      </c>
      <c r="M518">
        <v>18.2</v>
      </c>
      <c r="N518">
        <v>48</v>
      </c>
      <c r="O518">
        <v>1</v>
      </c>
      <c r="P518">
        <v>2.7</v>
      </c>
      <c r="Q518" t="s">
        <v>71</v>
      </c>
      <c r="R518">
        <v>0</v>
      </c>
      <c r="S518">
        <v>80</v>
      </c>
      <c r="T518">
        <v>0</v>
      </c>
      <c r="U518">
        <v>0</v>
      </c>
      <c r="V518">
        <v>4</v>
      </c>
      <c r="W518" t="s">
        <v>39</v>
      </c>
      <c r="X518">
        <v>1</v>
      </c>
      <c r="Y518" t="str">
        <f t="shared" si="8"/>
        <v>High</v>
      </c>
    </row>
    <row r="519" spans="1:25">
      <c r="A519" t="s">
        <v>632</v>
      </c>
      <c r="B519" s="1">
        <v>44932</v>
      </c>
      <c r="C519" s="2">
        <v>0.59375</v>
      </c>
      <c r="D519" t="s">
        <v>74</v>
      </c>
      <c r="E519" t="s">
        <v>141</v>
      </c>
      <c r="F519" t="s">
        <v>185</v>
      </c>
      <c r="G519" t="s">
        <v>96</v>
      </c>
      <c r="H519" s="2">
        <v>0.59375</v>
      </c>
      <c r="I519" s="2">
        <v>0.61527777777777781</v>
      </c>
      <c r="J519">
        <v>12</v>
      </c>
      <c r="K519">
        <v>27</v>
      </c>
      <c r="L519" t="s">
        <v>77</v>
      </c>
      <c r="M519">
        <v>4.9000000000000004</v>
      </c>
      <c r="N519">
        <v>62</v>
      </c>
      <c r="O519">
        <v>37</v>
      </c>
      <c r="P519">
        <v>15.2</v>
      </c>
      <c r="Q519" t="s">
        <v>31</v>
      </c>
      <c r="R519">
        <v>0</v>
      </c>
      <c r="S519">
        <v>0</v>
      </c>
      <c r="T519">
        <v>0</v>
      </c>
      <c r="U519">
        <v>0</v>
      </c>
      <c r="V519">
        <v>4</v>
      </c>
      <c r="W519" t="s">
        <v>39</v>
      </c>
      <c r="X519">
        <v>1</v>
      </c>
      <c r="Y519" t="str">
        <f t="shared" si="8"/>
        <v>Low</v>
      </c>
    </row>
    <row r="520" spans="1:25">
      <c r="A520" t="s">
        <v>633</v>
      </c>
      <c r="B520" s="1">
        <v>44932</v>
      </c>
      <c r="C520" s="2">
        <v>0.60416666666666663</v>
      </c>
      <c r="D520" t="s">
        <v>34</v>
      </c>
      <c r="E520" t="s">
        <v>89</v>
      </c>
      <c r="F520" t="s">
        <v>203</v>
      </c>
      <c r="G520" t="s">
        <v>185</v>
      </c>
      <c r="H520" s="2">
        <v>0.60555555555555551</v>
      </c>
      <c r="I520" s="2">
        <v>0.63055555555555554</v>
      </c>
      <c r="J520">
        <v>-1</v>
      </c>
      <c r="K520">
        <v>9</v>
      </c>
      <c r="L520" t="s">
        <v>38</v>
      </c>
      <c r="M520">
        <v>7.4</v>
      </c>
      <c r="N520">
        <v>94</v>
      </c>
      <c r="O520">
        <v>31</v>
      </c>
      <c r="P520">
        <v>18.600000000000001</v>
      </c>
      <c r="Q520" t="s">
        <v>59</v>
      </c>
      <c r="R520">
        <v>0</v>
      </c>
      <c r="S520">
        <v>31</v>
      </c>
      <c r="T520">
        <v>1</v>
      </c>
      <c r="U520">
        <v>0</v>
      </c>
      <c r="V520">
        <v>4</v>
      </c>
      <c r="W520" t="s">
        <v>32</v>
      </c>
      <c r="X520">
        <v>1</v>
      </c>
      <c r="Y520" t="str">
        <f t="shared" si="8"/>
        <v>Low</v>
      </c>
    </row>
    <row r="521" spans="1:25">
      <c r="A521" t="s">
        <v>634</v>
      </c>
      <c r="B521" s="1">
        <v>44932</v>
      </c>
      <c r="C521" s="2">
        <v>0.61458333333333337</v>
      </c>
      <c r="D521" t="s">
        <v>74</v>
      </c>
      <c r="E521" t="s">
        <v>61</v>
      </c>
      <c r="F521" t="s">
        <v>62</v>
      </c>
      <c r="G521" t="s">
        <v>107</v>
      </c>
      <c r="H521" s="2">
        <v>0.61527777777777781</v>
      </c>
      <c r="I521" s="2">
        <v>0.64236111111111116</v>
      </c>
      <c r="J521">
        <v>16</v>
      </c>
      <c r="K521">
        <v>22</v>
      </c>
      <c r="L521" t="s">
        <v>77</v>
      </c>
      <c r="M521">
        <v>30.4</v>
      </c>
      <c r="N521">
        <v>89</v>
      </c>
      <c r="O521">
        <v>34</v>
      </c>
      <c r="P521">
        <v>12</v>
      </c>
      <c r="Q521" t="s">
        <v>101</v>
      </c>
      <c r="R521">
        <v>50000</v>
      </c>
      <c r="S521">
        <v>82</v>
      </c>
      <c r="T521">
        <v>0</v>
      </c>
      <c r="U521">
        <v>0</v>
      </c>
      <c r="V521">
        <v>4</v>
      </c>
      <c r="W521" t="s">
        <v>39</v>
      </c>
      <c r="X521">
        <v>1</v>
      </c>
      <c r="Y521" t="str">
        <f t="shared" si="8"/>
        <v>High</v>
      </c>
    </row>
    <row r="522" spans="1:25">
      <c r="A522" t="s">
        <v>635</v>
      </c>
      <c r="B522" s="1">
        <v>44932</v>
      </c>
      <c r="C522" s="2">
        <v>0.625</v>
      </c>
      <c r="D522" t="s">
        <v>34</v>
      </c>
      <c r="E522" t="s">
        <v>126</v>
      </c>
      <c r="F522" t="s">
        <v>154</v>
      </c>
      <c r="G522" t="s">
        <v>148</v>
      </c>
      <c r="H522" s="2">
        <v>0.62777777777777777</v>
      </c>
      <c r="I522" s="2">
        <v>0.65694444444444444</v>
      </c>
      <c r="J522">
        <v>9</v>
      </c>
      <c r="K522">
        <v>8</v>
      </c>
      <c r="L522" t="s">
        <v>45</v>
      </c>
      <c r="M522">
        <v>6.9</v>
      </c>
      <c r="N522">
        <v>41</v>
      </c>
      <c r="O522">
        <v>50</v>
      </c>
      <c r="P522">
        <v>12.7</v>
      </c>
      <c r="Q522" t="s">
        <v>31</v>
      </c>
      <c r="R522">
        <v>500</v>
      </c>
      <c r="S522">
        <v>63</v>
      </c>
      <c r="T522">
        <v>0</v>
      </c>
      <c r="U522">
        <v>0</v>
      </c>
      <c r="V522">
        <v>4</v>
      </c>
      <c r="W522" t="s">
        <v>32</v>
      </c>
      <c r="X522">
        <v>1</v>
      </c>
      <c r="Y522" t="str">
        <f t="shared" si="8"/>
        <v>Medium</v>
      </c>
    </row>
    <row r="523" spans="1:25">
      <c r="A523" t="s">
        <v>636</v>
      </c>
      <c r="B523" s="1">
        <v>44932</v>
      </c>
      <c r="C523" s="2">
        <v>0.63541666666666663</v>
      </c>
      <c r="D523" t="s">
        <v>26</v>
      </c>
      <c r="E523" t="s">
        <v>161</v>
      </c>
      <c r="F523" t="s">
        <v>154</v>
      </c>
      <c r="G523" t="s">
        <v>135</v>
      </c>
      <c r="H523" s="2">
        <v>0.63611111111111107</v>
      </c>
      <c r="I523" s="2">
        <v>0.66180555555555554</v>
      </c>
      <c r="J523">
        <v>17</v>
      </c>
      <c r="K523">
        <v>14</v>
      </c>
      <c r="L523" t="s">
        <v>38</v>
      </c>
      <c r="M523">
        <v>24.8</v>
      </c>
      <c r="N523">
        <v>72</v>
      </c>
      <c r="O523">
        <v>36</v>
      </c>
      <c r="P523">
        <v>15.3</v>
      </c>
      <c r="Q523" t="s">
        <v>59</v>
      </c>
      <c r="R523">
        <v>50000</v>
      </c>
      <c r="S523">
        <v>77</v>
      </c>
      <c r="T523">
        <v>0</v>
      </c>
      <c r="U523">
        <v>0</v>
      </c>
      <c r="V523">
        <v>4</v>
      </c>
      <c r="W523" t="s">
        <v>39</v>
      </c>
      <c r="X523">
        <v>1</v>
      </c>
      <c r="Y523" t="str">
        <f t="shared" si="8"/>
        <v>High</v>
      </c>
    </row>
    <row r="524" spans="1:25">
      <c r="A524" t="s">
        <v>637</v>
      </c>
      <c r="B524" s="1">
        <v>44932</v>
      </c>
      <c r="C524" s="2">
        <v>0.64583333333333337</v>
      </c>
      <c r="D524" t="s">
        <v>74</v>
      </c>
      <c r="E524" t="s">
        <v>130</v>
      </c>
      <c r="F524" t="s">
        <v>86</v>
      </c>
      <c r="G524" t="s">
        <v>49</v>
      </c>
      <c r="H524" s="2">
        <v>0.64861111111111114</v>
      </c>
      <c r="I524" s="2">
        <v>0.67569444444444449</v>
      </c>
      <c r="J524">
        <v>1</v>
      </c>
      <c r="K524">
        <v>5</v>
      </c>
      <c r="L524" t="s">
        <v>84</v>
      </c>
      <c r="M524">
        <v>34.6</v>
      </c>
      <c r="N524">
        <v>46</v>
      </c>
      <c r="O524">
        <v>6</v>
      </c>
      <c r="P524">
        <v>3.1</v>
      </c>
      <c r="Q524" t="s">
        <v>71</v>
      </c>
      <c r="R524">
        <v>10000</v>
      </c>
      <c r="S524">
        <v>30</v>
      </c>
      <c r="T524">
        <v>0</v>
      </c>
      <c r="U524">
        <v>0</v>
      </c>
      <c r="V524">
        <v>4</v>
      </c>
      <c r="W524" t="s">
        <v>72</v>
      </c>
      <c r="X524">
        <v>0</v>
      </c>
      <c r="Y524" t="str">
        <f t="shared" si="8"/>
        <v>Low</v>
      </c>
    </row>
    <row r="525" spans="1:25">
      <c r="A525" t="s">
        <v>638</v>
      </c>
      <c r="B525" s="1">
        <v>44932</v>
      </c>
      <c r="C525" s="2">
        <v>0.65625</v>
      </c>
      <c r="D525" t="s">
        <v>26</v>
      </c>
      <c r="E525" t="s">
        <v>68</v>
      </c>
      <c r="F525" t="s">
        <v>36</v>
      </c>
      <c r="G525" t="s">
        <v>65</v>
      </c>
      <c r="H525" s="2">
        <v>0.65902777777777777</v>
      </c>
      <c r="I525" s="2">
        <v>0.6875</v>
      </c>
      <c r="J525">
        <v>0</v>
      </c>
      <c r="K525">
        <v>17</v>
      </c>
      <c r="L525" t="s">
        <v>45</v>
      </c>
      <c r="M525">
        <v>35</v>
      </c>
      <c r="N525">
        <v>97</v>
      </c>
      <c r="O525">
        <v>6</v>
      </c>
      <c r="P525">
        <v>19.5</v>
      </c>
      <c r="Q525" t="s">
        <v>31</v>
      </c>
      <c r="R525">
        <v>0</v>
      </c>
      <c r="S525">
        <v>57</v>
      </c>
      <c r="T525">
        <v>0</v>
      </c>
      <c r="U525">
        <v>0</v>
      </c>
      <c r="V525">
        <v>4</v>
      </c>
      <c r="W525" t="s">
        <v>32</v>
      </c>
      <c r="X525">
        <v>1</v>
      </c>
      <c r="Y525" t="str">
        <f t="shared" si="8"/>
        <v>Medium</v>
      </c>
    </row>
    <row r="526" spans="1:25">
      <c r="A526" t="s">
        <v>639</v>
      </c>
      <c r="B526" s="1">
        <v>44932</v>
      </c>
      <c r="C526" s="2">
        <v>0.66666666666666663</v>
      </c>
      <c r="D526" t="s">
        <v>74</v>
      </c>
      <c r="E526" t="s">
        <v>61</v>
      </c>
      <c r="F526" t="s">
        <v>203</v>
      </c>
      <c r="G526" t="s">
        <v>176</v>
      </c>
      <c r="H526" s="2">
        <v>0.6694444444444444</v>
      </c>
      <c r="I526" s="2">
        <v>0.69930555555555551</v>
      </c>
      <c r="J526">
        <v>2</v>
      </c>
      <c r="K526">
        <v>20</v>
      </c>
      <c r="L526" t="s">
        <v>30</v>
      </c>
      <c r="M526">
        <v>16.3</v>
      </c>
      <c r="N526">
        <v>58</v>
      </c>
      <c r="O526">
        <v>26</v>
      </c>
      <c r="P526">
        <v>7.3</v>
      </c>
      <c r="Q526" t="s">
        <v>59</v>
      </c>
      <c r="R526">
        <v>500</v>
      </c>
      <c r="S526">
        <v>81</v>
      </c>
      <c r="T526">
        <v>0</v>
      </c>
      <c r="U526">
        <v>1</v>
      </c>
      <c r="V526">
        <v>4</v>
      </c>
      <c r="W526" t="s">
        <v>32</v>
      </c>
      <c r="X526">
        <v>1</v>
      </c>
      <c r="Y526" t="str">
        <f t="shared" si="8"/>
        <v>High</v>
      </c>
    </row>
    <row r="527" spans="1:25">
      <c r="A527" t="s">
        <v>640</v>
      </c>
      <c r="B527" s="1">
        <v>44932</v>
      </c>
      <c r="C527" s="2">
        <v>0.67708333333333337</v>
      </c>
      <c r="D527" t="s">
        <v>26</v>
      </c>
      <c r="E527" t="s">
        <v>61</v>
      </c>
      <c r="F527" t="s">
        <v>28</v>
      </c>
      <c r="G527" t="s">
        <v>135</v>
      </c>
      <c r="H527" s="2">
        <v>0.67777777777777781</v>
      </c>
      <c r="I527" s="2">
        <v>0.70277777777777772</v>
      </c>
      <c r="J527">
        <v>0</v>
      </c>
      <c r="K527">
        <v>4</v>
      </c>
      <c r="L527" t="s">
        <v>84</v>
      </c>
      <c r="M527">
        <v>28.1</v>
      </c>
      <c r="N527">
        <v>84</v>
      </c>
      <c r="O527">
        <v>9</v>
      </c>
      <c r="P527">
        <v>12.6</v>
      </c>
      <c r="Q527" t="s">
        <v>31</v>
      </c>
      <c r="R527">
        <v>10000</v>
      </c>
      <c r="S527">
        <v>77</v>
      </c>
      <c r="T527">
        <v>0</v>
      </c>
      <c r="U527">
        <v>0</v>
      </c>
      <c r="V527">
        <v>4</v>
      </c>
      <c r="W527" t="s">
        <v>72</v>
      </c>
      <c r="X527">
        <v>0</v>
      </c>
      <c r="Y527" t="str">
        <f t="shared" si="8"/>
        <v>High</v>
      </c>
    </row>
    <row r="528" spans="1:25">
      <c r="A528" t="s">
        <v>641</v>
      </c>
      <c r="B528" s="1">
        <v>44932</v>
      </c>
      <c r="C528" s="2">
        <v>0.6875</v>
      </c>
      <c r="D528" t="s">
        <v>26</v>
      </c>
      <c r="E528" t="s">
        <v>161</v>
      </c>
      <c r="F528" t="s">
        <v>44</v>
      </c>
      <c r="G528" t="s">
        <v>100</v>
      </c>
      <c r="H528" s="2">
        <v>0.68958333333333333</v>
      </c>
      <c r="I528" s="2">
        <v>0.72569444444444442</v>
      </c>
      <c r="J528">
        <v>12</v>
      </c>
      <c r="K528">
        <v>29</v>
      </c>
      <c r="L528" t="s">
        <v>77</v>
      </c>
      <c r="M528">
        <v>34.6</v>
      </c>
      <c r="N528">
        <v>36</v>
      </c>
      <c r="O528">
        <v>32</v>
      </c>
      <c r="P528">
        <v>9.4</v>
      </c>
      <c r="Q528" t="s">
        <v>46</v>
      </c>
      <c r="R528">
        <v>0</v>
      </c>
      <c r="S528">
        <v>13</v>
      </c>
      <c r="T528">
        <v>0</v>
      </c>
      <c r="U528">
        <v>0</v>
      </c>
      <c r="V528">
        <v>4</v>
      </c>
      <c r="W528" t="s">
        <v>39</v>
      </c>
      <c r="X528">
        <v>1</v>
      </c>
      <c r="Y528" t="str">
        <f t="shared" si="8"/>
        <v>Low</v>
      </c>
    </row>
    <row r="529" spans="1:25">
      <c r="A529" t="s">
        <v>642</v>
      </c>
      <c r="B529" s="1">
        <v>44932</v>
      </c>
      <c r="C529" s="2">
        <v>0.69791666666666663</v>
      </c>
      <c r="D529" t="s">
        <v>74</v>
      </c>
      <c r="E529" t="s">
        <v>57</v>
      </c>
      <c r="F529" t="s">
        <v>76</v>
      </c>
      <c r="G529" t="s">
        <v>70</v>
      </c>
      <c r="H529" s="2">
        <v>0.69861111111111107</v>
      </c>
      <c r="I529" s="2">
        <v>0.73124999999999996</v>
      </c>
      <c r="J529">
        <v>16</v>
      </c>
      <c r="K529">
        <v>19</v>
      </c>
      <c r="L529" t="s">
        <v>84</v>
      </c>
      <c r="M529">
        <v>10</v>
      </c>
      <c r="N529">
        <v>73</v>
      </c>
      <c r="O529">
        <v>42</v>
      </c>
      <c r="P529">
        <v>9.4</v>
      </c>
      <c r="Q529" t="s">
        <v>31</v>
      </c>
      <c r="R529">
        <v>0</v>
      </c>
      <c r="S529">
        <v>87</v>
      </c>
      <c r="T529">
        <v>0</v>
      </c>
      <c r="U529">
        <v>0</v>
      </c>
      <c r="V529">
        <v>4</v>
      </c>
      <c r="W529" t="s">
        <v>39</v>
      </c>
      <c r="X529">
        <v>1</v>
      </c>
      <c r="Y529" t="str">
        <f t="shared" si="8"/>
        <v>High</v>
      </c>
    </row>
    <row r="530" spans="1:25">
      <c r="A530" t="s">
        <v>643</v>
      </c>
      <c r="B530" s="1">
        <v>44932</v>
      </c>
      <c r="C530" s="2">
        <v>0.70833333333333337</v>
      </c>
      <c r="D530" t="s">
        <v>74</v>
      </c>
      <c r="E530" t="s">
        <v>48</v>
      </c>
      <c r="F530" t="s">
        <v>37</v>
      </c>
      <c r="G530" t="s">
        <v>176</v>
      </c>
      <c r="H530" s="2">
        <v>0.71111111111111114</v>
      </c>
      <c r="I530" s="2">
        <v>0.73333333333333328</v>
      </c>
      <c r="J530">
        <v>-1</v>
      </c>
      <c r="K530">
        <v>9</v>
      </c>
      <c r="L530" t="s">
        <v>30</v>
      </c>
      <c r="M530">
        <v>5.0999999999999996</v>
      </c>
      <c r="N530">
        <v>34</v>
      </c>
      <c r="O530">
        <v>54</v>
      </c>
      <c r="P530">
        <v>14.1</v>
      </c>
      <c r="Q530" t="s">
        <v>46</v>
      </c>
      <c r="R530">
        <v>0</v>
      </c>
      <c r="S530">
        <v>68</v>
      </c>
      <c r="T530">
        <v>0</v>
      </c>
      <c r="U530">
        <v>1</v>
      </c>
      <c r="V530">
        <v>4</v>
      </c>
      <c r="W530" t="s">
        <v>55</v>
      </c>
      <c r="X530">
        <v>1</v>
      </c>
      <c r="Y530" t="str">
        <f t="shared" si="8"/>
        <v>High</v>
      </c>
    </row>
    <row r="531" spans="1:25">
      <c r="A531" t="s">
        <v>644</v>
      </c>
      <c r="B531" s="1">
        <v>44932</v>
      </c>
      <c r="C531" s="2">
        <v>0.71875</v>
      </c>
      <c r="D531" t="s">
        <v>74</v>
      </c>
      <c r="E531" t="s">
        <v>111</v>
      </c>
      <c r="F531" t="s">
        <v>118</v>
      </c>
      <c r="G531" t="s">
        <v>80</v>
      </c>
      <c r="H531" s="2">
        <v>0.72013888888888888</v>
      </c>
      <c r="I531" s="2">
        <v>0.73472222222222228</v>
      </c>
      <c r="J531">
        <v>9</v>
      </c>
      <c r="K531">
        <v>10</v>
      </c>
      <c r="L531" t="s">
        <v>84</v>
      </c>
      <c r="M531">
        <v>-0.4</v>
      </c>
      <c r="N531">
        <v>89</v>
      </c>
      <c r="O531">
        <v>6</v>
      </c>
      <c r="P531">
        <v>19.899999999999999</v>
      </c>
      <c r="Q531" t="s">
        <v>31</v>
      </c>
      <c r="R531">
        <v>0</v>
      </c>
      <c r="S531">
        <v>15</v>
      </c>
      <c r="T531">
        <v>0</v>
      </c>
      <c r="U531">
        <v>0</v>
      </c>
      <c r="V531">
        <v>4</v>
      </c>
      <c r="W531" t="s">
        <v>55</v>
      </c>
      <c r="X531">
        <v>1</v>
      </c>
      <c r="Y531" t="str">
        <f t="shared" si="8"/>
        <v>Low</v>
      </c>
    </row>
    <row r="532" spans="1:25">
      <c r="A532" t="s">
        <v>645</v>
      </c>
      <c r="B532" s="1">
        <v>44932</v>
      </c>
      <c r="C532" s="2">
        <v>0.72916666666666663</v>
      </c>
      <c r="D532" t="s">
        <v>41</v>
      </c>
      <c r="E532" t="s">
        <v>35</v>
      </c>
      <c r="F532" t="s">
        <v>66</v>
      </c>
      <c r="G532" t="s">
        <v>203</v>
      </c>
      <c r="H532" s="2">
        <v>0.72916666666666663</v>
      </c>
      <c r="I532" s="2">
        <v>0.76249999999999996</v>
      </c>
      <c r="J532">
        <v>2</v>
      </c>
      <c r="K532">
        <v>10</v>
      </c>
      <c r="L532" t="s">
        <v>45</v>
      </c>
      <c r="M532">
        <v>0.6</v>
      </c>
      <c r="N532">
        <v>35</v>
      </c>
      <c r="O532">
        <v>5</v>
      </c>
      <c r="P532">
        <v>13.2</v>
      </c>
      <c r="Q532" t="s">
        <v>31</v>
      </c>
      <c r="R532">
        <v>2000</v>
      </c>
      <c r="S532">
        <v>68</v>
      </c>
      <c r="T532">
        <v>0</v>
      </c>
      <c r="U532">
        <v>0</v>
      </c>
      <c r="V532">
        <v>4</v>
      </c>
      <c r="W532" t="s">
        <v>32</v>
      </c>
      <c r="X532">
        <v>1</v>
      </c>
      <c r="Y532" t="str">
        <f t="shared" si="8"/>
        <v>High</v>
      </c>
    </row>
    <row r="533" spans="1:25">
      <c r="A533" t="s">
        <v>646</v>
      </c>
      <c r="B533" s="1">
        <v>44932</v>
      </c>
      <c r="C533" s="2">
        <v>0.73958333333333337</v>
      </c>
      <c r="D533" t="s">
        <v>34</v>
      </c>
      <c r="E533" t="s">
        <v>98</v>
      </c>
      <c r="F533" t="s">
        <v>69</v>
      </c>
      <c r="G533" t="s">
        <v>128</v>
      </c>
      <c r="H533" s="2">
        <v>0.74236111111111114</v>
      </c>
      <c r="I533" s="2">
        <v>0.75555555555555554</v>
      </c>
      <c r="J533">
        <v>19</v>
      </c>
      <c r="K533">
        <v>12</v>
      </c>
      <c r="L533" t="s">
        <v>54</v>
      </c>
      <c r="M533">
        <v>29.1</v>
      </c>
      <c r="N533">
        <v>36</v>
      </c>
      <c r="O533">
        <v>5</v>
      </c>
      <c r="P533">
        <v>15.9</v>
      </c>
      <c r="Q533" t="s">
        <v>31</v>
      </c>
      <c r="R533">
        <v>500</v>
      </c>
      <c r="S533">
        <v>53</v>
      </c>
      <c r="T533">
        <v>0</v>
      </c>
      <c r="U533">
        <v>0</v>
      </c>
      <c r="V533">
        <v>4</v>
      </c>
      <c r="W533" t="s">
        <v>55</v>
      </c>
      <c r="X533">
        <v>1</v>
      </c>
      <c r="Y533" t="str">
        <f t="shared" si="8"/>
        <v>Medium</v>
      </c>
    </row>
    <row r="534" spans="1:25">
      <c r="A534" t="s">
        <v>647</v>
      </c>
      <c r="B534" s="1">
        <v>44932</v>
      </c>
      <c r="C534" s="2">
        <v>0.75</v>
      </c>
      <c r="D534" t="s">
        <v>41</v>
      </c>
      <c r="E534" t="s">
        <v>126</v>
      </c>
      <c r="F534" t="s">
        <v>96</v>
      </c>
      <c r="G534" t="s">
        <v>148</v>
      </c>
      <c r="H534" s="2">
        <v>0.75138888888888888</v>
      </c>
      <c r="I534" s="2">
        <v>0.77013888888888893</v>
      </c>
      <c r="J534">
        <v>14</v>
      </c>
      <c r="K534">
        <v>22</v>
      </c>
      <c r="L534" t="s">
        <v>84</v>
      </c>
      <c r="M534">
        <v>18.5</v>
      </c>
      <c r="N534">
        <v>75</v>
      </c>
      <c r="O534">
        <v>12</v>
      </c>
      <c r="P534">
        <v>0.6</v>
      </c>
      <c r="Q534" t="s">
        <v>31</v>
      </c>
      <c r="R534">
        <v>50000</v>
      </c>
      <c r="S534">
        <v>12</v>
      </c>
      <c r="T534">
        <v>0</v>
      </c>
      <c r="U534">
        <v>0</v>
      </c>
      <c r="V534">
        <v>4</v>
      </c>
      <c r="W534" t="s">
        <v>72</v>
      </c>
      <c r="X534">
        <v>1</v>
      </c>
      <c r="Y534" t="str">
        <f t="shared" si="8"/>
        <v>Low</v>
      </c>
    </row>
    <row r="535" spans="1:25">
      <c r="A535" t="s">
        <v>648</v>
      </c>
      <c r="B535" s="1">
        <v>44932</v>
      </c>
      <c r="C535" s="2">
        <v>0.76041666666666663</v>
      </c>
      <c r="D535" t="s">
        <v>41</v>
      </c>
      <c r="E535" t="s">
        <v>79</v>
      </c>
      <c r="F535" t="s">
        <v>37</v>
      </c>
      <c r="G535" t="s">
        <v>107</v>
      </c>
      <c r="H535" s="2">
        <v>0.76249999999999996</v>
      </c>
      <c r="I535" s="2">
        <v>0.79097222222222219</v>
      </c>
      <c r="J535">
        <v>11</v>
      </c>
      <c r="K535">
        <v>22</v>
      </c>
      <c r="L535" t="s">
        <v>38</v>
      </c>
      <c r="M535">
        <v>29.9</v>
      </c>
      <c r="N535">
        <v>86</v>
      </c>
      <c r="O535">
        <v>47</v>
      </c>
      <c r="P535">
        <v>16.2</v>
      </c>
      <c r="Q535" t="s">
        <v>31</v>
      </c>
      <c r="R535">
        <v>500</v>
      </c>
      <c r="S535">
        <v>79</v>
      </c>
      <c r="T535">
        <v>0</v>
      </c>
      <c r="U535">
        <v>1</v>
      </c>
      <c r="V535">
        <v>4</v>
      </c>
      <c r="W535" t="s">
        <v>72</v>
      </c>
      <c r="X535">
        <v>1</v>
      </c>
      <c r="Y535" t="str">
        <f t="shared" si="8"/>
        <v>High</v>
      </c>
    </row>
    <row r="536" spans="1:25">
      <c r="A536" t="s">
        <v>649</v>
      </c>
      <c r="B536" s="1">
        <v>44932</v>
      </c>
      <c r="C536" s="2">
        <v>0.77083333333333337</v>
      </c>
      <c r="D536" t="s">
        <v>26</v>
      </c>
      <c r="E536" t="s">
        <v>147</v>
      </c>
      <c r="F536" t="s">
        <v>76</v>
      </c>
      <c r="G536" t="s">
        <v>96</v>
      </c>
      <c r="H536" s="2">
        <v>0.77361111111111114</v>
      </c>
      <c r="I536" s="2">
        <v>0.80555555555555558</v>
      </c>
      <c r="J536">
        <v>19</v>
      </c>
      <c r="K536">
        <v>-3</v>
      </c>
      <c r="L536" t="s">
        <v>30</v>
      </c>
      <c r="M536">
        <v>26.6</v>
      </c>
      <c r="N536">
        <v>83</v>
      </c>
      <c r="O536">
        <v>12</v>
      </c>
      <c r="P536">
        <v>6</v>
      </c>
      <c r="Q536" t="s">
        <v>31</v>
      </c>
      <c r="R536">
        <v>10000</v>
      </c>
      <c r="S536">
        <v>78</v>
      </c>
      <c r="T536">
        <v>1</v>
      </c>
      <c r="U536">
        <v>1</v>
      </c>
      <c r="V536">
        <v>4</v>
      </c>
      <c r="W536" t="s">
        <v>72</v>
      </c>
      <c r="X536">
        <v>0</v>
      </c>
      <c r="Y536" t="str">
        <f t="shared" si="8"/>
        <v>High</v>
      </c>
    </row>
    <row r="537" spans="1:25">
      <c r="A537" t="s">
        <v>650</v>
      </c>
      <c r="B537" s="1">
        <v>44932</v>
      </c>
      <c r="C537" s="2">
        <v>0.78125</v>
      </c>
      <c r="D537" t="s">
        <v>74</v>
      </c>
      <c r="E537" t="s">
        <v>141</v>
      </c>
      <c r="F537" t="s">
        <v>62</v>
      </c>
      <c r="G537" t="s">
        <v>37</v>
      </c>
      <c r="H537" s="2">
        <v>0.78263888888888888</v>
      </c>
      <c r="I537" s="2">
        <v>0.79652777777777772</v>
      </c>
      <c r="J537">
        <v>7</v>
      </c>
      <c r="K537">
        <v>28</v>
      </c>
      <c r="L537" t="s">
        <v>84</v>
      </c>
      <c r="M537">
        <v>21.9</v>
      </c>
      <c r="N537">
        <v>75</v>
      </c>
      <c r="O537">
        <v>1</v>
      </c>
      <c r="P537">
        <v>2.5</v>
      </c>
      <c r="Q537" t="s">
        <v>46</v>
      </c>
      <c r="R537">
        <v>0</v>
      </c>
      <c r="S537">
        <v>30</v>
      </c>
      <c r="T537">
        <v>0</v>
      </c>
      <c r="U537">
        <v>0</v>
      </c>
      <c r="V537">
        <v>4</v>
      </c>
      <c r="W537" t="s">
        <v>32</v>
      </c>
      <c r="X537">
        <v>1</v>
      </c>
      <c r="Y537" t="str">
        <f t="shared" si="8"/>
        <v>Low</v>
      </c>
    </row>
    <row r="538" spans="1:25">
      <c r="A538" t="s">
        <v>651</v>
      </c>
      <c r="B538" s="1">
        <v>44932</v>
      </c>
      <c r="C538" s="2">
        <v>0.79166666666666663</v>
      </c>
      <c r="D538" t="s">
        <v>34</v>
      </c>
      <c r="E538" t="s">
        <v>79</v>
      </c>
      <c r="F538" t="s">
        <v>69</v>
      </c>
      <c r="G538" t="s">
        <v>36</v>
      </c>
      <c r="H538" s="2">
        <v>0.7944444444444444</v>
      </c>
      <c r="I538" s="2">
        <v>0.80625000000000002</v>
      </c>
      <c r="J538">
        <v>0</v>
      </c>
      <c r="K538">
        <v>11</v>
      </c>
      <c r="L538" t="s">
        <v>30</v>
      </c>
      <c r="M538">
        <v>19.399999999999999</v>
      </c>
      <c r="N538">
        <v>39</v>
      </c>
      <c r="O538">
        <v>18</v>
      </c>
      <c r="P538">
        <v>2.2999999999999998</v>
      </c>
      <c r="Q538" t="s">
        <v>101</v>
      </c>
      <c r="R538">
        <v>0</v>
      </c>
      <c r="S538">
        <v>68</v>
      </c>
      <c r="T538">
        <v>0</v>
      </c>
      <c r="U538">
        <v>1</v>
      </c>
      <c r="V538">
        <v>4</v>
      </c>
      <c r="W538" t="s">
        <v>72</v>
      </c>
      <c r="X538">
        <v>1</v>
      </c>
      <c r="Y538" t="str">
        <f t="shared" si="8"/>
        <v>High</v>
      </c>
    </row>
    <row r="539" spans="1:25">
      <c r="A539" t="s">
        <v>652</v>
      </c>
      <c r="B539" s="1">
        <v>44932</v>
      </c>
      <c r="C539" s="2">
        <v>0.80208333333333337</v>
      </c>
      <c r="D539" t="s">
        <v>26</v>
      </c>
      <c r="E539" t="s">
        <v>104</v>
      </c>
      <c r="F539" t="s">
        <v>107</v>
      </c>
      <c r="G539" t="s">
        <v>194</v>
      </c>
      <c r="H539" s="2">
        <v>0.80277777777777781</v>
      </c>
      <c r="I539" s="2">
        <v>0.83263888888888893</v>
      </c>
      <c r="J539">
        <v>1</v>
      </c>
      <c r="K539">
        <v>17</v>
      </c>
      <c r="L539" t="s">
        <v>54</v>
      </c>
      <c r="M539">
        <v>-3.1</v>
      </c>
      <c r="N539">
        <v>33</v>
      </c>
      <c r="O539">
        <v>50</v>
      </c>
      <c r="P539">
        <v>13.6</v>
      </c>
      <c r="Q539" t="s">
        <v>101</v>
      </c>
      <c r="R539">
        <v>50000</v>
      </c>
      <c r="S539">
        <v>20</v>
      </c>
      <c r="T539">
        <v>0</v>
      </c>
      <c r="U539">
        <v>0</v>
      </c>
      <c r="V539">
        <v>4</v>
      </c>
      <c r="W539" t="s">
        <v>32</v>
      </c>
      <c r="X539">
        <v>1</v>
      </c>
      <c r="Y539" t="str">
        <f t="shared" si="8"/>
        <v>Low</v>
      </c>
    </row>
    <row r="540" spans="1:25">
      <c r="A540" t="s">
        <v>653</v>
      </c>
      <c r="B540" s="1">
        <v>44932</v>
      </c>
      <c r="C540" s="2">
        <v>0.8125</v>
      </c>
      <c r="D540" t="s">
        <v>41</v>
      </c>
      <c r="E540" t="s">
        <v>27</v>
      </c>
      <c r="F540" t="s">
        <v>87</v>
      </c>
      <c r="G540" t="s">
        <v>176</v>
      </c>
      <c r="H540" s="2">
        <v>0.81388888888888888</v>
      </c>
      <c r="I540" s="2">
        <v>0.82986111111111116</v>
      </c>
      <c r="J540">
        <v>3</v>
      </c>
      <c r="K540">
        <v>14</v>
      </c>
      <c r="L540" t="s">
        <v>45</v>
      </c>
      <c r="M540">
        <v>29.9</v>
      </c>
      <c r="N540">
        <v>96</v>
      </c>
      <c r="O540">
        <v>18</v>
      </c>
      <c r="P540">
        <v>20</v>
      </c>
      <c r="Q540" t="s">
        <v>101</v>
      </c>
      <c r="R540">
        <v>2000</v>
      </c>
      <c r="S540">
        <v>29</v>
      </c>
      <c r="T540">
        <v>0</v>
      </c>
      <c r="U540">
        <v>0</v>
      </c>
      <c r="V540">
        <v>4</v>
      </c>
      <c r="W540" t="s">
        <v>32</v>
      </c>
      <c r="X540">
        <v>1</v>
      </c>
      <c r="Y540" t="str">
        <f t="shared" si="8"/>
        <v>Low</v>
      </c>
    </row>
    <row r="541" spans="1:25">
      <c r="A541" t="s">
        <v>654</v>
      </c>
      <c r="B541" s="1">
        <v>44932</v>
      </c>
      <c r="C541" s="2">
        <v>0.82291666666666663</v>
      </c>
      <c r="D541" t="s">
        <v>74</v>
      </c>
      <c r="E541" t="s">
        <v>147</v>
      </c>
      <c r="F541" t="s">
        <v>151</v>
      </c>
      <c r="G541" t="s">
        <v>96</v>
      </c>
      <c r="H541" s="2">
        <v>0.82361111111111107</v>
      </c>
      <c r="I541" s="2">
        <v>0.85416666666666663</v>
      </c>
      <c r="J541">
        <v>19</v>
      </c>
      <c r="K541">
        <v>26</v>
      </c>
      <c r="L541" t="s">
        <v>38</v>
      </c>
      <c r="M541">
        <v>11.7</v>
      </c>
      <c r="N541">
        <v>54</v>
      </c>
      <c r="O541">
        <v>49</v>
      </c>
      <c r="P541">
        <v>13.3</v>
      </c>
      <c r="Q541" t="s">
        <v>59</v>
      </c>
      <c r="R541">
        <v>500</v>
      </c>
      <c r="S541">
        <v>22</v>
      </c>
      <c r="T541">
        <v>0</v>
      </c>
      <c r="U541">
        <v>1</v>
      </c>
      <c r="V541">
        <v>4</v>
      </c>
      <c r="W541" t="s">
        <v>72</v>
      </c>
      <c r="X541">
        <v>1</v>
      </c>
      <c r="Y541" t="str">
        <f t="shared" si="8"/>
        <v>Low</v>
      </c>
    </row>
    <row r="542" spans="1:25">
      <c r="A542" t="s">
        <v>655</v>
      </c>
      <c r="B542" s="1">
        <v>44932</v>
      </c>
      <c r="C542" s="2">
        <v>0.83333333333333337</v>
      </c>
      <c r="D542" t="s">
        <v>26</v>
      </c>
      <c r="E542" t="s">
        <v>79</v>
      </c>
      <c r="F542" t="s">
        <v>148</v>
      </c>
      <c r="G542" t="s">
        <v>105</v>
      </c>
      <c r="H542" s="2">
        <v>0.83402777777777781</v>
      </c>
      <c r="I542" s="2">
        <v>0.8520833333333333</v>
      </c>
      <c r="J542">
        <v>13</v>
      </c>
      <c r="K542">
        <v>9</v>
      </c>
      <c r="L542" t="s">
        <v>77</v>
      </c>
      <c r="M542">
        <v>17.399999999999999</v>
      </c>
      <c r="N542">
        <v>90</v>
      </c>
      <c r="O542">
        <v>56</v>
      </c>
      <c r="P542">
        <v>5.2</v>
      </c>
      <c r="Q542" t="s">
        <v>31</v>
      </c>
      <c r="R542">
        <v>0</v>
      </c>
      <c r="S542">
        <v>37</v>
      </c>
      <c r="T542">
        <v>0</v>
      </c>
      <c r="U542">
        <v>0</v>
      </c>
      <c r="V542">
        <v>4</v>
      </c>
      <c r="W542" t="s">
        <v>72</v>
      </c>
      <c r="X542">
        <v>1</v>
      </c>
      <c r="Y542" t="str">
        <f t="shared" si="8"/>
        <v>Medium</v>
      </c>
    </row>
    <row r="543" spans="1:25">
      <c r="A543" t="s">
        <v>656</v>
      </c>
      <c r="B543" s="1">
        <v>44932</v>
      </c>
      <c r="C543" s="2">
        <v>0.84375</v>
      </c>
      <c r="D543" t="s">
        <v>74</v>
      </c>
      <c r="E543" t="s">
        <v>35</v>
      </c>
      <c r="F543" t="s">
        <v>154</v>
      </c>
      <c r="G543" t="s">
        <v>90</v>
      </c>
      <c r="H543" s="2">
        <v>0.84513888888888888</v>
      </c>
      <c r="I543" s="2">
        <v>0.88124999999999998</v>
      </c>
      <c r="J543">
        <v>4</v>
      </c>
      <c r="K543">
        <v>20</v>
      </c>
      <c r="L543" t="s">
        <v>84</v>
      </c>
      <c r="M543">
        <v>-4.0999999999999996</v>
      </c>
      <c r="N543">
        <v>67</v>
      </c>
      <c r="O543">
        <v>37</v>
      </c>
      <c r="P543">
        <v>4.0999999999999996</v>
      </c>
      <c r="Q543" t="s">
        <v>46</v>
      </c>
      <c r="R543">
        <v>500</v>
      </c>
      <c r="S543">
        <v>28</v>
      </c>
      <c r="T543">
        <v>0</v>
      </c>
      <c r="U543">
        <v>0</v>
      </c>
      <c r="V543">
        <v>4</v>
      </c>
      <c r="W543" t="s">
        <v>32</v>
      </c>
      <c r="X543">
        <v>1</v>
      </c>
      <c r="Y543" t="str">
        <f t="shared" si="8"/>
        <v>Low</v>
      </c>
    </row>
    <row r="544" spans="1:25">
      <c r="A544" t="s">
        <v>657</v>
      </c>
      <c r="B544" s="1">
        <v>44932</v>
      </c>
      <c r="C544" s="2">
        <v>0.85416666666666663</v>
      </c>
      <c r="D544" t="s">
        <v>26</v>
      </c>
      <c r="E544" t="s">
        <v>68</v>
      </c>
      <c r="F544" t="s">
        <v>70</v>
      </c>
      <c r="G544" t="s">
        <v>75</v>
      </c>
      <c r="H544" s="2">
        <v>0.85416666666666663</v>
      </c>
      <c r="I544" s="2">
        <v>0.88611111111111107</v>
      </c>
      <c r="J544">
        <v>12</v>
      </c>
      <c r="K544">
        <v>26</v>
      </c>
      <c r="L544" t="s">
        <v>45</v>
      </c>
      <c r="M544">
        <v>32.4</v>
      </c>
      <c r="N544">
        <v>61</v>
      </c>
      <c r="O544">
        <v>1</v>
      </c>
      <c r="P544">
        <v>10.5</v>
      </c>
      <c r="Q544" t="s">
        <v>46</v>
      </c>
      <c r="R544">
        <v>10000</v>
      </c>
      <c r="S544">
        <v>76</v>
      </c>
      <c r="T544">
        <v>0</v>
      </c>
      <c r="U544">
        <v>1</v>
      </c>
      <c r="V544">
        <v>4</v>
      </c>
      <c r="W544" t="s">
        <v>72</v>
      </c>
      <c r="X544">
        <v>1</v>
      </c>
      <c r="Y544" t="str">
        <f t="shared" si="8"/>
        <v>High</v>
      </c>
    </row>
    <row r="545" spans="1:25">
      <c r="A545" t="s">
        <v>658</v>
      </c>
      <c r="B545" s="1">
        <v>44932</v>
      </c>
      <c r="C545" s="2">
        <v>0.86458333333333337</v>
      </c>
      <c r="D545" t="s">
        <v>74</v>
      </c>
      <c r="E545" t="s">
        <v>126</v>
      </c>
      <c r="F545" t="s">
        <v>65</v>
      </c>
      <c r="G545" t="s">
        <v>168</v>
      </c>
      <c r="H545" s="2">
        <v>0.86597222222222225</v>
      </c>
      <c r="I545" s="2">
        <v>0.89513888888888893</v>
      </c>
      <c r="J545">
        <v>18</v>
      </c>
      <c r="K545">
        <v>-2</v>
      </c>
      <c r="L545" t="s">
        <v>30</v>
      </c>
      <c r="M545">
        <v>31.1</v>
      </c>
      <c r="N545">
        <v>52</v>
      </c>
      <c r="O545">
        <v>50</v>
      </c>
      <c r="P545">
        <v>1.3</v>
      </c>
      <c r="Q545" t="s">
        <v>31</v>
      </c>
      <c r="R545">
        <v>0</v>
      </c>
      <c r="S545">
        <v>31</v>
      </c>
      <c r="T545">
        <v>0</v>
      </c>
      <c r="U545">
        <v>0</v>
      </c>
      <c r="V545">
        <v>4</v>
      </c>
      <c r="W545" t="s">
        <v>55</v>
      </c>
      <c r="X545">
        <v>0</v>
      </c>
      <c r="Y545" t="str">
        <f t="shared" si="8"/>
        <v>Low</v>
      </c>
    </row>
    <row r="546" spans="1:25">
      <c r="A546" t="s">
        <v>659</v>
      </c>
      <c r="B546" s="1">
        <v>44932</v>
      </c>
      <c r="C546" s="2">
        <v>0.875</v>
      </c>
      <c r="D546" t="s">
        <v>41</v>
      </c>
      <c r="E546" t="s">
        <v>93</v>
      </c>
      <c r="F546" t="s">
        <v>36</v>
      </c>
      <c r="G546" t="s">
        <v>75</v>
      </c>
      <c r="H546" s="2">
        <v>0.875</v>
      </c>
      <c r="I546" s="2">
        <v>0.90069444444444446</v>
      </c>
      <c r="J546">
        <v>17</v>
      </c>
      <c r="K546">
        <v>15</v>
      </c>
      <c r="L546" t="s">
        <v>54</v>
      </c>
      <c r="M546">
        <v>16.7</v>
      </c>
      <c r="N546">
        <v>66</v>
      </c>
      <c r="O546">
        <v>25</v>
      </c>
      <c r="P546">
        <v>8</v>
      </c>
      <c r="Q546" t="s">
        <v>71</v>
      </c>
      <c r="R546">
        <v>2000</v>
      </c>
      <c r="S546">
        <v>61</v>
      </c>
      <c r="T546">
        <v>0</v>
      </c>
      <c r="U546">
        <v>0</v>
      </c>
      <c r="V546">
        <v>4</v>
      </c>
      <c r="W546" t="s">
        <v>32</v>
      </c>
      <c r="X546">
        <v>1</v>
      </c>
      <c r="Y546" t="str">
        <f t="shared" si="8"/>
        <v>Medium</v>
      </c>
    </row>
    <row r="547" spans="1:25">
      <c r="A547" t="s">
        <v>660</v>
      </c>
      <c r="B547" s="1">
        <v>44932</v>
      </c>
      <c r="C547" s="2">
        <v>0.88541666666666663</v>
      </c>
      <c r="D547" t="s">
        <v>34</v>
      </c>
      <c r="E547" t="s">
        <v>126</v>
      </c>
      <c r="F547" t="s">
        <v>109</v>
      </c>
      <c r="G547" t="s">
        <v>83</v>
      </c>
      <c r="H547" s="2">
        <v>0.8881944444444444</v>
      </c>
      <c r="I547" s="2">
        <v>0.89930555555555558</v>
      </c>
      <c r="J547">
        <v>8</v>
      </c>
      <c r="K547">
        <v>21</v>
      </c>
      <c r="L547" t="s">
        <v>30</v>
      </c>
      <c r="M547">
        <v>18.100000000000001</v>
      </c>
      <c r="N547">
        <v>32</v>
      </c>
      <c r="O547">
        <v>5</v>
      </c>
      <c r="P547">
        <v>13.3</v>
      </c>
      <c r="Q547" t="s">
        <v>31</v>
      </c>
      <c r="R547">
        <v>0</v>
      </c>
      <c r="S547">
        <v>90</v>
      </c>
      <c r="T547">
        <v>0</v>
      </c>
      <c r="U547">
        <v>0</v>
      </c>
      <c r="V547">
        <v>4</v>
      </c>
      <c r="W547" t="s">
        <v>39</v>
      </c>
      <c r="X547">
        <v>1</v>
      </c>
      <c r="Y547" t="str">
        <f t="shared" si="8"/>
        <v>High</v>
      </c>
    </row>
    <row r="548" spans="1:25">
      <c r="A548" t="s">
        <v>661</v>
      </c>
      <c r="B548" s="1">
        <v>44932</v>
      </c>
      <c r="C548" s="2">
        <v>0.89583333333333337</v>
      </c>
      <c r="D548" t="s">
        <v>41</v>
      </c>
      <c r="E548" t="s">
        <v>42</v>
      </c>
      <c r="F548" t="s">
        <v>148</v>
      </c>
      <c r="G548" t="s">
        <v>105</v>
      </c>
      <c r="H548" s="2">
        <v>0.89861111111111114</v>
      </c>
      <c r="I548" s="2">
        <v>0.93611111111111112</v>
      </c>
      <c r="J548">
        <v>19</v>
      </c>
      <c r="K548">
        <v>10</v>
      </c>
      <c r="L548" t="s">
        <v>54</v>
      </c>
      <c r="M548">
        <v>23.2</v>
      </c>
      <c r="N548">
        <v>42</v>
      </c>
      <c r="O548">
        <v>19</v>
      </c>
      <c r="P548">
        <v>19.399999999999999</v>
      </c>
      <c r="Q548" t="s">
        <v>101</v>
      </c>
      <c r="R548">
        <v>0</v>
      </c>
      <c r="S548">
        <v>97</v>
      </c>
      <c r="T548">
        <v>0</v>
      </c>
      <c r="U548">
        <v>1</v>
      </c>
      <c r="V548">
        <v>4</v>
      </c>
      <c r="W548" t="s">
        <v>32</v>
      </c>
      <c r="X548">
        <v>1</v>
      </c>
      <c r="Y548" t="str">
        <f t="shared" si="8"/>
        <v>High</v>
      </c>
    </row>
    <row r="549" spans="1:25">
      <c r="A549" t="s">
        <v>662</v>
      </c>
      <c r="B549" s="1">
        <v>44932</v>
      </c>
      <c r="C549" s="2">
        <v>0.90625</v>
      </c>
      <c r="D549" t="s">
        <v>34</v>
      </c>
      <c r="E549" t="s">
        <v>79</v>
      </c>
      <c r="F549" t="s">
        <v>122</v>
      </c>
      <c r="G549" t="s">
        <v>100</v>
      </c>
      <c r="H549" s="2">
        <v>0.90763888888888888</v>
      </c>
      <c r="I549" s="2">
        <v>0.92152777777777772</v>
      </c>
      <c r="J549">
        <v>18</v>
      </c>
      <c r="K549">
        <v>2</v>
      </c>
      <c r="L549" t="s">
        <v>54</v>
      </c>
      <c r="M549">
        <v>5.6</v>
      </c>
      <c r="N549">
        <v>63</v>
      </c>
      <c r="O549">
        <v>22</v>
      </c>
      <c r="P549">
        <v>8.5</v>
      </c>
      <c r="Q549" t="s">
        <v>71</v>
      </c>
      <c r="R549">
        <v>2000</v>
      </c>
      <c r="S549">
        <v>44</v>
      </c>
      <c r="T549">
        <v>0</v>
      </c>
      <c r="U549">
        <v>1</v>
      </c>
      <c r="V549">
        <v>4</v>
      </c>
      <c r="W549" t="s">
        <v>72</v>
      </c>
      <c r="X549">
        <v>0</v>
      </c>
      <c r="Y549" t="str">
        <f t="shared" si="8"/>
        <v>Medium</v>
      </c>
    </row>
    <row r="550" spans="1:25">
      <c r="A550" t="s">
        <v>663</v>
      </c>
      <c r="B550" s="1">
        <v>44932</v>
      </c>
      <c r="C550" s="2">
        <v>0.91666666666666663</v>
      </c>
      <c r="D550" t="s">
        <v>74</v>
      </c>
      <c r="E550" t="s">
        <v>98</v>
      </c>
      <c r="F550" t="s">
        <v>69</v>
      </c>
      <c r="G550" t="s">
        <v>151</v>
      </c>
      <c r="H550" s="2">
        <v>0.9194444444444444</v>
      </c>
      <c r="I550" s="2">
        <v>0.93263888888888891</v>
      </c>
      <c r="J550">
        <v>-2</v>
      </c>
      <c r="K550">
        <v>8</v>
      </c>
      <c r="L550" t="s">
        <v>45</v>
      </c>
      <c r="M550">
        <v>3.9</v>
      </c>
      <c r="N550">
        <v>94</v>
      </c>
      <c r="O550">
        <v>53</v>
      </c>
      <c r="P550">
        <v>4</v>
      </c>
      <c r="Q550" t="s">
        <v>63</v>
      </c>
      <c r="R550">
        <v>0</v>
      </c>
      <c r="S550">
        <v>48</v>
      </c>
      <c r="T550">
        <v>0</v>
      </c>
      <c r="U550">
        <v>0</v>
      </c>
      <c r="V550">
        <v>4</v>
      </c>
      <c r="W550" t="s">
        <v>72</v>
      </c>
      <c r="X550">
        <v>1</v>
      </c>
      <c r="Y550" t="str">
        <f t="shared" si="8"/>
        <v>Medium</v>
      </c>
    </row>
    <row r="551" spans="1:25">
      <c r="A551" t="s">
        <v>664</v>
      </c>
      <c r="B551" s="1">
        <v>44932</v>
      </c>
      <c r="C551" s="2">
        <v>0.92708333333333337</v>
      </c>
      <c r="D551" t="s">
        <v>26</v>
      </c>
      <c r="E551" t="s">
        <v>52</v>
      </c>
      <c r="F551" t="s">
        <v>90</v>
      </c>
      <c r="G551" t="s">
        <v>49</v>
      </c>
      <c r="H551" s="2">
        <v>0.9291666666666667</v>
      </c>
      <c r="I551" s="2">
        <v>0.96597222222222223</v>
      </c>
      <c r="J551">
        <v>2</v>
      </c>
      <c r="K551">
        <v>16</v>
      </c>
      <c r="L551" t="s">
        <v>84</v>
      </c>
      <c r="M551">
        <v>22</v>
      </c>
      <c r="N551">
        <v>37</v>
      </c>
      <c r="O551">
        <v>14</v>
      </c>
      <c r="P551">
        <v>16.3</v>
      </c>
      <c r="Q551" t="s">
        <v>31</v>
      </c>
      <c r="R551">
        <v>0</v>
      </c>
      <c r="S551">
        <v>32</v>
      </c>
      <c r="T551">
        <v>0</v>
      </c>
      <c r="U551">
        <v>1</v>
      </c>
      <c r="V551">
        <v>4</v>
      </c>
      <c r="W551" t="s">
        <v>32</v>
      </c>
      <c r="X551">
        <v>1</v>
      </c>
      <c r="Y551" t="str">
        <f t="shared" si="8"/>
        <v>Low</v>
      </c>
    </row>
    <row r="552" spans="1:25">
      <c r="A552" t="s">
        <v>665</v>
      </c>
      <c r="B552" s="1">
        <v>44932</v>
      </c>
      <c r="C552" s="2">
        <v>0.9375</v>
      </c>
      <c r="D552" t="s">
        <v>41</v>
      </c>
      <c r="E552" t="s">
        <v>79</v>
      </c>
      <c r="F552" t="s">
        <v>80</v>
      </c>
      <c r="G552" t="s">
        <v>148</v>
      </c>
      <c r="H552" s="2">
        <v>0.93819444444444444</v>
      </c>
      <c r="I552" s="2">
        <v>0.96111111111111114</v>
      </c>
      <c r="J552">
        <v>10</v>
      </c>
      <c r="K552">
        <v>19</v>
      </c>
      <c r="L552" t="s">
        <v>77</v>
      </c>
      <c r="M552">
        <v>-0.8</v>
      </c>
      <c r="N552">
        <v>38</v>
      </c>
      <c r="O552">
        <v>5</v>
      </c>
      <c r="P552">
        <v>14.9</v>
      </c>
      <c r="Q552" t="s">
        <v>31</v>
      </c>
      <c r="R552">
        <v>2000</v>
      </c>
      <c r="S552">
        <v>3</v>
      </c>
      <c r="T552">
        <v>0</v>
      </c>
      <c r="U552">
        <v>1</v>
      </c>
      <c r="V552">
        <v>4</v>
      </c>
      <c r="W552" t="s">
        <v>32</v>
      </c>
      <c r="X552">
        <v>1</v>
      </c>
      <c r="Y552" t="str">
        <f t="shared" si="8"/>
        <v>Low</v>
      </c>
    </row>
    <row r="553" spans="1:25">
      <c r="A553" t="s">
        <v>666</v>
      </c>
      <c r="B553" s="1">
        <v>44932</v>
      </c>
      <c r="C553" s="2">
        <v>0.94791666666666663</v>
      </c>
      <c r="D553" t="s">
        <v>34</v>
      </c>
      <c r="E553" t="s">
        <v>161</v>
      </c>
      <c r="F553" t="s">
        <v>197</v>
      </c>
      <c r="G553" t="s">
        <v>43</v>
      </c>
      <c r="H553" s="2">
        <v>0.94861111111111107</v>
      </c>
      <c r="I553" s="2">
        <v>0.96666666666666667</v>
      </c>
      <c r="J553">
        <v>18</v>
      </c>
      <c r="K553">
        <v>26</v>
      </c>
      <c r="L553" t="s">
        <v>84</v>
      </c>
      <c r="M553">
        <v>13.2</v>
      </c>
      <c r="N553">
        <v>57</v>
      </c>
      <c r="O553">
        <v>27</v>
      </c>
      <c r="P553">
        <v>17.2</v>
      </c>
      <c r="Q553" t="s">
        <v>63</v>
      </c>
      <c r="R553">
        <v>2000</v>
      </c>
      <c r="S553">
        <v>17</v>
      </c>
      <c r="T553">
        <v>0</v>
      </c>
      <c r="U553">
        <v>0</v>
      </c>
      <c r="V553">
        <v>4</v>
      </c>
      <c r="W553" t="s">
        <v>39</v>
      </c>
      <c r="X553">
        <v>1</v>
      </c>
      <c r="Y553" t="str">
        <f t="shared" si="8"/>
        <v>Low</v>
      </c>
    </row>
    <row r="554" spans="1:25">
      <c r="A554" t="s">
        <v>667</v>
      </c>
      <c r="B554" s="1">
        <v>44932</v>
      </c>
      <c r="C554" s="2">
        <v>0.95833333333333337</v>
      </c>
      <c r="D554" t="s">
        <v>41</v>
      </c>
      <c r="E554" t="s">
        <v>52</v>
      </c>
      <c r="F554" t="s">
        <v>58</v>
      </c>
      <c r="G554" t="s">
        <v>113</v>
      </c>
      <c r="H554" s="2">
        <v>0.95833333333333337</v>
      </c>
      <c r="I554" s="2">
        <v>0.99791666666666667</v>
      </c>
      <c r="J554">
        <v>11</v>
      </c>
      <c r="K554">
        <v>26</v>
      </c>
      <c r="L554" t="s">
        <v>38</v>
      </c>
      <c r="M554">
        <v>14.7</v>
      </c>
      <c r="N554">
        <v>47</v>
      </c>
      <c r="O554">
        <v>34</v>
      </c>
      <c r="P554">
        <v>4.3</v>
      </c>
      <c r="Q554" t="s">
        <v>31</v>
      </c>
      <c r="R554">
        <v>0</v>
      </c>
      <c r="S554">
        <v>69</v>
      </c>
      <c r="T554">
        <v>0</v>
      </c>
      <c r="U554">
        <v>1</v>
      </c>
      <c r="V554">
        <v>4</v>
      </c>
      <c r="W554" t="s">
        <v>39</v>
      </c>
      <c r="X554">
        <v>1</v>
      </c>
      <c r="Y554" t="str">
        <f t="shared" si="8"/>
        <v>High</v>
      </c>
    </row>
    <row r="555" spans="1:25">
      <c r="A555" t="s">
        <v>668</v>
      </c>
      <c r="B555" s="1">
        <v>44932</v>
      </c>
      <c r="C555" s="2">
        <v>0.96875</v>
      </c>
      <c r="D555" t="s">
        <v>34</v>
      </c>
      <c r="E555" t="s">
        <v>68</v>
      </c>
      <c r="F555" t="s">
        <v>53</v>
      </c>
      <c r="G555" t="s">
        <v>144</v>
      </c>
      <c r="H555" s="2">
        <v>0.97152777777777777</v>
      </c>
      <c r="I555" s="2">
        <v>0.99513888888888891</v>
      </c>
      <c r="J555">
        <v>6</v>
      </c>
      <c r="K555">
        <v>26</v>
      </c>
      <c r="L555" t="s">
        <v>84</v>
      </c>
      <c r="M555">
        <v>10.3</v>
      </c>
      <c r="N555">
        <v>71</v>
      </c>
      <c r="O555">
        <v>10</v>
      </c>
      <c r="P555">
        <v>8.1</v>
      </c>
      <c r="Q555" t="s">
        <v>31</v>
      </c>
      <c r="R555">
        <v>50000</v>
      </c>
      <c r="S555">
        <v>63</v>
      </c>
      <c r="T555">
        <v>0</v>
      </c>
      <c r="U555">
        <v>0</v>
      </c>
      <c r="V555">
        <v>4</v>
      </c>
      <c r="W555" t="s">
        <v>32</v>
      </c>
      <c r="X555">
        <v>1</v>
      </c>
      <c r="Y555" t="str">
        <f t="shared" si="8"/>
        <v>Medium</v>
      </c>
    </row>
    <row r="556" spans="1:25">
      <c r="A556" t="s">
        <v>669</v>
      </c>
      <c r="B556" s="1">
        <v>44932</v>
      </c>
      <c r="C556" s="2">
        <v>0.97916666666666663</v>
      </c>
      <c r="D556" t="s">
        <v>41</v>
      </c>
      <c r="E556" t="s">
        <v>61</v>
      </c>
      <c r="F556" t="s">
        <v>37</v>
      </c>
      <c r="G556" t="s">
        <v>122</v>
      </c>
      <c r="H556" s="2">
        <v>0.97916666666666663</v>
      </c>
      <c r="I556" s="2">
        <v>1.0416666666666666E-2</v>
      </c>
      <c r="J556">
        <v>14</v>
      </c>
      <c r="K556">
        <v>26</v>
      </c>
      <c r="L556" t="s">
        <v>54</v>
      </c>
      <c r="M556">
        <v>2.4</v>
      </c>
      <c r="N556">
        <v>70</v>
      </c>
      <c r="O556">
        <v>7</v>
      </c>
      <c r="P556">
        <v>19.600000000000001</v>
      </c>
      <c r="Q556" t="s">
        <v>71</v>
      </c>
      <c r="R556">
        <v>0</v>
      </c>
      <c r="S556">
        <v>27</v>
      </c>
      <c r="T556">
        <v>0</v>
      </c>
      <c r="U556">
        <v>0</v>
      </c>
      <c r="V556">
        <v>4</v>
      </c>
      <c r="W556" t="s">
        <v>72</v>
      </c>
      <c r="X556">
        <v>1</v>
      </c>
      <c r="Y556" t="str">
        <f t="shared" si="8"/>
        <v>Low</v>
      </c>
    </row>
    <row r="557" spans="1:25">
      <c r="A557" t="s">
        <v>670</v>
      </c>
      <c r="B557" s="1">
        <v>44932</v>
      </c>
      <c r="C557" s="2">
        <v>0.98958333333333337</v>
      </c>
      <c r="D557" t="s">
        <v>34</v>
      </c>
      <c r="E557" t="s">
        <v>27</v>
      </c>
      <c r="F557" t="s">
        <v>185</v>
      </c>
      <c r="G557" t="s">
        <v>142</v>
      </c>
      <c r="H557" s="2">
        <v>0.99027777777777781</v>
      </c>
      <c r="I557" s="2">
        <v>2.9861111111111113E-2</v>
      </c>
      <c r="J557">
        <v>12</v>
      </c>
      <c r="K557">
        <v>12</v>
      </c>
      <c r="L557" t="s">
        <v>54</v>
      </c>
      <c r="M557">
        <v>9.1999999999999993</v>
      </c>
      <c r="N557">
        <v>99</v>
      </c>
      <c r="O557">
        <v>56</v>
      </c>
      <c r="P557">
        <v>3.2</v>
      </c>
      <c r="Q557" t="s">
        <v>101</v>
      </c>
      <c r="R557">
        <v>50000</v>
      </c>
      <c r="S557">
        <v>57</v>
      </c>
      <c r="T557">
        <v>0</v>
      </c>
      <c r="U557">
        <v>0</v>
      </c>
      <c r="V557">
        <v>4</v>
      </c>
      <c r="W557" t="s">
        <v>32</v>
      </c>
      <c r="X557">
        <v>1</v>
      </c>
      <c r="Y557" t="str">
        <f t="shared" si="8"/>
        <v>Medium</v>
      </c>
    </row>
    <row r="558" spans="1:25">
      <c r="A558" t="s">
        <v>671</v>
      </c>
      <c r="B558" s="1">
        <v>44933</v>
      </c>
      <c r="C558" s="2">
        <v>0</v>
      </c>
      <c r="D558" t="s">
        <v>34</v>
      </c>
      <c r="E558" t="s">
        <v>27</v>
      </c>
      <c r="F558" t="s">
        <v>29</v>
      </c>
      <c r="G558" t="s">
        <v>142</v>
      </c>
      <c r="H558" s="2">
        <v>6.9444444444444447E-4</v>
      </c>
      <c r="I558" s="2">
        <v>2.013888888888889E-2</v>
      </c>
      <c r="J558">
        <v>18</v>
      </c>
      <c r="K558">
        <v>20</v>
      </c>
      <c r="L558" t="s">
        <v>38</v>
      </c>
      <c r="M558">
        <v>8.5</v>
      </c>
      <c r="N558">
        <v>62</v>
      </c>
      <c r="O558">
        <v>53</v>
      </c>
      <c r="P558">
        <v>13.4</v>
      </c>
      <c r="Q558" t="s">
        <v>31</v>
      </c>
      <c r="R558">
        <v>2000</v>
      </c>
      <c r="S558">
        <v>90</v>
      </c>
      <c r="T558">
        <v>0</v>
      </c>
      <c r="U558">
        <v>0</v>
      </c>
      <c r="V558">
        <v>5</v>
      </c>
      <c r="W558" t="s">
        <v>55</v>
      </c>
      <c r="X558">
        <v>1</v>
      </c>
      <c r="Y558" t="str">
        <f t="shared" si="8"/>
        <v>High</v>
      </c>
    </row>
    <row r="559" spans="1:25">
      <c r="A559" t="s">
        <v>672</v>
      </c>
      <c r="B559" s="1">
        <v>44933</v>
      </c>
      <c r="C559" s="2">
        <v>1.0416666666666666E-2</v>
      </c>
      <c r="D559" t="s">
        <v>74</v>
      </c>
      <c r="E559" t="s">
        <v>141</v>
      </c>
      <c r="F559" t="s">
        <v>109</v>
      </c>
      <c r="G559" t="s">
        <v>123</v>
      </c>
      <c r="H559" s="2">
        <v>1.3194444444444444E-2</v>
      </c>
      <c r="I559" s="2">
        <v>0.05</v>
      </c>
      <c r="J559">
        <v>4</v>
      </c>
      <c r="K559">
        <v>10</v>
      </c>
      <c r="L559" t="s">
        <v>30</v>
      </c>
      <c r="M559">
        <v>15</v>
      </c>
      <c r="N559">
        <v>83</v>
      </c>
      <c r="O559">
        <v>49</v>
      </c>
      <c r="P559">
        <v>4.7</v>
      </c>
      <c r="Q559" t="s">
        <v>31</v>
      </c>
      <c r="R559">
        <v>0</v>
      </c>
      <c r="S559">
        <v>89</v>
      </c>
      <c r="T559">
        <v>1</v>
      </c>
      <c r="U559">
        <v>0</v>
      </c>
      <c r="V559">
        <v>5</v>
      </c>
      <c r="W559" t="s">
        <v>55</v>
      </c>
      <c r="X559">
        <v>1</v>
      </c>
      <c r="Y559" t="str">
        <f t="shared" si="8"/>
        <v>High</v>
      </c>
    </row>
    <row r="560" spans="1:25">
      <c r="A560" t="s">
        <v>673</v>
      </c>
      <c r="B560" s="1">
        <v>44933</v>
      </c>
      <c r="C560" s="2">
        <v>2.0833333333333332E-2</v>
      </c>
      <c r="D560" t="s">
        <v>34</v>
      </c>
      <c r="E560" t="s">
        <v>161</v>
      </c>
      <c r="F560" t="s">
        <v>151</v>
      </c>
      <c r="G560" t="s">
        <v>163</v>
      </c>
      <c r="H560" s="2">
        <v>2.2916666666666665E-2</v>
      </c>
      <c r="I560" s="2">
        <v>4.3749999999999997E-2</v>
      </c>
      <c r="J560">
        <v>19</v>
      </c>
      <c r="K560">
        <v>22</v>
      </c>
      <c r="L560" t="s">
        <v>54</v>
      </c>
      <c r="M560">
        <v>22</v>
      </c>
      <c r="N560">
        <v>65</v>
      </c>
      <c r="O560">
        <v>48</v>
      </c>
      <c r="P560">
        <v>10</v>
      </c>
      <c r="Q560" t="s">
        <v>31</v>
      </c>
      <c r="R560">
        <v>0</v>
      </c>
      <c r="S560">
        <v>55</v>
      </c>
      <c r="T560">
        <v>0</v>
      </c>
      <c r="U560">
        <v>0</v>
      </c>
      <c r="V560">
        <v>5</v>
      </c>
      <c r="W560" t="s">
        <v>72</v>
      </c>
      <c r="X560">
        <v>1</v>
      </c>
      <c r="Y560" t="str">
        <f t="shared" si="8"/>
        <v>Medium</v>
      </c>
    </row>
    <row r="561" spans="1:25">
      <c r="A561" t="s">
        <v>674</v>
      </c>
      <c r="B561" s="1">
        <v>44933</v>
      </c>
      <c r="C561" s="2">
        <v>3.125E-2</v>
      </c>
      <c r="D561" t="s">
        <v>74</v>
      </c>
      <c r="E561" t="s">
        <v>147</v>
      </c>
      <c r="F561" t="s">
        <v>75</v>
      </c>
      <c r="G561" t="s">
        <v>105</v>
      </c>
      <c r="H561" s="2">
        <v>3.3333333333333333E-2</v>
      </c>
      <c r="I561" s="2">
        <v>5.7638888888888892E-2</v>
      </c>
      <c r="J561">
        <v>19</v>
      </c>
      <c r="K561">
        <v>4</v>
      </c>
      <c r="L561" t="s">
        <v>38</v>
      </c>
      <c r="M561">
        <v>33.700000000000003</v>
      </c>
      <c r="N561">
        <v>85</v>
      </c>
      <c r="O561">
        <v>50</v>
      </c>
      <c r="P561">
        <v>16</v>
      </c>
      <c r="Q561" t="s">
        <v>31</v>
      </c>
      <c r="R561">
        <v>0</v>
      </c>
      <c r="S561">
        <v>19</v>
      </c>
      <c r="T561">
        <v>0</v>
      </c>
      <c r="U561">
        <v>0</v>
      </c>
      <c r="V561">
        <v>5</v>
      </c>
      <c r="W561" t="s">
        <v>32</v>
      </c>
      <c r="X561">
        <v>0</v>
      </c>
      <c r="Y561" t="str">
        <f t="shared" si="8"/>
        <v>Low</v>
      </c>
    </row>
    <row r="562" spans="1:25">
      <c r="A562" t="s">
        <v>675</v>
      </c>
      <c r="B562" s="1">
        <v>44933</v>
      </c>
      <c r="C562" s="2">
        <v>4.1666666666666664E-2</v>
      </c>
      <c r="D562" t="s">
        <v>34</v>
      </c>
      <c r="E562" t="s">
        <v>98</v>
      </c>
      <c r="F562" t="s">
        <v>185</v>
      </c>
      <c r="G562" t="s">
        <v>69</v>
      </c>
      <c r="H562" s="2">
        <v>4.4444444444444446E-2</v>
      </c>
      <c r="I562" s="2">
        <v>7.5694444444444439E-2</v>
      </c>
      <c r="J562">
        <v>9</v>
      </c>
      <c r="K562">
        <v>10</v>
      </c>
      <c r="L562" t="s">
        <v>54</v>
      </c>
      <c r="M562">
        <v>0.8</v>
      </c>
      <c r="N562">
        <v>46</v>
      </c>
      <c r="O562">
        <v>50</v>
      </c>
      <c r="P562">
        <v>9.8000000000000007</v>
      </c>
      <c r="Q562" t="s">
        <v>31</v>
      </c>
      <c r="R562">
        <v>0</v>
      </c>
      <c r="S562">
        <v>76</v>
      </c>
      <c r="T562">
        <v>0</v>
      </c>
      <c r="U562">
        <v>0</v>
      </c>
      <c r="V562">
        <v>5</v>
      </c>
      <c r="W562" t="s">
        <v>32</v>
      </c>
      <c r="X562">
        <v>1</v>
      </c>
      <c r="Y562" t="str">
        <f t="shared" si="8"/>
        <v>High</v>
      </c>
    </row>
    <row r="563" spans="1:25">
      <c r="A563" t="s">
        <v>676</v>
      </c>
      <c r="B563" s="1">
        <v>44933</v>
      </c>
      <c r="C563" s="2">
        <v>5.2083333333333336E-2</v>
      </c>
      <c r="D563" t="s">
        <v>26</v>
      </c>
      <c r="E563" t="s">
        <v>79</v>
      </c>
      <c r="F563" t="s">
        <v>69</v>
      </c>
      <c r="G563" t="s">
        <v>91</v>
      </c>
      <c r="H563" s="2">
        <v>5.486111111111111E-2</v>
      </c>
      <c r="I563" s="2">
        <v>6.8750000000000006E-2</v>
      </c>
      <c r="J563">
        <v>3</v>
      </c>
      <c r="K563">
        <v>27</v>
      </c>
      <c r="L563" t="s">
        <v>77</v>
      </c>
      <c r="M563">
        <v>29.9</v>
      </c>
      <c r="N563">
        <v>39</v>
      </c>
      <c r="O563">
        <v>23</v>
      </c>
      <c r="P563">
        <v>16.100000000000001</v>
      </c>
      <c r="Q563" t="s">
        <v>101</v>
      </c>
      <c r="R563">
        <v>500</v>
      </c>
      <c r="S563">
        <v>91</v>
      </c>
      <c r="T563">
        <v>0</v>
      </c>
      <c r="U563">
        <v>0</v>
      </c>
      <c r="V563">
        <v>5</v>
      </c>
      <c r="W563" t="s">
        <v>55</v>
      </c>
      <c r="X563">
        <v>1</v>
      </c>
      <c r="Y563" t="str">
        <f t="shared" si="8"/>
        <v>High</v>
      </c>
    </row>
    <row r="564" spans="1:25">
      <c r="A564" t="s">
        <v>677</v>
      </c>
      <c r="B564" s="1">
        <v>44933</v>
      </c>
      <c r="C564" s="2">
        <v>6.25E-2</v>
      </c>
      <c r="D564" t="s">
        <v>26</v>
      </c>
      <c r="E564" t="s">
        <v>79</v>
      </c>
      <c r="F564" t="s">
        <v>118</v>
      </c>
      <c r="G564" t="s">
        <v>203</v>
      </c>
      <c r="H564" s="2">
        <v>6.25E-2</v>
      </c>
      <c r="I564" s="2">
        <v>9.7222222222222224E-2</v>
      </c>
      <c r="J564">
        <v>18</v>
      </c>
      <c r="K564">
        <v>-2</v>
      </c>
      <c r="L564" t="s">
        <v>54</v>
      </c>
      <c r="M564">
        <v>6.4</v>
      </c>
      <c r="N564">
        <v>73</v>
      </c>
      <c r="O564">
        <v>20</v>
      </c>
      <c r="P564">
        <v>8.5</v>
      </c>
      <c r="Q564" t="s">
        <v>46</v>
      </c>
      <c r="R564">
        <v>0</v>
      </c>
      <c r="S564">
        <v>33</v>
      </c>
      <c r="T564">
        <v>0</v>
      </c>
      <c r="U564">
        <v>1</v>
      </c>
      <c r="V564">
        <v>5</v>
      </c>
      <c r="W564" t="s">
        <v>32</v>
      </c>
      <c r="X564">
        <v>0</v>
      </c>
      <c r="Y564" t="str">
        <f t="shared" si="8"/>
        <v>Low</v>
      </c>
    </row>
    <row r="565" spans="1:25">
      <c r="A565" t="s">
        <v>678</v>
      </c>
      <c r="B565" s="1">
        <v>44933</v>
      </c>
      <c r="C565" s="2">
        <v>7.2916666666666671E-2</v>
      </c>
      <c r="D565" t="s">
        <v>26</v>
      </c>
      <c r="E565" t="s">
        <v>57</v>
      </c>
      <c r="F565" t="s">
        <v>90</v>
      </c>
      <c r="G565" t="s">
        <v>176</v>
      </c>
      <c r="H565" s="2">
        <v>7.5694444444444439E-2</v>
      </c>
      <c r="I565" s="2">
        <v>9.0972222222222218E-2</v>
      </c>
      <c r="J565">
        <v>13</v>
      </c>
      <c r="K565">
        <v>0</v>
      </c>
      <c r="L565" t="s">
        <v>45</v>
      </c>
      <c r="M565">
        <v>18.7</v>
      </c>
      <c r="N565">
        <v>31</v>
      </c>
      <c r="O565">
        <v>48</v>
      </c>
      <c r="P565">
        <v>20</v>
      </c>
      <c r="Q565" t="s">
        <v>101</v>
      </c>
      <c r="R565">
        <v>0</v>
      </c>
      <c r="S565">
        <v>86</v>
      </c>
      <c r="T565">
        <v>0</v>
      </c>
      <c r="U565">
        <v>1</v>
      </c>
      <c r="V565">
        <v>5</v>
      </c>
      <c r="W565" t="s">
        <v>72</v>
      </c>
      <c r="X565">
        <v>0</v>
      </c>
      <c r="Y565" t="str">
        <f t="shared" si="8"/>
        <v>High</v>
      </c>
    </row>
    <row r="566" spans="1:25">
      <c r="A566" t="s">
        <v>679</v>
      </c>
      <c r="B566" s="1">
        <v>44933</v>
      </c>
      <c r="C566" s="2">
        <v>8.3333333333333329E-2</v>
      </c>
      <c r="D566" t="s">
        <v>34</v>
      </c>
      <c r="E566" t="s">
        <v>52</v>
      </c>
      <c r="F566" t="s">
        <v>43</v>
      </c>
      <c r="G566" t="s">
        <v>163</v>
      </c>
      <c r="H566" s="2">
        <v>8.5416666666666669E-2</v>
      </c>
      <c r="I566" s="2">
        <v>0.10972222222222222</v>
      </c>
      <c r="J566">
        <v>2</v>
      </c>
      <c r="K566">
        <v>-3</v>
      </c>
      <c r="L566" t="s">
        <v>38</v>
      </c>
      <c r="M566">
        <v>16.899999999999999</v>
      </c>
      <c r="N566">
        <v>43</v>
      </c>
      <c r="O566">
        <v>58</v>
      </c>
      <c r="P566">
        <v>8.6999999999999993</v>
      </c>
      <c r="Q566" t="s">
        <v>31</v>
      </c>
      <c r="R566">
        <v>2000</v>
      </c>
      <c r="S566">
        <v>9</v>
      </c>
      <c r="T566">
        <v>0</v>
      </c>
      <c r="U566">
        <v>1</v>
      </c>
      <c r="V566">
        <v>5</v>
      </c>
      <c r="W566" t="s">
        <v>72</v>
      </c>
      <c r="X566">
        <v>0</v>
      </c>
      <c r="Y566" t="str">
        <f t="shared" si="8"/>
        <v>Low</v>
      </c>
    </row>
    <row r="567" spans="1:25">
      <c r="A567" t="s">
        <v>680</v>
      </c>
      <c r="B567" s="1">
        <v>44933</v>
      </c>
      <c r="C567" s="2">
        <v>9.375E-2</v>
      </c>
      <c r="D567" t="s">
        <v>74</v>
      </c>
      <c r="E567" t="s">
        <v>27</v>
      </c>
      <c r="F567" t="s">
        <v>66</v>
      </c>
      <c r="G567" t="s">
        <v>43</v>
      </c>
      <c r="H567" s="2">
        <v>9.6527777777777782E-2</v>
      </c>
      <c r="I567" s="2">
        <v>0.12847222222222221</v>
      </c>
      <c r="J567">
        <v>6</v>
      </c>
      <c r="K567">
        <v>16</v>
      </c>
      <c r="L567" t="s">
        <v>84</v>
      </c>
      <c r="M567">
        <v>17.3</v>
      </c>
      <c r="N567">
        <v>70</v>
      </c>
      <c r="O567">
        <v>35</v>
      </c>
      <c r="P567">
        <v>3</v>
      </c>
      <c r="Q567" t="s">
        <v>71</v>
      </c>
      <c r="R567">
        <v>0</v>
      </c>
      <c r="S567">
        <v>93</v>
      </c>
      <c r="T567">
        <v>0</v>
      </c>
      <c r="U567">
        <v>0</v>
      </c>
      <c r="V567">
        <v>5</v>
      </c>
      <c r="W567" t="s">
        <v>39</v>
      </c>
      <c r="X567">
        <v>1</v>
      </c>
      <c r="Y567" t="str">
        <f t="shared" si="8"/>
        <v>High</v>
      </c>
    </row>
    <row r="568" spans="1:25">
      <c r="A568" t="s">
        <v>681</v>
      </c>
      <c r="B568" s="1">
        <v>44933</v>
      </c>
      <c r="C568" s="2">
        <v>0.10416666666666667</v>
      </c>
      <c r="D568" t="s">
        <v>74</v>
      </c>
      <c r="E568" t="s">
        <v>52</v>
      </c>
      <c r="F568" t="s">
        <v>128</v>
      </c>
      <c r="G568" t="s">
        <v>168</v>
      </c>
      <c r="H568" s="2">
        <v>0.10416666666666667</v>
      </c>
      <c r="I568" s="2">
        <v>0.14444444444444443</v>
      </c>
      <c r="J568">
        <v>11</v>
      </c>
      <c r="K568">
        <v>10</v>
      </c>
      <c r="L568" t="s">
        <v>38</v>
      </c>
      <c r="M568">
        <v>23.9</v>
      </c>
      <c r="N568">
        <v>31</v>
      </c>
      <c r="O568">
        <v>6</v>
      </c>
      <c r="P568">
        <v>8</v>
      </c>
      <c r="Q568" t="s">
        <v>63</v>
      </c>
      <c r="R568">
        <v>0</v>
      </c>
      <c r="S568">
        <v>21</v>
      </c>
      <c r="T568">
        <v>0</v>
      </c>
      <c r="U568">
        <v>1</v>
      </c>
      <c r="V568">
        <v>5</v>
      </c>
      <c r="W568" t="s">
        <v>72</v>
      </c>
      <c r="X568">
        <v>1</v>
      </c>
      <c r="Y568" t="str">
        <f t="shared" si="8"/>
        <v>Low</v>
      </c>
    </row>
    <row r="569" spans="1:25">
      <c r="A569" t="s">
        <v>682</v>
      </c>
      <c r="B569" s="1">
        <v>44933</v>
      </c>
      <c r="C569" s="2">
        <v>0.11458333333333333</v>
      </c>
      <c r="D569" t="s">
        <v>34</v>
      </c>
      <c r="E569" t="s">
        <v>57</v>
      </c>
      <c r="F569" t="s">
        <v>29</v>
      </c>
      <c r="G569" t="s">
        <v>53</v>
      </c>
      <c r="H569" s="2">
        <v>0.11458333333333333</v>
      </c>
      <c r="I569" s="2">
        <v>0.14444444444444443</v>
      </c>
      <c r="J569">
        <v>5</v>
      </c>
      <c r="K569">
        <v>21</v>
      </c>
      <c r="L569" t="s">
        <v>30</v>
      </c>
      <c r="M569">
        <v>10.3</v>
      </c>
      <c r="N569">
        <v>48</v>
      </c>
      <c r="O569">
        <v>4</v>
      </c>
      <c r="P569">
        <v>14.9</v>
      </c>
      <c r="Q569" t="s">
        <v>71</v>
      </c>
      <c r="R569">
        <v>0</v>
      </c>
      <c r="S569">
        <v>4</v>
      </c>
      <c r="T569">
        <v>0</v>
      </c>
      <c r="U569">
        <v>0</v>
      </c>
      <c r="V569">
        <v>5</v>
      </c>
      <c r="W569" t="s">
        <v>32</v>
      </c>
      <c r="X569">
        <v>1</v>
      </c>
      <c r="Y569" t="str">
        <f t="shared" si="8"/>
        <v>Low</v>
      </c>
    </row>
    <row r="570" spans="1:25">
      <c r="A570" t="s">
        <v>683</v>
      </c>
      <c r="B570" s="1">
        <v>44933</v>
      </c>
      <c r="C570" s="2">
        <v>0.125</v>
      </c>
      <c r="D570" t="s">
        <v>26</v>
      </c>
      <c r="E570" t="s">
        <v>35</v>
      </c>
      <c r="F570" t="s">
        <v>29</v>
      </c>
      <c r="G570" t="s">
        <v>176</v>
      </c>
      <c r="H570" s="2">
        <v>0.125</v>
      </c>
      <c r="I570" s="2">
        <v>0.16180555555555556</v>
      </c>
      <c r="J570">
        <v>11</v>
      </c>
      <c r="K570">
        <v>21</v>
      </c>
      <c r="L570" t="s">
        <v>54</v>
      </c>
      <c r="M570">
        <v>7.8</v>
      </c>
      <c r="N570">
        <v>30</v>
      </c>
      <c r="O570">
        <v>57</v>
      </c>
      <c r="P570">
        <v>17</v>
      </c>
      <c r="Q570" t="s">
        <v>31</v>
      </c>
      <c r="R570">
        <v>2000</v>
      </c>
      <c r="S570">
        <v>43</v>
      </c>
      <c r="T570">
        <v>0</v>
      </c>
      <c r="U570">
        <v>0</v>
      </c>
      <c r="V570">
        <v>5</v>
      </c>
      <c r="W570" t="s">
        <v>32</v>
      </c>
      <c r="X570">
        <v>1</v>
      </c>
      <c r="Y570" t="str">
        <f t="shared" si="8"/>
        <v>Medium</v>
      </c>
    </row>
    <row r="571" spans="1:25">
      <c r="A571" t="s">
        <v>684</v>
      </c>
      <c r="B571" s="1">
        <v>44933</v>
      </c>
      <c r="C571" s="2">
        <v>0.13541666666666666</v>
      </c>
      <c r="D571" t="s">
        <v>26</v>
      </c>
      <c r="E571" t="s">
        <v>52</v>
      </c>
      <c r="F571" t="s">
        <v>81</v>
      </c>
      <c r="G571" t="s">
        <v>148</v>
      </c>
      <c r="H571" s="2">
        <v>0.13541666666666666</v>
      </c>
      <c r="I571" s="2">
        <v>0.16458333333333333</v>
      </c>
      <c r="J571">
        <v>9</v>
      </c>
      <c r="K571">
        <v>-1</v>
      </c>
      <c r="L571" t="s">
        <v>38</v>
      </c>
      <c r="M571">
        <v>29.1</v>
      </c>
      <c r="N571">
        <v>31</v>
      </c>
      <c r="O571">
        <v>28</v>
      </c>
      <c r="P571">
        <v>9.1999999999999993</v>
      </c>
      <c r="Q571" t="s">
        <v>63</v>
      </c>
      <c r="R571">
        <v>500</v>
      </c>
      <c r="S571">
        <v>8</v>
      </c>
      <c r="T571">
        <v>0</v>
      </c>
      <c r="U571">
        <v>0</v>
      </c>
      <c r="V571">
        <v>5</v>
      </c>
      <c r="W571" t="s">
        <v>55</v>
      </c>
      <c r="X571">
        <v>0</v>
      </c>
      <c r="Y571" t="str">
        <f t="shared" si="8"/>
        <v>Low</v>
      </c>
    </row>
    <row r="572" spans="1:25">
      <c r="A572" t="s">
        <v>685</v>
      </c>
      <c r="B572" s="1">
        <v>44933</v>
      </c>
      <c r="C572" s="2">
        <v>0.14583333333333334</v>
      </c>
      <c r="D572" t="s">
        <v>74</v>
      </c>
      <c r="E572" t="s">
        <v>111</v>
      </c>
      <c r="F572" t="s">
        <v>91</v>
      </c>
      <c r="G572" t="s">
        <v>65</v>
      </c>
      <c r="H572" s="2">
        <v>0.14722222222222223</v>
      </c>
      <c r="I572" s="2">
        <v>0.18680555555555556</v>
      </c>
      <c r="J572">
        <v>7</v>
      </c>
      <c r="K572">
        <v>1</v>
      </c>
      <c r="L572" t="s">
        <v>77</v>
      </c>
      <c r="M572">
        <v>3.8</v>
      </c>
      <c r="N572">
        <v>56</v>
      </c>
      <c r="O572">
        <v>15</v>
      </c>
      <c r="P572">
        <v>11.9</v>
      </c>
      <c r="Q572" t="s">
        <v>31</v>
      </c>
      <c r="R572">
        <v>2000</v>
      </c>
      <c r="S572">
        <v>42</v>
      </c>
      <c r="T572">
        <v>0</v>
      </c>
      <c r="U572">
        <v>0</v>
      </c>
      <c r="V572">
        <v>5</v>
      </c>
      <c r="W572" t="s">
        <v>55</v>
      </c>
      <c r="X572">
        <v>0</v>
      </c>
      <c r="Y572" t="str">
        <f t="shared" si="8"/>
        <v>Medium</v>
      </c>
    </row>
    <row r="573" spans="1:25">
      <c r="A573" t="s">
        <v>686</v>
      </c>
      <c r="B573" s="1">
        <v>44933</v>
      </c>
      <c r="C573" s="2">
        <v>0.15625</v>
      </c>
      <c r="D573" t="s">
        <v>26</v>
      </c>
      <c r="E573" t="s">
        <v>157</v>
      </c>
      <c r="F573" t="s">
        <v>69</v>
      </c>
      <c r="G573" t="s">
        <v>44</v>
      </c>
      <c r="H573" s="2">
        <v>0.15902777777777777</v>
      </c>
      <c r="I573" s="2">
        <v>0.1736111111111111</v>
      </c>
      <c r="J573">
        <v>17</v>
      </c>
      <c r="K573">
        <v>22</v>
      </c>
      <c r="L573" t="s">
        <v>38</v>
      </c>
      <c r="M573">
        <v>2.2000000000000002</v>
      </c>
      <c r="N573">
        <v>31</v>
      </c>
      <c r="O573">
        <v>5</v>
      </c>
      <c r="P573">
        <v>16.899999999999999</v>
      </c>
      <c r="Q573" t="s">
        <v>59</v>
      </c>
      <c r="R573">
        <v>0</v>
      </c>
      <c r="S573">
        <v>3</v>
      </c>
      <c r="T573">
        <v>0</v>
      </c>
      <c r="U573">
        <v>1</v>
      </c>
      <c r="V573">
        <v>5</v>
      </c>
      <c r="W573" t="s">
        <v>72</v>
      </c>
      <c r="X573">
        <v>1</v>
      </c>
      <c r="Y573" t="str">
        <f t="shared" si="8"/>
        <v>Low</v>
      </c>
    </row>
    <row r="574" spans="1:25">
      <c r="A574" t="s">
        <v>687</v>
      </c>
      <c r="B574" s="1">
        <v>44933</v>
      </c>
      <c r="C574" s="2">
        <v>0.16666666666666666</v>
      </c>
      <c r="D574" t="s">
        <v>41</v>
      </c>
      <c r="E574" t="s">
        <v>161</v>
      </c>
      <c r="F574" t="s">
        <v>36</v>
      </c>
      <c r="G574" t="s">
        <v>151</v>
      </c>
      <c r="H574" s="2">
        <v>0.1673611111111111</v>
      </c>
      <c r="I574" s="2">
        <v>0.20624999999999999</v>
      </c>
      <c r="J574">
        <v>17</v>
      </c>
      <c r="K574">
        <v>0</v>
      </c>
      <c r="L574" t="s">
        <v>77</v>
      </c>
      <c r="M574">
        <v>-4.4000000000000004</v>
      </c>
      <c r="N574">
        <v>80</v>
      </c>
      <c r="O574">
        <v>13</v>
      </c>
      <c r="P574">
        <v>16.3</v>
      </c>
      <c r="Q574" t="s">
        <v>31</v>
      </c>
      <c r="R574">
        <v>0</v>
      </c>
      <c r="S574">
        <v>41</v>
      </c>
      <c r="T574">
        <v>0</v>
      </c>
      <c r="U574">
        <v>0</v>
      </c>
      <c r="V574">
        <v>5</v>
      </c>
      <c r="W574" t="s">
        <v>39</v>
      </c>
      <c r="X574">
        <v>0</v>
      </c>
      <c r="Y574" t="str">
        <f t="shared" si="8"/>
        <v>Medium</v>
      </c>
    </row>
    <row r="575" spans="1:25">
      <c r="A575" t="s">
        <v>688</v>
      </c>
      <c r="B575" s="1">
        <v>44933</v>
      </c>
      <c r="C575" s="2">
        <v>0.17708333333333334</v>
      </c>
      <c r="D575" t="s">
        <v>74</v>
      </c>
      <c r="E575" t="s">
        <v>161</v>
      </c>
      <c r="F575" t="s">
        <v>135</v>
      </c>
      <c r="G575" t="s">
        <v>65</v>
      </c>
      <c r="H575" s="2">
        <v>0.17986111111111111</v>
      </c>
      <c r="I575" s="2">
        <v>0.21527777777777779</v>
      </c>
      <c r="J575">
        <v>18</v>
      </c>
      <c r="K575">
        <v>3</v>
      </c>
      <c r="L575" t="s">
        <v>54</v>
      </c>
      <c r="M575">
        <v>3.4</v>
      </c>
      <c r="N575">
        <v>39</v>
      </c>
      <c r="O575">
        <v>57</v>
      </c>
      <c r="P575">
        <v>13.2</v>
      </c>
      <c r="Q575" t="s">
        <v>71</v>
      </c>
      <c r="R575">
        <v>0</v>
      </c>
      <c r="S575">
        <v>64</v>
      </c>
      <c r="T575">
        <v>0</v>
      </c>
      <c r="U575">
        <v>0</v>
      </c>
      <c r="V575">
        <v>5</v>
      </c>
      <c r="W575" t="s">
        <v>32</v>
      </c>
      <c r="X575">
        <v>0</v>
      </c>
      <c r="Y575" t="str">
        <f t="shared" si="8"/>
        <v>Medium</v>
      </c>
    </row>
    <row r="576" spans="1:25">
      <c r="A576" t="s">
        <v>689</v>
      </c>
      <c r="B576" s="1">
        <v>44933</v>
      </c>
      <c r="C576" s="2">
        <v>0.1875</v>
      </c>
      <c r="D576" t="s">
        <v>26</v>
      </c>
      <c r="E576" t="s">
        <v>48</v>
      </c>
      <c r="F576" t="s">
        <v>87</v>
      </c>
      <c r="G576" t="s">
        <v>75</v>
      </c>
      <c r="H576" s="2">
        <v>0.18888888888888888</v>
      </c>
      <c r="I576" s="2">
        <v>0.21944444444444444</v>
      </c>
      <c r="J576">
        <v>10</v>
      </c>
      <c r="K576">
        <v>26</v>
      </c>
      <c r="L576" t="s">
        <v>84</v>
      </c>
      <c r="M576">
        <v>15.7</v>
      </c>
      <c r="N576">
        <v>48</v>
      </c>
      <c r="O576">
        <v>51</v>
      </c>
      <c r="P576">
        <v>16.3</v>
      </c>
      <c r="Q576" t="s">
        <v>101</v>
      </c>
      <c r="R576">
        <v>0</v>
      </c>
      <c r="S576">
        <v>97</v>
      </c>
      <c r="T576">
        <v>0</v>
      </c>
      <c r="U576">
        <v>1</v>
      </c>
      <c r="V576">
        <v>5</v>
      </c>
      <c r="W576" t="s">
        <v>39</v>
      </c>
      <c r="X576">
        <v>1</v>
      </c>
      <c r="Y576" t="str">
        <f t="shared" si="8"/>
        <v>High</v>
      </c>
    </row>
    <row r="577" spans="1:25">
      <c r="A577" t="s">
        <v>690</v>
      </c>
      <c r="B577" s="1">
        <v>44933</v>
      </c>
      <c r="C577" s="2">
        <v>0.19791666666666666</v>
      </c>
      <c r="D577" t="s">
        <v>74</v>
      </c>
      <c r="E577" t="s">
        <v>42</v>
      </c>
      <c r="F577" t="s">
        <v>151</v>
      </c>
      <c r="G577" t="s">
        <v>148</v>
      </c>
      <c r="H577" s="2">
        <v>0.19791666666666666</v>
      </c>
      <c r="I577" s="2">
        <v>0.21875</v>
      </c>
      <c r="J577">
        <v>16</v>
      </c>
      <c r="K577">
        <v>26</v>
      </c>
      <c r="L577" t="s">
        <v>54</v>
      </c>
      <c r="M577">
        <v>16.5</v>
      </c>
      <c r="N577">
        <v>42</v>
      </c>
      <c r="O577">
        <v>1</v>
      </c>
      <c r="P577">
        <v>11.5</v>
      </c>
      <c r="Q577" t="s">
        <v>31</v>
      </c>
      <c r="R577">
        <v>0</v>
      </c>
      <c r="S577">
        <v>40</v>
      </c>
      <c r="T577">
        <v>0</v>
      </c>
      <c r="U577">
        <v>0</v>
      </c>
      <c r="V577">
        <v>5</v>
      </c>
      <c r="W577" t="s">
        <v>32</v>
      </c>
      <c r="X577">
        <v>1</v>
      </c>
      <c r="Y577" t="str">
        <f t="shared" si="8"/>
        <v>Medium</v>
      </c>
    </row>
    <row r="578" spans="1:25">
      <c r="A578" t="s">
        <v>691</v>
      </c>
      <c r="B578" s="1">
        <v>44933</v>
      </c>
      <c r="C578" s="2">
        <v>0.20833333333333334</v>
      </c>
      <c r="D578" t="s">
        <v>41</v>
      </c>
      <c r="E578" t="s">
        <v>111</v>
      </c>
      <c r="F578" t="s">
        <v>168</v>
      </c>
      <c r="G578" t="s">
        <v>44</v>
      </c>
      <c r="H578" s="2">
        <v>0.20972222222222223</v>
      </c>
      <c r="I578" s="2">
        <v>0.22500000000000001</v>
      </c>
      <c r="J578">
        <v>12</v>
      </c>
      <c r="K578">
        <v>15</v>
      </c>
      <c r="L578" t="s">
        <v>30</v>
      </c>
      <c r="M578">
        <v>5.2</v>
      </c>
      <c r="N578">
        <v>77</v>
      </c>
      <c r="O578">
        <v>24</v>
      </c>
      <c r="P578">
        <v>0.1</v>
      </c>
      <c r="Q578" t="s">
        <v>31</v>
      </c>
      <c r="R578">
        <v>0</v>
      </c>
      <c r="S578">
        <v>63</v>
      </c>
      <c r="T578">
        <v>0</v>
      </c>
      <c r="U578">
        <v>1</v>
      </c>
      <c r="V578">
        <v>5</v>
      </c>
      <c r="W578" t="s">
        <v>72</v>
      </c>
      <c r="X578">
        <v>1</v>
      </c>
      <c r="Y578" t="str">
        <f t="shared" ref="Y578:Y641" si="9">IF(S578&lt;=33,"Low",IF(S578&lt;=66,"Medium","High"))</f>
        <v>Medium</v>
      </c>
    </row>
    <row r="579" spans="1:25">
      <c r="A579" t="s">
        <v>692</v>
      </c>
      <c r="B579" s="1">
        <v>44933</v>
      </c>
      <c r="C579" s="2">
        <v>0.21875</v>
      </c>
      <c r="D579" t="s">
        <v>74</v>
      </c>
      <c r="E579" t="s">
        <v>42</v>
      </c>
      <c r="F579" t="s">
        <v>109</v>
      </c>
      <c r="G579" t="s">
        <v>194</v>
      </c>
      <c r="H579" s="2">
        <v>0.22083333333333333</v>
      </c>
      <c r="I579" s="2">
        <v>0.24374999999999999</v>
      </c>
      <c r="J579">
        <v>5</v>
      </c>
      <c r="K579">
        <v>29</v>
      </c>
      <c r="L579" t="s">
        <v>45</v>
      </c>
      <c r="M579">
        <v>-2.1</v>
      </c>
      <c r="N579">
        <v>85</v>
      </c>
      <c r="O579">
        <v>30</v>
      </c>
      <c r="P579">
        <v>0.8</v>
      </c>
      <c r="Q579" t="s">
        <v>31</v>
      </c>
      <c r="R579">
        <v>0</v>
      </c>
      <c r="S579">
        <v>54</v>
      </c>
      <c r="T579">
        <v>0</v>
      </c>
      <c r="U579">
        <v>1</v>
      </c>
      <c r="V579">
        <v>5</v>
      </c>
      <c r="W579" t="s">
        <v>72</v>
      </c>
      <c r="X579">
        <v>1</v>
      </c>
      <c r="Y579" t="str">
        <f t="shared" si="9"/>
        <v>Medium</v>
      </c>
    </row>
    <row r="580" spans="1:25">
      <c r="A580" t="s">
        <v>693</v>
      </c>
      <c r="B580" s="1">
        <v>44933</v>
      </c>
      <c r="C580" s="2">
        <v>0.22916666666666666</v>
      </c>
      <c r="D580" t="s">
        <v>74</v>
      </c>
      <c r="E580" t="s">
        <v>61</v>
      </c>
      <c r="F580" t="s">
        <v>69</v>
      </c>
      <c r="G580" t="s">
        <v>62</v>
      </c>
      <c r="H580" s="2">
        <v>0.23125000000000001</v>
      </c>
      <c r="I580" s="2">
        <v>0.24722222222222223</v>
      </c>
      <c r="J580">
        <v>18</v>
      </c>
      <c r="K580">
        <v>29</v>
      </c>
      <c r="L580" t="s">
        <v>84</v>
      </c>
      <c r="M580">
        <v>24.8</v>
      </c>
      <c r="N580">
        <v>85</v>
      </c>
      <c r="O580">
        <v>49</v>
      </c>
      <c r="P580">
        <v>19.600000000000001</v>
      </c>
      <c r="Q580" t="s">
        <v>31</v>
      </c>
      <c r="R580">
        <v>10000</v>
      </c>
      <c r="S580">
        <v>89</v>
      </c>
      <c r="T580">
        <v>0</v>
      </c>
      <c r="U580">
        <v>0</v>
      </c>
      <c r="V580">
        <v>5</v>
      </c>
      <c r="W580" t="s">
        <v>55</v>
      </c>
      <c r="X580">
        <v>1</v>
      </c>
      <c r="Y580" t="str">
        <f t="shared" si="9"/>
        <v>High</v>
      </c>
    </row>
    <row r="581" spans="1:25">
      <c r="A581" t="s">
        <v>694</v>
      </c>
      <c r="B581" s="1">
        <v>44933</v>
      </c>
      <c r="C581" s="2">
        <v>0.23958333333333334</v>
      </c>
      <c r="D581" t="s">
        <v>74</v>
      </c>
      <c r="E581" t="s">
        <v>89</v>
      </c>
      <c r="F581" t="s">
        <v>91</v>
      </c>
      <c r="G581" t="s">
        <v>69</v>
      </c>
      <c r="H581" s="2">
        <v>0.24236111111111111</v>
      </c>
      <c r="I581" s="2">
        <v>0.27152777777777776</v>
      </c>
      <c r="J581">
        <v>7</v>
      </c>
      <c r="K581">
        <v>10</v>
      </c>
      <c r="L581" t="s">
        <v>84</v>
      </c>
      <c r="M581">
        <v>25.3</v>
      </c>
      <c r="N581">
        <v>79</v>
      </c>
      <c r="O581">
        <v>49</v>
      </c>
      <c r="P581">
        <v>2.9</v>
      </c>
      <c r="Q581" t="s">
        <v>31</v>
      </c>
      <c r="R581">
        <v>0</v>
      </c>
      <c r="S581">
        <v>17</v>
      </c>
      <c r="T581">
        <v>0</v>
      </c>
      <c r="U581">
        <v>0</v>
      </c>
      <c r="V581">
        <v>5</v>
      </c>
      <c r="W581" t="s">
        <v>39</v>
      </c>
      <c r="X581">
        <v>1</v>
      </c>
      <c r="Y581" t="str">
        <f t="shared" si="9"/>
        <v>Low</v>
      </c>
    </row>
    <row r="582" spans="1:25">
      <c r="A582" t="s">
        <v>695</v>
      </c>
      <c r="B582" s="1">
        <v>44933</v>
      </c>
      <c r="C582" s="2">
        <v>0.25</v>
      </c>
      <c r="D582" t="s">
        <v>74</v>
      </c>
      <c r="E582" t="s">
        <v>141</v>
      </c>
      <c r="F582" t="s">
        <v>49</v>
      </c>
      <c r="G582" t="s">
        <v>50</v>
      </c>
      <c r="H582" s="2">
        <v>0.25277777777777777</v>
      </c>
      <c r="I582" s="2">
        <v>0.27361111111111114</v>
      </c>
      <c r="J582">
        <v>0</v>
      </c>
      <c r="K582">
        <v>6</v>
      </c>
      <c r="L582" t="s">
        <v>45</v>
      </c>
      <c r="M582">
        <v>34.9</v>
      </c>
      <c r="N582">
        <v>74</v>
      </c>
      <c r="O582">
        <v>12</v>
      </c>
      <c r="P582">
        <v>8.1</v>
      </c>
      <c r="Q582" t="s">
        <v>46</v>
      </c>
      <c r="R582">
        <v>0</v>
      </c>
      <c r="S582">
        <v>15</v>
      </c>
      <c r="T582">
        <v>0</v>
      </c>
      <c r="U582">
        <v>0</v>
      </c>
      <c r="V582">
        <v>5</v>
      </c>
      <c r="W582" t="s">
        <v>55</v>
      </c>
      <c r="X582">
        <v>1</v>
      </c>
      <c r="Y582" t="str">
        <f t="shared" si="9"/>
        <v>Low</v>
      </c>
    </row>
    <row r="583" spans="1:25">
      <c r="A583" t="s">
        <v>696</v>
      </c>
      <c r="B583" s="1">
        <v>44933</v>
      </c>
      <c r="C583" s="2">
        <v>0.26041666666666669</v>
      </c>
      <c r="D583" t="s">
        <v>41</v>
      </c>
      <c r="E583" t="s">
        <v>79</v>
      </c>
      <c r="F583" t="s">
        <v>53</v>
      </c>
      <c r="G583" t="s">
        <v>36</v>
      </c>
      <c r="H583" s="2">
        <v>0.26111111111111113</v>
      </c>
      <c r="I583" s="2">
        <v>0.28263888888888888</v>
      </c>
      <c r="J583">
        <v>18</v>
      </c>
      <c r="K583">
        <v>24</v>
      </c>
      <c r="L583" t="s">
        <v>38</v>
      </c>
      <c r="M583">
        <v>31</v>
      </c>
      <c r="N583">
        <v>88</v>
      </c>
      <c r="O583">
        <v>59</v>
      </c>
      <c r="P583">
        <v>18.7</v>
      </c>
      <c r="Q583" t="s">
        <v>31</v>
      </c>
      <c r="R583">
        <v>50000</v>
      </c>
      <c r="S583">
        <v>86</v>
      </c>
      <c r="T583">
        <v>0</v>
      </c>
      <c r="U583">
        <v>0</v>
      </c>
      <c r="V583">
        <v>5</v>
      </c>
      <c r="W583" t="s">
        <v>72</v>
      </c>
      <c r="X583">
        <v>1</v>
      </c>
      <c r="Y583" t="str">
        <f t="shared" si="9"/>
        <v>High</v>
      </c>
    </row>
    <row r="584" spans="1:25">
      <c r="A584" t="s">
        <v>697</v>
      </c>
      <c r="B584" s="1">
        <v>44933</v>
      </c>
      <c r="C584" s="2">
        <v>0.27083333333333331</v>
      </c>
      <c r="D584" t="s">
        <v>34</v>
      </c>
      <c r="E584" t="s">
        <v>68</v>
      </c>
      <c r="F584" t="s">
        <v>122</v>
      </c>
      <c r="G584" t="s">
        <v>90</v>
      </c>
      <c r="H584" s="2">
        <v>0.27152777777777776</v>
      </c>
      <c r="I584" s="2">
        <v>0.29166666666666669</v>
      </c>
      <c r="J584">
        <v>0</v>
      </c>
      <c r="K584">
        <v>10</v>
      </c>
      <c r="L584" t="s">
        <v>54</v>
      </c>
      <c r="M584">
        <v>32</v>
      </c>
      <c r="N584">
        <v>68</v>
      </c>
      <c r="O584">
        <v>17</v>
      </c>
      <c r="P584">
        <v>3.9</v>
      </c>
      <c r="Q584" t="s">
        <v>31</v>
      </c>
      <c r="R584">
        <v>0</v>
      </c>
      <c r="S584">
        <v>45</v>
      </c>
      <c r="T584">
        <v>0</v>
      </c>
      <c r="U584">
        <v>0</v>
      </c>
      <c r="V584">
        <v>5</v>
      </c>
      <c r="W584" t="s">
        <v>39</v>
      </c>
      <c r="X584">
        <v>1</v>
      </c>
      <c r="Y584" t="str">
        <f t="shared" si="9"/>
        <v>Medium</v>
      </c>
    </row>
    <row r="585" spans="1:25">
      <c r="A585" t="s">
        <v>698</v>
      </c>
      <c r="B585" s="1">
        <v>44933</v>
      </c>
      <c r="C585" s="2">
        <v>0.28125</v>
      </c>
      <c r="D585" t="s">
        <v>74</v>
      </c>
      <c r="E585" t="s">
        <v>89</v>
      </c>
      <c r="F585" t="s">
        <v>37</v>
      </c>
      <c r="G585" t="s">
        <v>76</v>
      </c>
      <c r="H585" s="2">
        <v>0.28333333333333333</v>
      </c>
      <c r="I585" s="2">
        <v>0.3125</v>
      </c>
      <c r="J585">
        <v>2</v>
      </c>
      <c r="K585">
        <v>12</v>
      </c>
      <c r="L585" t="s">
        <v>38</v>
      </c>
      <c r="M585">
        <v>26.9</v>
      </c>
      <c r="N585">
        <v>50</v>
      </c>
      <c r="O585">
        <v>16</v>
      </c>
      <c r="P585">
        <v>16.899999999999999</v>
      </c>
      <c r="Q585" t="s">
        <v>31</v>
      </c>
      <c r="R585">
        <v>0</v>
      </c>
      <c r="S585">
        <v>35</v>
      </c>
      <c r="T585">
        <v>1</v>
      </c>
      <c r="U585">
        <v>0</v>
      </c>
      <c r="V585">
        <v>5</v>
      </c>
      <c r="W585" t="s">
        <v>32</v>
      </c>
      <c r="X585">
        <v>1</v>
      </c>
      <c r="Y585" t="str">
        <f t="shared" si="9"/>
        <v>Medium</v>
      </c>
    </row>
    <row r="586" spans="1:25">
      <c r="A586" t="s">
        <v>699</v>
      </c>
      <c r="B586" s="1">
        <v>44933</v>
      </c>
      <c r="C586" s="2">
        <v>0.29166666666666669</v>
      </c>
      <c r="D586" t="s">
        <v>74</v>
      </c>
      <c r="E586" t="s">
        <v>161</v>
      </c>
      <c r="F586" t="s">
        <v>37</v>
      </c>
      <c r="G586" t="s">
        <v>76</v>
      </c>
      <c r="H586" s="2">
        <v>0.29166666666666669</v>
      </c>
      <c r="I586" s="2">
        <v>0.32013888888888886</v>
      </c>
      <c r="J586">
        <v>13</v>
      </c>
      <c r="K586">
        <v>17</v>
      </c>
      <c r="L586" t="s">
        <v>38</v>
      </c>
      <c r="M586">
        <v>19.600000000000001</v>
      </c>
      <c r="N586">
        <v>84</v>
      </c>
      <c r="O586">
        <v>44</v>
      </c>
      <c r="P586">
        <v>16.399999999999999</v>
      </c>
      <c r="Q586" t="s">
        <v>31</v>
      </c>
      <c r="R586">
        <v>50000</v>
      </c>
      <c r="S586">
        <v>89</v>
      </c>
      <c r="T586">
        <v>0</v>
      </c>
      <c r="U586">
        <v>1</v>
      </c>
      <c r="V586">
        <v>5</v>
      </c>
      <c r="W586" t="s">
        <v>55</v>
      </c>
      <c r="X586">
        <v>1</v>
      </c>
      <c r="Y586" t="str">
        <f t="shared" si="9"/>
        <v>High</v>
      </c>
    </row>
    <row r="587" spans="1:25">
      <c r="A587" t="s">
        <v>700</v>
      </c>
      <c r="B587" s="1">
        <v>44933</v>
      </c>
      <c r="C587" s="2">
        <v>0.30208333333333331</v>
      </c>
      <c r="D587" t="s">
        <v>26</v>
      </c>
      <c r="E587" t="s">
        <v>89</v>
      </c>
      <c r="F587" t="s">
        <v>107</v>
      </c>
      <c r="G587" t="s">
        <v>194</v>
      </c>
      <c r="H587" s="2">
        <v>0.3034722222222222</v>
      </c>
      <c r="I587" s="2">
        <v>0.3347222222222222</v>
      </c>
      <c r="J587">
        <v>14</v>
      </c>
      <c r="K587">
        <v>24</v>
      </c>
      <c r="L587" t="s">
        <v>54</v>
      </c>
      <c r="M587">
        <v>0.1</v>
      </c>
      <c r="N587">
        <v>86</v>
      </c>
      <c r="O587">
        <v>27</v>
      </c>
      <c r="P587">
        <v>19.7</v>
      </c>
      <c r="Q587" t="s">
        <v>71</v>
      </c>
      <c r="R587">
        <v>50000</v>
      </c>
      <c r="S587">
        <v>65</v>
      </c>
      <c r="T587">
        <v>0</v>
      </c>
      <c r="U587">
        <v>1</v>
      </c>
      <c r="V587">
        <v>5</v>
      </c>
      <c r="W587" t="s">
        <v>72</v>
      </c>
      <c r="X587">
        <v>1</v>
      </c>
      <c r="Y587" t="str">
        <f t="shared" si="9"/>
        <v>Medium</v>
      </c>
    </row>
    <row r="588" spans="1:25">
      <c r="A588" t="s">
        <v>701</v>
      </c>
      <c r="B588" s="1">
        <v>44933</v>
      </c>
      <c r="C588" s="2">
        <v>0.3125</v>
      </c>
      <c r="D588" t="s">
        <v>74</v>
      </c>
      <c r="E588" t="s">
        <v>42</v>
      </c>
      <c r="F588" t="s">
        <v>50</v>
      </c>
      <c r="G588" t="s">
        <v>87</v>
      </c>
      <c r="H588" s="2">
        <v>0.31319444444444444</v>
      </c>
      <c r="I588" s="2">
        <v>0.34236111111111112</v>
      </c>
      <c r="J588">
        <v>3</v>
      </c>
      <c r="K588">
        <v>29</v>
      </c>
      <c r="L588" t="s">
        <v>30</v>
      </c>
      <c r="M588">
        <v>19.899999999999999</v>
      </c>
      <c r="N588">
        <v>70</v>
      </c>
      <c r="O588">
        <v>11</v>
      </c>
      <c r="P588">
        <v>5.6</v>
      </c>
      <c r="Q588" t="s">
        <v>46</v>
      </c>
      <c r="R588">
        <v>0</v>
      </c>
      <c r="S588">
        <v>43</v>
      </c>
      <c r="T588">
        <v>0</v>
      </c>
      <c r="U588">
        <v>1</v>
      </c>
      <c r="V588">
        <v>5</v>
      </c>
      <c r="W588" t="s">
        <v>32</v>
      </c>
      <c r="X588">
        <v>1</v>
      </c>
      <c r="Y588" t="str">
        <f t="shared" si="9"/>
        <v>Medium</v>
      </c>
    </row>
    <row r="589" spans="1:25">
      <c r="A589" t="s">
        <v>702</v>
      </c>
      <c r="B589" s="1">
        <v>44933</v>
      </c>
      <c r="C589" s="2">
        <v>0.32291666666666669</v>
      </c>
      <c r="D589" t="s">
        <v>26</v>
      </c>
      <c r="E589" t="s">
        <v>93</v>
      </c>
      <c r="F589" t="s">
        <v>36</v>
      </c>
      <c r="G589" t="s">
        <v>83</v>
      </c>
      <c r="H589" s="2">
        <v>0.32361111111111113</v>
      </c>
      <c r="I589" s="2">
        <v>0.35625000000000001</v>
      </c>
      <c r="J589">
        <v>17</v>
      </c>
      <c r="K589">
        <v>2</v>
      </c>
      <c r="L589" t="s">
        <v>84</v>
      </c>
      <c r="M589">
        <v>-2.8</v>
      </c>
      <c r="N589">
        <v>99</v>
      </c>
      <c r="O589">
        <v>34</v>
      </c>
      <c r="P589">
        <v>6.3</v>
      </c>
      <c r="Q589" t="s">
        <v>101</v>
      </c>
      <c r="R589">
        <v>500</v>
      </c>
      <c r="S589">
        <v>4</v>
      </c>
      <c r="T589">
        <v>0</v>
      </c>
      <c r="U589">
        <v>0</v>
      </c>
      <c r="V589">
        <v>5</v>
      </c>
      <c r="W589" t="s">
        <v>72</v>
      </c>
      <c r="X589">
        <v>0</v>
      </c>
      <c r="Y589" t="str">
        <f t="shared" si="9"/>
        <v>Low</v>
      </c>
    </row>
    <row r="590" spans="1:25">
      <c r="A590" t="s">
        <v>703</v>
      </c>
      <c r="B590" s="1">
        <v>44933</v>
      </c>
      <c r="C590" s="2">
        <v>0.33333333333333331</v>
      </c>
      <c r="D590" t="s">
        <v>34</v>
      </c>
      <c r="E590" t="s">
        <v>89</v>
      </c>
      <c r="F590" t="s">
        <v>113</v>
      </c>
      <c r="G590" t="s">
        <v>65</v>
      </c>
      <c r="H590" s="2">
        <v>0.33333333333333331</v>
      </c>
      <c r="I590" s="2">
        <v>0.3527777777777778</v>
      </c>
      <c r="J590">
        <v>17</v>
      </c>
      <c r="K590">
        <v>11</v>
      </c>
      <c r="L590" t="s">
        <v>77</v>
      </c>
      <c r="M590">
        <v>30.4</v>
      </c>
      <c r="N590">
        <v>78</v>
      </c>
      <c r="O590">
        <v>21</v>
      </c>
      <c r="P590">
        <v>18.100000000000001</v>
      </c>
      <c r="Q590" t="s">
        <v>31</v>
      </c>
      <c r="R590">
        <v>0</v>
      </c>
      <c r="S590">
        <v>28</v>
      </c>
      <c r="T590">
        <v>0</v>
      </c>
      <c r="U590">
        <v>0</v>
      </c>
      <c r="V590">
        <v>5</v>
      </c>
      <c r="W590" t="s">
        <v>32</v>
      </c>
      <c r="X590">
        <v>1</v>
      </c>
      <c r="Y590" t="str">
        <f t="shared" si="9"/>
        <v>Low</v>
      </c>
    </row>
    <row r="591" spans="1:25">
      <c r="A591" t="s">
        <v>704</v>
      </c>
      <c r="B591" s="1">
        <v>44933</v>
      </c>
      <c r="C591" s="2">
        <v>0.34375</v>
      </c>
      <c r="D591" t="s">
        <v>41</v>
      </c>
      <c r="E591" t="s">
        <v>93</v>
      </c>
      <c r="F591" t="s">
        <v>100</v>
      </c>
      <c r="G591" t="s">
        <v>116</v>
      </c>
      <c r="H591" s="2">
        <v>0.34375</v>
      </c>
      <c r="I591" s="2">
        <v>0.35972222222222222</v>
      </c>
      <c r="J591">
        <v>13</v>
      </c>
      <c r="K591">
        <v>-1</v>
      </c>
      <c r="L591" t="s">
        <v>45</v>
      </c>
      <c r="M591">
        <v>14.3</v>
      </c>
      <c r="N591">
        <v>73</v>
      </c>
      <c r="O591">
        <v>38</v>
      </c>
      <c r="P591">
        <v>4.7</v>
      </c>
      <c r="Q591" t="s">
        <v>31</v>
      </c>
      <c r="R591">
        <v>2000</v>
      </c>
      <c r="S591">
        <v>3</v>
      </c>
      <c r="T591">
        <v>0</v>
      </c>
      <c r="U591">
        <v>0</v>
      </c>
      <c r="V591">
        <v>5</v>
      </c>
      <c r="W591" t="s">
        <v>55</v>
      </c>
      <c r="X591">
        <v>0</v>
      </c>
      <c r="Y591" t="str">
        <f t="shared" si="9"/>
        <v>Low</v>
      </c>
    </row>
    <row r="592" spans="1:25">
      <c r="A592" t="s">
        <v>705</v>
      </c>
      <c r="B592" s="1">
        <v>44933</v>
      </c>
      <c r="C592" s="2">
        <v>0.35416666666666669</v>
      </c>
      <c r="D592" t="s">
        <v>41</v>
      </c>
      <c r="E592" t="s">
        <v>89</v>
      </c>
      <c r="F592" t="s">
        <v>123</v>
      </c>
      <c r="G592" t="s">
        <v>144</v>
      </c>
      <c r="H592" s="2">
        <v>0.35694444444444445</v>
      </c>
      <c r="I592" s="2">
        <v>0.37986111111111109</v>
      </c>
      <c r="J592">
        <v>-1</v>
      </c>
      <c r="K592">
        <v>10</v>
      </c>
      <c r="L592" t="s">
        <v>84</v>
      </c>
      <c r="M592">
        <v>22.9</v>
      </c>
      <c r="N592">
        <v>64</v>
      </c>
      <c r="O592">
        <v>0</v>
      </c>
      <c r="P592">
        <v>11</v>
      </c>
      <c r="Q592" t="s">
        <v>31</v>
      </c>
      <c r="R592">
        <v>50000</v>
      </c>
      <c r="S592">
        <v>98</v>
      </c>
      <c r="T592">
        <v>0</v>
      </c>
      <c r="U592">
        <v>0</v>
      </c>
      <c r="V592">
        <v>5</v>
      </c>
      <c r="W592" t="s">
        <v>32</v>
      </c>
      <c r="X592">
        <v>1</v>
      </c>
      <c r="Y592" t="str">
        <f t="shared" si="9"/>
        <v>High</v>
      </c>
    </row>
    <row r="593" spans="1:25">
      <c r="A593" t="s">
        <v>706</v>
      </c>
      <c r="B593" s="1">
        <v>44933</v>
      </c>
      <c r="C593" s="2">
        <v>0.36458333333333331</v>
      </c>
      <c r="D593" t="s">
        <v>34</v>
      </c>
      <c r="E593" t="s">
        <v>147</v>
      </c>
      <c r="F593" t="s">
        <v>58</v>
      </c>
      <c r="G593" t="s">
        <v>109</v>
      </c>
      <c r="H593" s="2">
        <v>0.3659722222222222</v>
      </c>
      <c r="I593" s="2">
        <v>0.3888888888888889</v>
      </c>
      <c r="J593">
        <v>17</v>
      </c>
      <c r="K593">
        <v>-2</v>
      </c>
      <c r="L593" t="s">
        <v>38</v>
      </c>
      <c r="M593">
        <v>-2.9</v>
      </c>
      <c r="N593">
        <v>34</v>
      </c>
      <c r="O593">
        <v>36</v>
      </c>
      <c r="P593">
        <v>14.1</v>
      </c>
      <c r="Q593" t="s">
        <v>31</v>
      </c>
      <c r="R593">
        <v>0</v>
      </c>
      <c r="S593">
        <v>85</v>
      </c>
      <c r="T593">
        <v>0</v>
      </c>
      <c r="U593">
        <v>1</v>
      </c>
      <c r="V593">
        <v>5</v>
      </c>
      <c r="W593" t="s">
        <v>39</v>
      </c>
      <c r="X593">
        <v>0</v>
      </c>
      <c r="Y593" t="str">
        <f t="shared" si="9"/>
        <v>High</v>
      </c>
    </row>
    <row r="594" spans="1:25">
      <c r="A594" t="s">
        <v>707</v>
      </c>
      <c r="B594" s="1">
        <v>44933</v>
      </c>
      <c r="C594" s="2">
        <v>0.375</v>
      </c>
      <c r="D594" t="s">
        <v>41</v>
      </c>
      <c r="E594" t="s">
        <v>157</v>
      </c>
      <c r="F594" t="s">
        <v>142</v>
      </c>
      <c r="G594" t="s">
        <v>99</v>
      </c>
      <c r="H594" s="2">
        <v>0.375</v>
      </c>
      <c r="I594" s="2">
        <v>0.41111111111111109</v>
      </c>
      <c r="J594">
        <v>12</v>
      </c>
      <c r="K594">
        <v>25</v>
      </c>
      <c r="L594" t="s">
        <v>45</v>
      </c>
      <c r="M594">
        <v>16.399999999999999</v>
      </c>
      <c r="N594">
        <v>80</v>
      </c>
      <c r="O594">
        <v>20</v>
      </c>
      <c r="P594">
        <v>5.4</v>
      </c>
      <c r="Q594" t="s">
        <v>31</v>
      </c>
      <c r="R594">
        <v>10000</v>
      </c>
      <c r="S594">
        <v>48</v>
      </c>
      <c r="T594">
        <v>0</v>
      </c>
      <c r="U594">
        <v>1</v>
      </c>
      <c r="V594">
        <v>5</v>
      </c>
      <c r="W594" t="s">
        <v>32</v>
      </c>
      <c r="X594">
        <v>1</v>
      </c>
      <c r="Y594" t="str">
        <f t="shared" si="9"/>
        <v>Medium</v>
      </c>
    </row>
    <row r="595" spans="1:25">
      <c r="A595" t="s">
        <v>708</v>
      </c>
      <c r="B595" s="1">
        <v>44933</v>
      </c>
      <c r="C595" s="2">
        <v>0.38541666666666669</v>
      </c>
      <c r="D595" t="s">
        <v>34</v>
      </c>
      <c r="E595" t="s">
        <v>141</v>
      </c>
      <c r="F595" t="s">
        <v>144</v>
      </c>
      <c r="G595" t="s">
        <v>118</v>
      </c>
      <c r="H595" s="2">
        <v>0.38611111111111113</v>
      </c>
      <c r="I595" s="2">
        <v>0.41875000000000001</v>
      </c>
      <c r="J595">
        <v>15</v>
      </c>
      <c r="K595">
        <v>0</v>
      </c>
      <c r="L595" t="s">
        <v>77</v>
      </c>
      <c r="M595">
        <v>7.1</v>
      </c>
      <c r="N595">
        <v>86</v>
      </c>
      <c r="O595">
        <v>0</v>
      </c>
      <c r="P595">
        <v>18.8</v>
      </c>
      <c r="Q595" t="s">
        <v>59</v>
      </c>
      <c r="R595">
        <v>500</v>
      </c>
      <c r="S595">
        <v>71</v>
      </c>
      <c r="T595">
        <v>1</v>
      </c>
      <c r="U595">
        <v>0</v>
      </c>
      <c r="V595">
        <v>5</v>
      </c>
      <c r="W595" t="s">
        <v>72</v>
      </c>
      <c r="X595">
        <v>0</v>
      </c>
      <c r="Y595" t="str">
        <f t="shared" si="9"/>
        <v>High</v>
      </c>
    </row>
    <row r="596" spans="1:25">
      <c r="A596" t="s">
        <v>709</v>
      </c>
      <c r="B596" s="1">
        <v>44933</v>
      </c>
      <c r="C596" s="2">
        <v>0.39583333333333331</v>
      </c>
      <c r="D596" t="s">
        <v>34</v>
      </c>
      <c r="E596" t="s">
        <v>68</v>
      </c>
      <c r="F596" t="s">
        <v>142</v>
      </c>
      <c r="G596" t="s">
        <v>107</v>
      </c>
      <c r="H596" s="2">
        <v>0.39652777777777776</v>
      </c>
      <c r="I596" s="2">
        <v>0.43611111111111112</v>
      </c>
      <c r="J596">
        <v>-2</v>
      </c>
      <c r="K596">
        <v>22</v>
      </c>
      <c r="L596" t="s">
        <v>84</v>
      </c>
      <c r="M596">
        <v>6.4</v>
      </c>
      <c r="N596">
        <v>87</v>
      </c>
      <c r="O596">
        <v>3</v>
      </c>
      <c r="P596">
        <v>13.3</v>
      </c>
      <c r="Q596" t="s">
        <v>31</v>
      </c>
      <c r="R596">
        <v>0</v>
      </c>
      <c r="S596">
        <v>84</v>
      </c>
      <c r="T596">
        <v>0</v>
      </c>
      <c r="U596">
        <v>1</v>
      </c>
      <c r="V596">
        <v>5</v>
      </c>
      <c r="W596" t="s">
        <v>32</v>
      </c>
      <c r="X596">
        <v>1</v>
      </c>
      <c r="Y596" t="str">
        <f t="shared" si="9"/>
        <v>High</v>
      </c>
    </row>
    <row r="597" spans="1:25">
      <c r="A597" t="s">
        <v>710</v>
      </c>
      <c r="B597" s="1">
        <v>44933</v>
      </c>
      <c r="C597" s="2">
        <v>0.40625</v>
      </c>
      <c r="D597" t="s">
        <v>34</v>
      </c>
      <c r="E597" t="s">
        <v>111</v>
      </c>
      <c r="F597" t="s">
        <v>118</v>
      </c>
      <c r="G597" t="s">
        <v>69</v>
      </c>
      <c r="H597" s="2">
        <v>0.40833333333333333</v>
      </c>
      <c r="I597" s="2">
        <v>0.42638888888888887</v>
      </c>
      <c r="J597">
        <v>16</v>
      </c>
      <c r="K597">
        <v>8</v>
      </c>
      <c r="L597" t="s">
        <v>84</v>
      </c>
      <c r="M597">
        <v>10.6</v>
      </c>
      <c r="N597">
        <v>65</v>
      </c>
      <c r="O597">
        <v>31</v>
      </c>
      <c r="P597">
        <v>0.9</v>
      </c>
      <c r="Q597" t="s">
        <v>31</v>
      </c>
      <c r="R597">
        <v>2000</v>
      </c>
      <c r="S597">
        <v>7</v>
      </c>
      <c r="T597">
        <v>0</v>
      </c>
      <c r="U597">
        <v>0</v>
      </c>
      <c r="V597">
        <v>5</v>
      </c>
      <c r="W597" t="s">
        <v>55</v>
      </c>
      <c r="X597">
        <v>1</v>
      </c>
      <c r="Y597" t="str">
        <f t="shared" si="9"/>
        <v>Low</v>
      </c>
    </row>
    <row r="598" spans="1:25">
      <c r="A598" t="s">
        <v>711</v>
      </c>
      <c r="B598" s="1">
        <v>44933</v>
      </c>
      <c r="C598" s="2">
        <v>0.41666666666666669</v>
      </c>
      <c r="D598" t="s">
        <v>41</v>
      </c>
      <c r="E598" t="s">
        <v>157</v>
      </c>
      <c r="F598" t="s">
        <v>107</v>
      </c>
      <c r="G598" t="s">
        <v>107</v>
      </c>
      <c r="H598" s="2">
        <v>0.41666666666666669</v>
      </c>
      <c r="I598" s="2">
        <v>0.43611111111111112</v>
      </c>
      <c r="J598">
        <v>9</v>
      </c>
      <c r="K598">
        <v>-2</v>
      </c>
      <c r="L598" t="s">
        <v>30</v>
      </c>
      <c r="M598">
        <v>-5</v>
      </c>
      <c r="N598">
        <v>39</v>
      </c>
      <c r="O598">
        <v>57</v>
      </c>
      <c r="P598">
        <v>2.7</v>
      </c>
      <c r="Q598" t="s">
        <v>46</v>
      </c>
      <c r="R598">
        <v>0</v>
      </c>
      <c r="S598">
        <v>51</v>
      </c>
      <c r="T598">
        <v>0</v>
      </c>
      <c r="U598">
        <v>0</v>
      </c>
      <c r="V598">
        <v>5</v>
      </c>
      <c r="W598" t="s">
        <v>72</v>
      </c>
      <c r="X598">
        <v>0</v>
      </c>
      <c r="Y598" t="str">
        <f t="shared" si="9"/>
        <v>Medium</v>
      </c>
    </row>
    <row r="599" spans="1:25">
      <c r="A599" t="s">
        <v>712</v>
      </c>
      <c r="B599" s="1">
        <v>44933</v>
      </c>
      <c r="C599" s="2">
        <v>0.42708333333333331</v>
      </c>
      <c r="D599" t="s">
        <v>26</v>
      </c>
      <c r="E599" t="s">
        <v>68</v>
      </c>
      <c r="F599" t="s">
        <v>80</v>
      </c>
      <c r="G599" t="s">
        <v>100</v>
      </c>
      <c r="H599" s="2">
        <v>0.42986111111111114</v>
      </c>
      <c r="I599" s="2">
        <v>0.46180555555555558</v>
      </c>
      <c r="J599">
        <v>5</v>
      </c>
      <c r="K599">
        <v>13</v>
      </c>
      <c r="L599" t="s">
        <v>84</v>
      </c>
      <c r="M599">
        <v>13.7</v>
      </c>
      <c r="N599">
        <v>79</v>
      </c>
      <c r="O599">
        <v>0</v>
      </c>
      <c r="P599">
        <v>3.8</v>
      </c>
      <c r="Q599" t="s">
        <v>71</v>
      </c>
      <c r="R599">
        <v>0</v>
      </c>
      <c r="S599">
        <v>68</v>
      </c>
      <c r="T599">
        <v>0</v>
      </c>
      <c r="U599">
        <v>0</v>
      </c>
      <c r="V599">
        <v>5</v>
      </c>
      <c r="W599" t="s">
        <v>72</v>
      </c>
      <c r="X599">
        <v>1</v>
      </c>
      <c r="Y599" t="str">
        <f t="shared" si="9"/>
        <v>High</v>
      </c>
    </row>
    <row r="600" spans="1:25">
      <c r="A600" t="s">
        <v>713</v>
      </c>
      <c r="B600" s="1">
        <v>44933</v>
      </c>
      <c r="C600" s="2">
        <v>0.4375</v>
      </c>
      <c r="D600" t="s">
        <v>34</v>
      </c>
      <c r="E600" t="s">
        <v>48</v>
      </c>
      <c r="F600" t="s">
        <v>43</v>
      </c>
      <c r="G600" t="s">
        <v>49</v>
      </c>
      <c r="H600" s="2">
        <v>0.43888888888888888</v>
      </c>
      <c r="I600" s="2">
        <v>0.47013888888888888</v>
      </c>
      <c r="J600">
        <v>3</v>
      </c>
      <c r="K600">
        <v>6</v>
      </c>
      <c r="L600" t="s">
        <v>84</v>
      </c>
      <c r="M600">
        <v>14.5</v>
      </c>
      <c r="N600">
        <v>66</v>
      </c>
      <c r="O600">
        <v>12</v>
      </c>
      <c r="P600">
        <v>4.9000000000000004</v>
      </c>
      <c r="Q600" t="s">
        <v>31</v>
      </c>
      <c r="R600">
        <v>50000</v>
      </c>
      <c r="S600">
        <v>20</v>
      </c>
      <c r="T600">
        <v>0</v>
      </c>
      <c r="U600">
        <v>0</v>
      </c>
      <c r="V600">
        <v>5</v>
      </c>
      <c r="W600" t="s">
        <v>72</v>
      </c>
      <c r="X600">
        <v>1</v>
      </c>
      <c r="Y600" t="str">
        <f t="shared" si="9"/>
        <v>Low</v>
      </c>
    </row>
    <row r="601" spans="1:25">
      <c r="A601" t="s">
        <v>714</v>
      </c>
      <c r="B601" s="1">
        <v>44933</v>
      </c>
      <c r="C601" s="2">
        <v>0.44791666666666669</v>
      </c>
      <c r="D601" t="s">
        <v>74</v>
      </c>
      <c r="E601" t="s">
        <v>68</v>
      </c>
      <c r="F601" t="s">
        <v>113</v>
      </c>
      <c r="G601" t="s">
        <v>107</v>
      </c>
      <c r="H601" s="2">
        <v>0.45069444444444445</v>
      </c>
      <c r="I601" s="2">
        <v>0.46319444444444446</v>
      </c>
      <c r="J601">
        <v>9</v>
      </c>
      <c r="K601">
        <v>18</v>
      </c>
      <c r="L601" t="s">
        <v>77</v>
      </c>
      <c r="M601">
        <v>29.5</v>
      </c>
      <c r="N601">
        <v>49</v>
      </c>
      <c r="O601">
        <v>45</v>
      </c>
      <c r="P601">
        <v>14.6</v>
      </c>
      <c r="Q601" t="s">
        <v>71</v>
      </c>
      <c r="R601">
        <v>0</v>
      </c>
      <c r="S601">
        <v>26</v>
      </c>
      <c r="T601">
        <v>1</v>
      </c>
      <c r="U601">
        <v>1</v>
      </c>
      <c r="V601">
        <v>5</v>
      </c>
      <c r="W601" t="s">
        <v>72</v>
      </c>
      <c r="X601">
        <v>1</v>
      </c>
      <c r="Y601" t="str">
        <f t="shared" si="9"/>
        <v>Low</v>
      </c>
    </row>
    <row r="602" spans="1:25">
      <c r="A602" t="s">
        <v>715</v>
      </c>
      <c r="B602" s="1">
        <v>44933</v>
      </c>
      <c r="C602" s="2">
        <v>0.45833333333333331</v>
      </c>
      <c r="D602" t="s">
        <v>41</v>
      </c>
      <c r="E602" t="s">
        <v>141</v>
      </c>
      <c r="F602" t="s">
        <v>29</v>
      </c>
      <c r="G602" t="s">
        <v>109</v>
      </c>
      <c r="H602" s="2">
        <v>0.45902777777777776</v>
      </c>
      <c r="I602" s="2">
        <v>0.48125000000000001</v>
      </c>
      <c r="J602">
        <v>4</v>
      </c>
      <c r="K602">
        <v>17</v>
      </c>
      <c r="L602" t="s">
        <v>77</v>
      </c>
      <c r="M602">
        <v>12.9</v>
      </c>
      <c r="N602">
        <v>42</v>
      </c>
      <c r="O602">
        <v>46</v>
      </c>
      <c r="P602">
        <v>1.8</v>
      </c>
      <c r="Q602" t="s">
        <v>63</v>
      </c>
      <c r="R602">
        <v>0</v>
      </c>
      <c r="S602">
        <v>37</v>
      </c>
      <c r="T602">
        <v>0</v>
      </c>
      <c r="U602">
        <v>1</v>
      </c>
      <c r="V602">
        <v>5</v>
      </c>
      <c r="W602" t="s">
        <v>39</v>
      </c>
      <c r="X602">
        <v>1</v>
      </c>
      <c r="Y602" t="str">
        <f t="shared" si="9"/>
        <v>Medium</v>
      </c>
    </row>
    <row r="603" spans="1:25">
      <c r="A603" t="s">
        <v>716</v>
      </c>
      <c r="B603" s="1">
        <v>44933</v>
      </c>
      <c r="C603" s="2">
        <v>0.46875</v>
      </c>
      <c r="D603" t="s">
        <v>34</v>
      </c>
      <c r="E603" t="s">
        <v>79</v>
      </c>
      <c r="F603" t="s">
        <v>144</v>
      </c>
      <c r="G603" t="s">
        <v>194</v>
      </c>
      <c r="H603" s="2">
        <v>0.47152777777777777</v>
      </c>
      <c r="I603" s="2">
        <v>0.49930555555555556</v>
      </c>
      <c r="J603">
        <v>15</v>
      </c>
      <c r="K603">
        <v>11</v>
      </c>
      <c r="L603" t="s">
        <v>45</v>
      </c>
      <c r="M603">
        <v>9.5</v>
      </c>
      <c r="N603">
        <v>48</v>
      </c>
      <c r="O603">
        <v>16</v>
      </c>
      <c r="P603">
        <v>7</v>
      </c>
      <c r="Q603" t="s">
        <v>31</v>
      </c>
      <c r="R603">
        <v>10000</v>
      </c>
      <c r="S603">
        <v>4</v>
      </c>
      <c r="T603">
        <v>0</v>
      </c>
      <c r="U603">
        <v>0</v>
      </c>
      <c r="V603">
        <v>5</v>
      </c>
      <c r="W603" t="s">
        <v>72</v>
      </c>
      <c r="X603">
        <v>1</v>
      </c>
      <c r="Y603" t="str">
        <f t="shared" si="9"/>
        <v>Low</v>
      </c>
    </row>
    <row r="604" spans="1:25">
      <c r="A604" t="s">
        <v>717</v>
      </c>
      <c r="B604" s="1">
        <v>44933</v>
      </c>
      <c r="C604" s="2">
        <v>0.47916666666666669</v>
      </c>
      <c r="D604" t="s">
        <v>34</v>
      </c>
      <c r="E604" t="s">
        <v>93</v>
      </c>
      <c r="F604" t="s">
        <v>36</v>
      </c>
      <c r="G604" t="s">
        <v>163</v>
      </c>
      <c r="H604" s="2">
        <v>0.47986111111111113</v>
      </c>
      <c r="I604" s="2">
        <v>0.50277777777777777</v>
      </c>
      <c r="J604">
        <v>19</v>
      </c>
      <c r="K604">
        <v>17</v>
      </c>
      <c r="L604" t="s">
        <v>38</v>
      </c>
      <c r="M604">
        <v>34.799999999999997</v>
      </c>
      <c r="N604">
        <v>85</v>
      </c>
      <c r="O604">
        <v>11</v>
      </c>
      <c r="P604">
        <v>18.2</v>
      </c>
      <c r="Q604" t="s">
        <v>31</v>
      </c>
      <c r="R604">
        <v>50000</v>
      </c>
      <c r="S604">
        <v>84</v>
      </c>
      <c r="T604">
        <v>0</v>
      </c>
      <c r="U604">
        <v>0</v>
      </c>
      <c r="V604">
        <v>5</v>
      </c>
      <c r="W604" t="s">
        <v>72</v>
      </c>
      <c r="X604">
        <v>1</v>
      </c>
      <c r="Y604" t="str">
        <f t="shared" si="9"/>
        <v>High</v>
      </c>
    </row>
    <row r="605" spans="1:25">
      <c r="A605" t="s">
        <v>718</v>
      </c>
      <c r="B605" s="1">
        <v>44933</v>
      </c>
      <c r="C605" s="2">
        <v>0.48958333333333331</v>
      </c>
      <c r="D605" t="s">
        <v>74</v>
      </c>
      <c r="E605" t="s">
        <v>89</v>
      </c>
      <c r="F605" t="s">
        <v>58</v>
      </c>
      <c r="G605" t="s">
        <v>83</v>
      </c>
      <c r="H605" s="2">
        <v>0.49027777777777776</v>
      </c>
      <c r="I605" s="2">
        <v>0.50416666666666665</v>
      </c>
      <c r="J605">
        <v>11</v>
      </c>
      <c r="K605">
        <v>17</v>
      </c>
      <c r="L605" t="s">
        <v>77</v>
      </c>
      <c r="M605">
        <v>17.8</v>
      </c>
      <c r="N605">
        <v>74</v>
      </c>
      <c r="O605">
        <v>6</v>
      </c>
      <c r="P605">
        <v>11.1</v>
      </c>
      <c r="Q605" t="s">
        <v>31</v>
      </c>
      <c r="R605">
        <v>10000</v>
      </c>
      <c r="S605">
        <v>60</v>
      </c>
      <c r="T605">
        <v>0</v>
      </c>
      <c r="U605">
        <v>0</v>
      </c>
      <c r="V605">
        <v>5</v>
      </c>
      <c r="W605" t="s">
        <v>72</v>
      </c>
      <c r="X605">
        <v>1</v>
      </c>
      <c r="Y605" t="str">
        <f t="shared" si="9"/>
        <v>Medium</v>
      </c>
    </row>
    <row r="606" spans="1:25">
      <c r="A606" t="s">
        <v>719</v>
      </c>
      <c r="B606" s="1">
        <v>44933</v>
      </c>
      <c r="C606" s="2">
        <v>0.5</v>
      </c>
      <c r="D606" t="s">
        <v>26</v>
      </c>
      <c r="E606" t="s">
        <v>48</v>
      </c>
      <c r="F606" t="s">
        <v>113</v>
      </c>
      <c r="G606" t="s">
        <v>66</v>
      </c>
      <c r="H606" s="2">
        <v>0.50069444444444444</v>
      </c>
      <c r="I606" s="2">
        <v>0.52986111111111112</v>
      </c>
      <c r="J606">
        <v>5</v>
      </c>
      <c r="K606">
        <v>17</v>
      </c>
      <c r="L606" t="s">
        <v>45</v>
      </c>
      <c r="M606">
        <v>13.9</v>
      </c>
      <c r="N606">
        <v>89</v>
      </c>
      <c r="O606">
        <v>54</v>
      </c>
      <c r="P606">
        <v>5.3</v>
      </c>
      <c r="Q606" t="s">
        <v>46</v>
      </c>
      <c r="R606">
        <v>0</v>
      </c>
      <c r="S606">
        <v>7</v>
      </c>
      <c r="T606">
        <v>0</v>
      </c>
      <c r="U606">
        <v>1</v>
      </c>
      <c r="V606">
        <v>5</v>
      </c>
      <c r="W606" t="s">
        <v>55</v>
      </c>
      <c r="X606">
        <v>1</v>
      </c>
      <c r="Y606" t="str">
        <f t="shared" si="9"/>
        <v>Low</v>
      </c>
    </row>
    <row r="607" spans="1:25">
      <c r="A607" t="s">
        <v>720</v>
      </c>
      <c r="B607" s="1">
        <v>44933</v>
      </c>
      <c r="C607" s="2">
        <v>0.51041666666666663</v>
      </c>
      <c r="D607" t="s">
        <v>26</v>
      </c>
      <c r="E607" t="s">
        <v>93</v>
      </c>
      <c r="F607" t="s">
        <v>109</v>
      </c>
      <c r="G607" t="s">
        <v>123</v>
      </c>
      <c r="H607" s="2">
        <v>0.51111111111111107</v>
      </c>
      <c r="I607" s="2">
        <v>0.53333333333333333</v>
      </c>
      <c r="J607">
        <v>17</v>
      </c>
      <c r="K607">
        <v>28</v>
      </c>
      <c r="L607" t="s">
        <v>84</v>
      </c>
      <c r="M607">
        <v>14.8</v>
      </c>
      <c r="N607">
        <v>97</v>
      </c>
      <c r="O607">
        <v>50</v>
      </c>
      <c r="P607">
        <v>19.100000000000001</v>
      </c>
      <c r="Q607" t="s">
        <v>31</v>
      </c>
      <c r="R607">
        <v>0</v>
      </c>
      <c r="S607">
        <v>85</v>
      </c>
      <c r="T607">
        <v>0</v>
      </c>
      <c r="U607">
        <v>1</v>
      </c>
      <c r="V607">
        <v>5</v>
      </c>
      <c r="W607" t="s">
        <v>55</v>
      </c>
      <c r="X607">
        <v>1</v>
      </c>
      <c r="Y607" t="str">
        <f t="shared" si="9"/>
        <v>High</v>
      </c>
    </row>
    <row r="608" spans="1:25">
      <c r="A608" t="s">
        <v>721</v>
      </c>
      <c r="B608" s="1">
        <v>44933</v>
      </c>
      <c r="C608" s="2">
        <v>0.52083333333333337</v>
      </c>
      <c r="D608" t="s">
        <v>26</v>
      </c>
      <c r="E608" t="s">
        <v>147</v>
      </c>
      <c r="F608" t="s">
        <v>95</v>
      </c>
      <c r="G608" t="s">
        <v>86</v>
      </c>
      <c r="H608" s="2">
        <v>0.52152777777777781</v>
      </c>
      <c r="I608" s="2">
        <v>0.53888888888888886</v>
      </c>
      <c r="J608">
        <v>19</v>
      </c>
      <c r="K608">
        <v>1</v>
      </c>
      <c r="L608" t="s">
        <v>45</v>
      </c>
      <c r="M608">
        <v>27.4</v>
      </c>
      <c r="N608">
        <v>86</v>
      </c>
      <c r="O608">
        <v>54</v>
      </c>
      <c r="P608">
        <v>4.9000000000000004</v>
      </c>
      <c r="Q608" t="s">
        <v>63</v>
      </c>
      <c r="R608">
        <v>0</v>
      </c>
      <c r="S608">
        <v>17</v>
      </c>
      <c r="T608">
        <v>0</v>
      </c>
      <c r="U608">
        <v>1</v>
      </c>
      <c r="V608">
        <v>5</v>
      </c>
      <c r="W608" t="s">
        <v>72</v>
      </c>
      <c r="X608">
        <v>0</v>
      </c>
      <c r="Y608" t="str">
        <f t="shared" si="9"/>
        <v>Low</v>
      </c>
    </row>
    <row r="609" spans="1:25">
      <c r="A609" t="s">
        <v>722</v>
      </c>
      <c r="B609" s="1">
        <v>44933</v>
      </c>
      <c r="C609" s="2">
        <v>0.53125</v>
      </c>
      <c r="D609" t="s">
        <v>34</v>
      </c>
      <c r="E609" t="s">
        <v>161</v>
      </c>
      <c r="F609" t="s">
        <v>116</v>
      </c>
      <c r="G609" t="s">
        <v>80</v>
      </c>
      <c r="H609" s="2">
        <v>0.53333333333333333</v>
      </c>
      <c r="I609" s="2">
        <v>0.56944444444444442</v>
      </c>
      <c r="J609">
        <v>11</v>
      </c>
      <c r="K609">
        <v>5</v>
      </c>
      <c r="L609" t="s">
        <v>45</v>
      </c>
      <c r="M609">
        <v>8.6</v>
      </c>
      <c r="N609">
        <v>83</v>
      </c>
      <c r="O609">
        <v>2</v>
      </c>
      <c r="P609">
        <v>18.100000000000001</v>
      </c>
      <c r="Q609" t="s">
        <v>46</v>
      </c>
      <c r="R609">
        <v>0</v>
      </c>
      <c r="S609">
        <v>3</v>
      </c>
      <c r="T609">
        <v>0</v>
      </c>
      <c r="U609">
        <v>1</v>
      </c>
      <c r="V609">
        <v>5</v>
      </c>
      <c r="W609" t="s">
        <v>39</v>
      </c>
      <c r="X609">
        <v>0</v>
      </c>
      <c r="Y609" t="str">
        <f t="shared" si="9"/>
        <v>Low</v>
      </c>
    </row>
    <row r="610" spans="1:25">
      <c r="A610" t="s">
        <v>723</v>
      </c>
      <c r="B610" s="1">
        <v>44933</v>
      </c>
      <c r="C610" s="2">
        <v>0.54166666666666663</v>
      </c>
      <c r="D610" t="s">
        <v>34</v>
      </c>
      <c r="E610" t="s">
        <v>104</v>
      </c>
      <c r="F610" t="s">
        <v>203</v>
      </c>
      <c r="G610" t="s">
        <v>113</v>
      </c>
      <c r="H610" s="2">
        <v>0.5444444444444444</v>
      </c>
      <c r="I610" s="2">
        <v>0.57152777777777775</v>
      </c>
      <c r="J610">
        <v>2</v>
      </c>
      <c r="K610">
        <v>14</v>
      </c>
      <c r="L610" t="s">
        <v>45</v>
      </c>
      <c r="M610">
        <v>10.6</v>
      </c>
      <c r="N610">
        <v>66</v>
      </c>
      <c r="O610">
        <v>49</v>
      </c>
      <c r="P610">
        <v>14.5</v>
      </c>
      <c r="Q610" t="s">
        <v>31</v>
      </c>
      <c r="R610">
        <v>50000</v>
      </c>
      <c r="S610">
        <v>3</v>
      </c>
      <c r="T610">
        <v>0</v>
      </c>
      <c r="U610">
        <v>0</v>
      </c>
      <c r="V610">
        <v>5</v>
      </c>
      <c r="W610" t="s">
        <v>32</v>
      </c>
      <c r="X610">
        <v>1</v>
      </c>
      <c r="Y610" t="str">
        <f t="shared" si="9"/>
        <v>Low</v>
      </c>
    </row>
    <row r="611" spans="1:25">
      <c r="A611" t="s">
        <v>724</v>
      </c>
      <c r="B611" s="1">
        <v>44933</v>
      </c>
      <c r="C611" s="2">
        <v>0.55208333333333337</v>
      </c>
      <c r="D611" t="s">
        <v>34</v>
      </c>
      <c r="E611" t="s">
        <v>27</v>
      </c>
      <c r="F611" t="s">
        <v>29</v>
      </c>
      <c r="G611" t="s">
        <v>122</v>
      </c>
      <c r="H611" s="2">
        <v>0.5541666666666667</v>
      </c>
      <c r="I611" s="2">
        <v>0.58402777777777781</v>
      </c>
      <c r="J611">
        <v>6</v>
      </c>
      <c r="K611">
        <v>17</v>
      </c>
      <c r="L611" t="s">
        <v>54</v>
      </c>
      <c r="M611">
        <v>25.2</v>
      </c>
      <c r="N611">
        <v>66</v>
      </c>
      <c r="O611">
        <v>25</v>
      </c>
      <c r="P611">
        <v>14.8</v>
      </c>
      <c r="Q611" t="s">
        <v>31</v>
      </c>
      <c r="R611">
        <v>2000</v>
      </c>
      <c r="S611">
        <v>36</v>
      </c>
      <c r="T611">
        <v>1</v>
      </c>
      <c r="U611">
        <v>0</v>
      </c>
      <c r="V611">
        <v>5</v>
      </c>
      <c r="W611" t="s">
        <v>39</v>
      </c>
      <c r="X611">
        <v>1</v>
      </c>
      <c r="Y611" t="str">
        <f t="shared" si="9"/>
        <v>Medium</v>
      </c>
    </row>
    <row r="612" spans="1:25">
      <c r="A612" t="s">
        <v>725</v>
      </c>
      <c r="B612" s="1">
        <v>44933</v>
      </c>
      <c r="C612" s="2">
        <v>0.5625</v>
      </c>
      <c r="D612" t="s">
        <v>41</v>
      </c>
      <c r="E612" t="s">
        <v>161</v>
      </c>
      <c r="F612" t="s">
        <v>58</v>
      </c>
      <c r="G612" t="s">
        <v>83</v>
      </c>
      <c r="H612" s="2">
        <v>0.56458333333333333</v>
      </c>
      <c r="I612" s="2">
        <v>0.60138888888888886</v>
      </c>
      <c r="J612">
        <v>5</v>
      </c>
      <c r="K612">
        <v>4</v>
      </c>
      <c r="L612" t="s">
        <v>45</v>
      </c>
      <c r="M612">
        <v>-2.1</v>
      </c>
      <c r="N612">
        <v>43</v>
      </c>
      <c r="O612">
        <v>30</v>
      </c>
      <c r="P612">
        <v>15.3</v>
      </c>
      <c r="Q612" t="s">
        <v>31</v>
      </c>
      <c r="R612">
        <v>0</v>
      </c>
      <c r="S612">
        <v>14</v>
      </c>
      <c r="T612">
        <v>0</v>
      </c>
      <c r="U612">
        <v>0</v>
      </c>
      <c r="V612">
        <v>5</v>
      </c>
      <c r="W612" t="s">
        <v>72</v>
      </c>
      <c r="X612">
        <v>0</v>
      </c>
      <c r="Y612" t="str">
        <f t="shared" si="9"/>
        <v>Low</v>
      </c>
    </row>
    <row r="613" spans="1:25">
      <c r="A613" t="s">
        <v>726</v>
      </c>
      <c r="B613" s="1">
        <v>44933</v>
      </c>
      <c r="C613" s="2">
        <v>0.57291666666666663</v>
      </c>
      <c r="D613" t="s">
        <v>74</v>
      </c>
      <c r="E613" t="s">
        <v>35</v>
      </c>
      <c r="F613" t="s">
        <v>128</v>
      </c>
      <c r="G613" t="s">
        <v>100</v>
      </c>
      <c r="H613" s="2">
        <v>0.57291666666666663</v>
      </c>
      <c r="I613" s="2">
        <v>0.61250000000000004</v>
      </c>
      <c r="J613">
        <v>-1</v>
      </c>
      <c r="K613">
        <v>6</v>
      </c>
      <c r="L613" t="s">
        <v>77</v>
      </c>
      <c r="M613">
        <v>29.6</v>
      </c>
      <c r="N613">
        <v>73</v>
      </c>
      <c r="O613">
        <v>35</v>
      </c>
      <c r="P613">
        <v>10.1</v>
      </c>
      <c r="Q613" t="s">
        <v>31</v>
      </c>
      <c r="R613">
        <v>0</v>
      </c>
      <c r="S613">
        <v>37</v>
      </c>
      <c r="T613">
        <v>0</v>
      </c>
      <c r="U613">
        <v>0</v>
      </c>
      <c r="V613">
        <v>5</v>
      </c>
      <c r="W613" t="s">
        <v>72</v>
      </c>
      <c r="X613">
        <v>1</v>
      </c>
      <c r="Y613" t="str">
        <f t="shared" si="9"/>
        <v>Medium</v>
      </c>
    </row>
    <row r="614" spans="1:25">
      <c r="A614" t="s">
        <v>727</v>
      </c>
      <c r="B614" s="1">
        <v>44933</v>
      </c>
      <c r="C614" s="2">
        <v>0.58333333333333337</v>
      </c>
      <c r="D614" t="s">
        <v>34</v>
      </c>
      <c r="E614" t="s">
        <v>104</v>
      </c>
      <c r="F614" t="s">
        <v>87</v>
      </c>
      <c r="G614" t="s">
        <v>116</v>
      </c>
      <c r="H614" s="2">
        <v>0.58333333333333337</v>
      </c>
      <c r="I614" s="2">
        <v>0.61736111111111114</v>
      </c>
      <c r="J614">
        <v>13</v>
      </c>
      <c r="K614">
        <v>20</v>
      </c>
      <c r="L614" t="s">
        <v>54</v>
      </c>
      <c r="M614">
        <v>12.2</v>
      </c>
      <c r="N614">
        <v>71</v>
      </c>
      <c r="O614">
        <v>25</v>
      </c>
      <c r="P614">
        <v>16.3</v>
      </c>
      <c r="Q614" t="s">
        <v>101</v>
      </c>
      <c r="R614">
        <v>50000</v>
      </c>
      <c r="S614">
        <v>26</v>
      </c>
      <c r="T614">
        <v>0</v>
      </c>
      <c r="U614">
        <v>1</v>
      </c>
      <c r="V614">
        <v>5</v>
      </c>
      <c r="W614" t="s">
        <v>39</v>
      </c>
      <c r="X614">
        <v>1</v>
      </c>
      <c r="Y614" t="str">
        <f t="shared" si="9"/>
        <v>Low</v>
      </c>
    </row>
    <row r="615" spans="1:25">
      <c r="A615" t="s">
        <v>728</v>
      </c>
      <c r="B615" s="1">
        <v>44933</v>
      </c>
      <c r="C615" s="2">
        <v>0.59375</v>
      </c>
      <c r="D615" t="s">
        <v>74</v>
      </c>
      <c r="E615" t="s">
        <v>27</v>
      </c>
      <c r="F615" t="s">
        <v>123</v>
      </c>
      <c r="G615" t="s">
        <v>37</v>
      </c>
      <c r="H615" s="2">
        <v>0.59375</v>
      </c>
      <c r="I615" s="2">
        <v>0.62569444444444444</v>
      </c>
      <c r="J615">
        <v>10</v>
      </c>
      <c r="K615">
        <v>20</v>
      </c>
      <c r="L615" t="s">
        <v>38</v>
      </c>
      <c r="M615">
        <v>18.3</v>
      </c>
      <c r="N615">
        <v>30</v>
      </c>
      <c r="O615">
        <v>2</v>
      </c>
      <c r="P615">
        <v>16.7</v>
      </c>
      <c r="Q615" t="s">
        <v>31</v>
      </c>
      <c r="R615">
        <v>10000</v>
      </c>
      <c r="S615">
        <v>84</v>
      </c>
      <c r="T615">
        <v>1</v>
      </c>
      <c r="U615">
        <v>1</v>
      </c>
      <c r="V615">
        <v>5</v>
      </c>
      <c r="W615" t="s">
        <v>72</v>
      </c>
      <c r="X615">
        <v>1</v>
      </c>
      <c r="Y615" t="str">
        <f t="shared" si="9"/>
        <v>High</v>
      </c>
    </row>
    <row r="616" spans="1:25">
      <c r="A616" t="s">
        <v>729</v>
      </c>
      <c r="B616" s="1">
        <v>44933</v>
      </c>
      <c r="C616" s="2">
        <v>0.60416666666666663</v>
      </c>
      <c r="D616" t="s">
        <v>74</v>
      </c>
      <c r="E616" t="s">
        <v>48</v>
      </c>
      <c r="F616" t="s">
        <v>113</v>
      </c>
      <c r="G616" t="s">
        <v>142</v>
      </c>
      <c r="H616" s="2">
        <v>0.60555555555555551</v>
      </c>
      <c r="I616" s="2">
        <v>0.64444444444444449</v>
      </c>
      <c r="J616">
        <v>4</v>
      </c>
      <c r="K616">
        <v>28</v>
      </c>
      <c r="L616" t="s">
        <v>45</v>
      </c>
      <c r="M616">
        <v>25.3</v>
      </c>
      <c r="N616">
        <v>52</v>
      </c>
      <c r="O616">
        <v>43</v>
      </c>
      <c r="P616">
        <v>7.2</v>
      </c>
      <c r="Q616" t="s">
        <v>31</v>
      </c>
      <c r="R616">
        <v>0</v>
      </c>
      <c r="S616">
        <v>47</v>
      </c>
      <c r="T616">
        <v>0</v>
      </c>
      <c r="U616">
        <v>0</v>
      </c>
      <c r="V616">
        <v>5</v>
      </c>
      <c r="W616" t="s">
        <v>32</v>
      </c>
      <c r="X616">
        <v>1</v>
      </c>
      <c r="Y616" t="str">
        <f t="shared" si="9"/>
        <v>Medium</v>
      </c>
    </row>
    <row r="617" spans="1:25">
      <c r="A617" t="s">
        <v>730</v>
      </c>
      <c r="B617" s="1">
        <v>44933</v>
      </c>
      <c r="C617" s="2">
        <v>0.61458333333333337</v>
      </c>
      <c r="D617" t="s">
        <v>26</v>
      </c>
      <c r="E617" t="s">
        <v>161</v>
      </c>
      <c r="F617" t="s">
        <v>135</v>
      </c>
      <c r="G617" t="s">
        <v>50</v>
      </c>
      <c r="H617" s="2">
        <v>0.61458333333333337</v>
      </c>
      <c r="I617" s="2">
        <v>0.6381944444444444</v>
      </c>
      <c r="J617">
        <v>13</v>
      </c>
      <c r="K617">
        <v>29</v>
      </c>
      <c r="L617" t="s">
        <v>30</v>
      </c>
      <c r="M617">
        <v>5.6</v>
      </c>
      <c r="N617">
        <v>93</v>
      </c>
      <c r="O617">
        <v>54</v>
      </c>
      <c r="P617">
        <v>8</v>
      </c>
      <c r="Q617" t="s">
        <v>31</v>
      </c>
      <c r="R617">
        <v>500</v>
      </c>
      <c r="S617">
        <v>45</v>
      </c>
      <c r="T617">
        <v>0</v>
      </c>
      <c r="U617">
        <v>0</v>
      </c>
      <c r="V617">
        <v>5</v>
      </c>
      <c r="W617" t="s">
        <v>55</v>
      </c>
      <c r="X617">
        <v>1</v>
      </c>
      <c r="Y617" t="str">
        <f t="shared" si="9"/>
        <v>Medium</v>
      </c>
    </row>
    <row r="618" spans="1:25">
      <c r="A618" t="s">
        <v>731</v>
      </c>
      <c r="B618" s="1">
        <v>44933</v>
      </c>
      <c r="C618" s="2">
        <v>0.625</v>
      </c>
      <c r="D618" t="s">
        <v>41</v>
      </c>
      <c r="E618" t="s">
        <v>57</v>
      </c>
      <c r="F618" t="s">
        <v>203</v>
      </c>
      <c r="G618" t="s">
        <v>105</v>
      </c>
      <c r="H618" s="2">
        <v>0.62777777777777777</v>
      </c>
      <c r="I618" s="2">
        <v>0.65625</v>
      </c>
      <c r="J618">
        <v>4</v>
      </c>
      <c r="K618">
        <v>7</v>
      </c>
      <c r="L618" t="s">
        <v>84</v>
      </c>
      <c r="M618">
        <v>30.6</v>
      </c>
      <c r="N618">
        <v>57</v>
      </c>
      <c r="O618">
        <v>27</v>
      </c>
      <c r="P618">
        <v>17.8</v>
      </c>
      <c r="Q618" t="s">
        <v>31</v>
      </c>
      <c r="R618">
        <v>0</v>
      </c>
      <c r="S618">
        <v>45</v>
      </c>
      <c r="T618">
        <v>0</v>
      </c>
      <c r="U618">
        <v>0</v>
      </c>
      <c r="V618">
        <v>5</v>
      </c>
      <c r="W618" t="s">
        <v>32</v>
      </c>
      <c r="X618">
        <v>1</v>
      </c>
      <c r="Y618" t="str">
        <f t="shared" si="9"/>
        <v>Medium</v>
      </c>
    </row>
    <row r="619" spans="1:25">
      <c r="A619" t="s">
        <v>732</v>
      </c>
      <c r="B619" s="1">
        <v>44933</v>
      </c>
      <c r="C619" s="2">
        <v>0.63541666666666663</v>
      </c>
      <c r="D619" t="s">
        <v>34</v>
      </c>
      <c r="E619" t="s">
        <v>57</v>
      </c>
      <c r="F619" t="s">
        <v>100</v>
      </c>
      <c r="G619" t="s">
        <v>43</v>
      </c>
      <c r="H619" s="2">
        <v>0.63749999999999996</v>
      </c>
      <c r="I619" s="2">
        <v>0.64930555555555558</v>
      </c>
      <c r="J619">
        <v>11</v>
      </c>
      <c r="K619">
        <v>27</v>
      </c>
      <c r="L619" t="s">
        <v>84</v>
      </c>
      <c r="M619">
        <v>34.200000000000003</v>
      </c>
      <c r="N619">
        <v>33</v>
      </c>
      <c r="O619">
        <v>43</v>
      </c>
      <c r="P619">
        <v>10.5</v>
      </c>
      <c r="Q619" t="s">
        <v>31</v>
      </c>
      <c r="R619">
        <v>2000</v>
      </c>
      <c r="S619">
        <v>47</v>
      </c>
      <c r="T619">
        <v>0</v>
      </c>
      <c r="U619">
        <v>0</v>
      </c>
      <c r="V619">
        <v>5</v>
      </c>
      <c r="W619" t="s">
        <v>32</v>
      </c>
      <c r="X619">
        <v>1</v>
      </c>
      <c r="Y619" t="str">
        <f t="shared" si="9"/>
        <v>Medium</v>
      </c>
    </row>
    <row r="620" spans="1:25">
      <c r="A620" t="s">
        <v>733</v>
      </c>
      <c r="B620" s="1">
        <v>44933</v>
      </c>
      <c r="C620" s="2">
        <v>0.64583333333333337</v>
      </c>
      <c r="D620" t="s">
        <v>26</v>
      </c>
      <c r="E620" t="s">
        <v>130</v>
      </c>
      <c r="F620" t="s">
        <v>76</v>
      </c>
      <c r="G620" t="s">
        <v>203</v>
      </c>
      <c r="H620" s="2">
        <v>0.64861111111111114</v>
      </c>
      <c r="I620" s="2">
        <v>0.66180555555555554</v>
      </c>
      <c r="J620">
        <v>11</v>
      </c>
      <c r="K620">
        <v>14</v>
      </c>
      <c r="L620" t="s">
        <v>54</v>
      </c>
      <c r="M620">
        <v>14.8</v>
      </c>
      <c r="N620">
        <v>70</v>
      </c>
      <c r="O620">
        <v>16</v>
      </c>
      <c r="P620">
        <v>17.3</v>
      </c>
      <c r="Q620" t="s">
        <v>31</v>
      </c>
      <c r="R620">
        <v>500</v>
      </c>
      <c r="S620">
        <v>58</v>
      </c>
      <c r="T620">
        <v>0</v>
      </c>
      <c r="U620">
        <v>0</v>
      </c>
      <c r="V620">
        <v>5</v>
      </c>
      <c r="W620" t="s">
        <v>32</v>
      </c>
      <c r="X620">
        <v>1</v>
      </c>
      <c r="Y620" t="str">
        <f t="shared" si="9"/>
        <v>Medium</v>
      </c>
    </row>
    <row r="621" spans="1:25">
      <c r="A621" t="s">
        <v>734</v>
      </c>
      <c r="B621" s="1">
        <v>44933</v>
      </c>
      <c r="C621" s="2">
        <v>0.65625</v>
      </c>
      <c r="D621" t="s">
        <v>26</v>
      </c>
      <c r="E621" t="s">
        <v>35</v>
      </c>
      <c r="F621" t="s">
        <v>148</v>
      </c>
      <c r="G621" t="s">
        <v>123</v>
      </c>
      <c r="H621" s="2">
        <v>0.65625</v>
      </c>
      <c r="I621" s="2">
        <v>0.68958333333333333</v>
      </c>
      <c r="J621">
        <v>9</v>
      </c>
      <c r="K621">
        <v>19</v>
      </c>
      <c r="L621" t="s">
        <v>84</v>
      </c>
      <c r="M621">
        <v>32.5</v>
      </c>
      <c r="N621">
        <v>89</v>
      </c>
      <c r="O621">
        <v>37</v>
      </c>
      <c r="P621">
        <v>12.5</v>
      </c>
      <c r="Q621" t="s">
        <v>71</v>
      </c>
      <c r="R621">
        <v>500</v>
      </c>
      <c r="S621">
        <v>3</v>
      </c>
      <c r="T621">
        <v>0</v>
      </c>
      <c r="U621">
        <v>0</v>
      </c>
      <c r="V621">
        <v>5</v>
      </c>
      <c r="W621" t="s">
        <v>39</v>
      </c>
      <c r="X621">
        <v>1</v>
      </c>
      <c r="Y621" t="str">
        <f t="shared" si="9"/>
        <v>Low</v>
      </c>
    </row>
    <row r="622" spans="1:25">
      <c r="A622" t="s">
        <v>735</v>
      </c>
      <c r="B622" s="1">
        <v>44933</v>
      </c>
      <c r="C622" s="2">
        <v>0.66666666666666663</v>
      </c>
      <c r="D622" t="s">
        <v>34</v>
      </c>
      <c r="E622" t="s">
        <v>68</v>
      </c>
      <c r="F622" t="s">
        <v>81</v>
      </c>
      <c r="G622" t="s">
        <v>151</v>
      </c>
      <c r="H622" s="2">
        <v>0.66805555555555551</v>
      </c>
      <c r="I622" s="2">
        <v>0.68055555555555558</v>
      </c>
      <c r="J622">
        <v>-2</v>
      </c>
      <c r="K622">
        <v>18</v>
      </c>
      <c r="L622" t="s">
        <v>84</v>
      </c>
      <c r="M622">
        <v>-5</v>
      </c>
      <c r="N622">
        <v>47</v>
      </c>
      <c r="O622">
        <v>46</v>
      </c>
      <c r="P622">
        <v>11.9</v>
      </c>
      <c r="Q622" t="s">
        <v>31</v>
      </c>
      <c r="R622">
        <v>0</v>
      </c>
      <c r="S622">
        <v>74</v>
      </c>
      <c r="T622">
        <v>1</v>
      </c>
      <c r="U622">
        <v>1</v>
      </c>
      <c r="V622">
        <v>5</v>
      </c>
      <c r="W622" t="s">
        <v>39</v>
      </c>
      <c r="X622">
        <v>1</v>
      </c>
      <c r="Y622" t="str">
        <f t="shared" si="9"/>
        <v>High</v>
      </c>
    </row>
    <row r="623" spans="1:25">
      <c r="A623" t="s">
        <v>736</v>
      </c>
      <c r="B623" s="1">
        <v>44933</v>
      </c>
      <c r="C623" s="2">
        <v>0.67708333333333337</v>
      </c>
      <c r="D623" t="s">
        <v>74</v>
      </c>
      <c r="E623" t="s">
        <v>147</v>
      </c>
      <c r="F623" t="s">
        <v>28</v>
      </c>
      <c r="G623" t="s">
        <v>28</v>
      </c>
      <c r="H623" s="2">
        <v>0.67847222222222225</v>
      </c>
      <c r="I623" s="2">
        <v>0.7055555555555556</v>
      </c>
      <c r="J623">
        <v>-2</v>
      </c>
      <c r="K623">
        <v>14</v>
      </c>
      <c r="L623" t="s">
        <v>54</v>
      </c>
      <c r="M623">
        <v>30.8</v>
      </c>
      <c r="N623">
        <v>92</v>
      </c>
      <c r="O623">
        <v>29</v>
      </c>
      <c r="P623">
        <v>0.6</v>
      </c>
      <c r="Q623" t="s">
        <v>31</v>
      </c>
      <c r="R623">
        <v>0</v>
      </c>
      <c r="S623">
        <v>18</v>
      </c>
      <c r="T623">
        <v>0</v>
      </c>
      <c r="U623">
        <v>0</v>
      </c>
      <c r="V623">
        <v>5</v>
      </c>
      <c r="W623" t="s">
        <v>32</v>
      </c>
      <c r="X623">
        <v>1</v>
      </c>
      <c r="Y623" t="str">
        <f t="shared" si="9"/>
        <v>Low</v>
      </c>
    </row>
    <row r="624" spans="1:25">
      <c r="A624" t="s">
        <v>737</v>
      </c>
      <c r="B624" s="1">
        <v>44933</v>
      </c>
      <c r="C624" s="2">
        <v>0.6875</v>
      </c>
      <c r="D624" t="s">
        <v>26</v>
      </c>
      <c r="E624" t="s">
        <v>130</v>
      </c>
      <c r="F624" t="s">
        <v>107</v>
      </c>
      <c r="G624" t="s">
        <v>107</v>
      </c>
      <c r="H624" s="2">
        <v>0.68958333333333333</v>
      </c>
      <c r="I624" s="2">
        <v>0.70833333333333337</v>
      </c>
      <c r="J624">
        <v>9</v>
      </c>
      <c r="K624">
        <v>16</v>
      </c>
      <c r="L624" t="s">
        <v>84</v>
      </c>
      <c r="M624">
        <v>7.4</v>
      </c>
      <c r="N624">
        <v>90</v>
      </c>
      <c r="O624">
        <v>1</v>
      </c>
      <c r="P624">
        <v>5.6</v>
      </c>
      <c r="Q624" t="s">
        <v>71</v>
      </c>
      <c r="R624">
        <v>0</v>
      </c>
      <c r="S624">
        <v>56</v>
      </c>
      <c r="T624">
        <v>0</v>
      </c>
      <c r="U624">
        <v>0</v>
      </c>
      <c r="V624">
        <v>5</v>
      </c>
      <c r="W624" t="s">
        <v>39</v>
      </c>
      <c r="X624">
        <v>1</v>
      </c>
      <c r="Y624" t="str">
        <f t="shared" si="9"/>
        <v>Medium</v>
      </c>
    </row>
    <row r="625" spans="1:25">
      <c r="A625" t="s">
        <v>738</v>
      </c>
      <c r="B625" s="1">
        <v>44933</v>
      </c>
      <c r="C625" s="2">
        <v>0.69791666666666663</v>
      </c>
      <c r="D625" t="s">
        <v>74</v>
      </c>
      <c r="E625" t="s">
        <v>52</v>
      </c>
      <c r="F625" t="s">
        <v>99</v>
      </c>
      <c r="G625" t="s">
        <v>70</v>
      </c>
      <c r="H625" s="2">
        <v>0.7006944444444444</v>
      </c>
      <c r="I625" s="2">
        <v>0.71805555555555556</v>
      </c>
      <c r="J625">
        <v>17</v>
      </c>
      <c r="K625">
        <v>9</v>
      </c>
      <c r="L625" t="s">
        <v>45</v>
      </c>
      <c r="M625">
        <v>7.5</v>
      </c>
      <c r="N625">
        <v>78</v>
      </c>
      <c r="O625">
        <v>7</v>
      </c>
      <c r="P625">
        <v>10</v>
      </c>
      <c r="Q625" t="s">
        <v>31</v>
      </c>
      <c r="R625">
        <v>50000</v>
      </c>
      <c r="S625">
        <v>18</v>
      </c>
      <c r="T625">
        <v>1</v>
      </c>
      <c r="U625">
        <v>0</v>
      </c>
      <c r="V625">
        <v>5</v>
      </c>
      <c r="W625" t="s">
        <v>72</v>
      </c>
      <c r="X625">
        <v>1</v>
      </c>
      <c r="Y625" t="str">
        <f t="shared" si="9"/>
        <v>Low</v>
      </c>
    </row>
    <row r="626" spans="1:25">
      <c r="A626" t="s">
        <v>739</v>
      </c>
      <c r="B626" s="1">
        <v>44933</v>
      </c>
      <c r="C626" s="2">
        <v>0.70833333333333337</v>
      </c>
      <c r="D626" t="s">
        <v>41</v>
      </c>
      <c r="E626" t="s">
        <v>111</v>
      </c>
      <c r="F626" t="s">
        <v>75</v>
      </c>
      <c r="G626" t="s">
        <v>69</v>
      </c>
      <c r="H626" s="2">
        <v>0.70902777777777781</v>
      </c>
      <c r="I626" s="2">
        <v>0.73333333333333328</v>
      </c>
      <c r="J626">
        <v>18</v>
      </c>
      <c r="K626">
        <v>-3</v>
      </c>
      <c r="L626" t="s">
        <v>38</v>
      </c>
      <c r="M626">
        <v>4.0999999999999996</v>
      </c>
      <c r="N626">
        <v>76</v>
      </c>
      <c r="O626">
        <v>13</v>
      </c>
      <c r="P626">
        <v>11.7</v>
      </c>
      <c r="Q626" t="s">
        <v>31</v>
      </c>
      <c r="R626">
        <v>50000</v>
      </c>
      <c r="S626">
        <v>90</v>
      </c>
      <c r="T626">
        <v>0</v>
      </c>
      <c r="U626">
        <v>1</v>
      </c>
      <c r="V626">
        <v>5</v>
      </c>
      <c r="W626" t="s">
        <v>55</v>
      </c>
      <c r="X626">
        <v>0</v>
      </c>
      <c r="Y626" t="str">
        <f t="shared" si="9"/>
        <v>High</v>
      </c>
    </row>
    <row r="627" spans="1:25">
      <c r="A627" t="s">
        <v>740</v>
      </c>
      <c r="B627" s="1">
        <v>44933</v>
      </c>
      <c r="C627" s="2">
        <v>0.71875</v>
      </c>
      <c r="D627" t="s">
        <v>74</v>
      </c>
      <c r="E627" t="s">
        <v>111</v>
      </c>
      <c r="F627" t="s">
        <v>197</v>
      </c>
      <c r="G627" t="s">
        <v>185</v>
      </c>
      <c r="H627" s="2">
        <v>0.72152777777777777</v>
      </c>
      <c r="I627" s="2">
        <v>0.75694444444444442</v>
      </c>
      <c r="J627">
        <v>12</v>
      </c>
      <c r="K627">
        <v>0</v>
      </c>
      <c r="L627" t="s">
        <v>54</v>
      </c>
      <c r="M627">
        <v>7.7</v>
      </c>
      <c r="N627">
        <v>68</v>
      </c>
      <c r="O627">
        <v>36</v>
      </c>
      <c r="P627">
        <v>12.6</v>
      </c>
      <c r="Q627" t="s">
        <v>31</v>
      </c>
      <c r="R627">
        <v>10000</v>
      </c>
      <c r="S627">
        <v>41</v>
      </c>
      <c r="T627">
        <v>0</v>
      </c>
      <c r="U627">
        <v>1</v>
      </c>
      <c r="V627">
        <v>5</v>
      </c>
      <c r="W627" t="s">
        <v>39</v>
      </c>
      <c r="X627">
        <v>0</v>
      </c>
      <c r="Y627" t="str">
        <f t="shared" si="9"/>
        <v>Medium</v>
      </c>
    </row>
    <row r="628" spans="1:25">
      <c r="A628" t="s">
        <v>741</v>
      </c>
      <c r="B628" s="1">
        <v>44933</v>
      </c>
      <c r="C628" s="2">
        <v>0.72916666666666663</v>
      </c>
      <c r="D628" t="s">
        <v>41</v>
      </c>
      <c r="E628" t="s">
        <v>98</v>
      </c>
      <c r="F628" t="s">
        <v>62</v>
      </c>
      <c r="G628" t="s">
        <v>87</v>
      </c>
      <c r="H628" s="2">
        <v>0.72916666666666663</v>
      </c>
      <c r="I628" s="2">
        <v>0.76041666666666663</v>
      </c>
      <c r="J628">
        <v>1</v>
      </c>
      <c r="K628">
        <v>20</v>
      </c>
      <c r="L628" t="s">
        <v>30</v>
      </c>
      <c r="M628">
        <v>3.5</v>
      </c>
      <c r="N628">
        <v>35</v>
      </c>
      <c r="O628">
        <v>34</v>
      </c>
      <c r="P628">
        <v>14.3</v>
      </c>
      <c r="Q628" t="s">
        <v>31</v>
      </c>
      <c r="R628">
        <v>50000</v>
      </c>
      <c r="S628">
        <v>91</v>
      </c>
      <c r="T628">
        <v>0</v>
      </c>
      <c r="U628">
        <v>0</v>
      </c>
      <c r="V628">
        <v>5</v>
      </c>
      <c r="W628" t="s">
        <v>39</v>
      </c>
      <c r="X628">
        <v>1</v>
      </c>
      <c r="Y628" t="str">
        <f t="shared" si="9"/>
        <v>High</v>
      </c>
    </row>
    <row r="629" spans="1:25">
      <c r="A629" t="s">
        <v>742</v>
      </c>
      <c r="B629" s="1">
        <v>44933</v>
      </c>
      <c r="C629" s="2">
        <v>0.73958333333333337</v>
      </c>
      <c r="D629" t="s">
        <v>74</v>
      </c>
      <c r="E629" t="s">
        <v>141</v>
      </c>
      <c r="F629" t="s">
        <v>70</v>
      </c>
      <c r="G629" t="s">
        <v>176</v>
      </c>
      <c r="H629" s="2">
        <v>0.74027777777777781</v>
      </c>
      <c r="I629" s="2">
        <v>0.76736111111111116</v>
      </c>
      <c r="J629">
        <v>4</v>
      </c>
      <c r="K629">
        <v>-2</v>
      </c>
      <c r="L629" t="s">
        <v>54</v>
      </c>
      <c r="M629">
        <v>31.2</v>
      </c>
      <c r="N629">
        <v>82</v>
      </c>
      <c r="O629">
        <v>41</v>
      </c>
      <c r="P629">
        <v>13.1</v>
      </c>
      <c r="Q629" t="s">
        <v>63</v>
      </c>
      <c r="R629">
        <v>500</v>
      </c>
      <c r="S629">
        <v>4</v>
      </c>
      <c r="T629">
        <v>0</v>
      </c>
      <c r="U629">
        <v>1</v>
      </c>
      <c r="V629">
        <v>5</v>
      </c>
      <c r="W629" t="s">
        <v>32</v>
      </c>
      <c r="X629">
        <v>0</v>
      </c>
      <c r="Y629" t="str">
        <f t="shared" si="9"/>
        <v>Low</v>
      </c>
    </row>
    <row r="630" spans="1:25">
      <c r="A630" t="s">
        <v>743</v>
      </c>
      <c r="B630" s="1">
        <v>44933</v>
      </c>
      <c r="C630" s="2">
        <v>0.75</v>
      </c>
      <c r="D630" t="s">
        <v>26</v>
      </c>
      <c r="E630" t="s">
        <v>111</v>
      </c>
      <c r="F630" t="s">
        <v>86</v>
      </c>
      <c r="G630" t="s">
        <v>49</v>
      </c>
      <c r="H630" s="2">
        <v>0.75138888888888888</v>
      </c>
      <c r="I630" s="2">
        <v>0.77222222222222225</v>
      </c>
      <c r="J630">
        <v>13</v>
      </c>
      <c r="K630">
        <v>24</v>
      </c>
      <c r="L630" t="s">
        <v>77</v>
      </c>
      <c r="M630">
        <v>31</v>
      </c>
      <c r="N630">
        <v>54</v>
      </c>
      <c r="O630">
        <v>38</v>
      </c>
      <c r="P630">
        <v>17</v>
      </c>
      <c r="Q630" t="s">
        <v>31</v>
      </c>
      <c r="R630">
        <v>0</v>
      </c>
      <c r="S630">
        <v>47</v>
      </c>
      <c r="T630">
        <v>0</v>
      </c>
      <c r="U630">
        <v>0</v>
      </c>
      <c r="V630">
        <v>5</v>
      </c>
      <c r="W630" t="s">
        <v>55</v>
      </c>
      <c r="X630">
        <v>1</v>
      </c>
      <c r="Y630" t="str">
        <f t="shared" si="9"/>
        <v>Medium</v>
      </c>
    </row>
    <row r="631" spans="1:25">
      <c r="A631" t="s">
        <v>744</v>
      </c>
      <c r="B631" s="1">
        <v>44933</v>
      </c>
      <c r="C631" s="2">
        <v>0.76041666666666663</v>
      </c>
      <c r="D631" t="s">
        <v>26</v>
      </c>
      <c r="E631" t="s">
        <v>89</v>
      </c>
      <c r="F631" t="s">
        <v>194</v>
      </c>
      <c r="G631" t="s">
        <v>87</v>
      </c>
      <c r="H631" s="2">
        <v>0.76249999999999996</v>
      </c>
      <c r="I631" s="2">
        <v>0.77986111111111112</v>
      </c>
      <c r="J631">
        <v>0</v>
      </c>
      <c r="K631">
        <v>22</v>
      </c>
      <c r="L631" t="s">
        <v>30</v>
      </c>
      <c r="M631">
        <v>-0.9</v>
      </c>
      <c r="N631">
        <v>94</v>
      </c>
      <c r="O631">
        <v>10</v>
      </c>
      <c r="P631">
        <v>5.9</v>
      </c>
      <c r="Q631" t="s">
        <v>71</v>
      </c>
      <c r="R631">
        <v>2000</v>
      </c>
      <c r="S631">
        <v>24</v>
      </c>
      <c r="T631">
        <v>0</v>
      </c>
      <c r="U631">
        <v>0</v>
      </c>
      <c r="V631">
        <v>5</v>
      </c>
      <c r="W631" t="s">
        <v>72</v>
      </c>
      <c r="X631">
        <v>1</v>
      </c>
      <c r="Y631" t="str">
        <f t="shared" si="9"/>
        <v>Low</v>
      </c>
    </row>
    <row r="632" spans="1:25">
      <c r="A632" t="s">
        <v>745</v>
      </c>
      <c r="B632" s="1">
        <v>44933</v>
      </c>
      <c r="C632" s="2">
        <v>0.77083333333333337</v>
      </c>
      <c r="D632" t="s">
        <v>41</v>
      </c>
      <c r="E632" t="s">
        <v>130</v>
      </c>
      <c r="F632" t="s">
        <v>142</v>
      </c>
      <c r="G632" t="s">
        <v>185</v>
      </c>
      <c r="H632" s="2">
        <v>0.7729166666666667</v>
      </c>
      <c r="I632" s="2">
        <v>0.79166666666666663</v>
      </c>
      <c r="J632">
        <v>4</v>
      </c>
      <c r="K632">
        <v>19</v>
      </c>
      <c r="L632" t="s">
        <v>77</v>
      </c>
      <c r="M632">
        <v>0.7</v>
      </c>
      <c r="N632">
        <v>34</v>
      </c>
      <c r="O632">
        <v>14</v>
      </c>
      <c r="P632">
        <v>12.8</v>
      </c>
      <c r="Q632" t="s">
        <v>31</v>
      </c>
      <c r="R632">
        <v>0</v>
      </c>
      <c r="S632">
        <v>66</v>
      </c>
      <c r="T632">
        <v>0</v>
      </c>
      <c r="U632">
        <v>0</v>
      </c>
      <c r="V632">
        <v>5</v>
      </c>
      <c r="W632" t="s">
        <v>72</v>
      </c>
      <c r="X632">
        <v>1</v>
      </c>
      <c r="Y632" t="str">
        <f t="shared" si="9"/>
        <v>Medium</v>
      </c>
    </row>
    <row r="633" spans="1:25">
      <c r="A633" t="s">
        <v>746</v>
      </c>
      <c r="B633" s="1">
        <v>44933</v>
      </c>
      <c r="C633" s="2">
        <v>0.78125</v>
      </c>
      <c r="D633" t="s">
        <v>34</v>
      </c>
      <c r="E633" t="s">
        <v>52</v>
      </c>
      <c r="F633" t="s">
        <v>91</v>
      </c>
      <c r="G633" t="s">
        <v>90</v>
      </c>
      <c r="H633" s="2">
        <v>0.78263888888888888</v>
      </c>
      <c r="I633" s="2">
        <v>0.80208333333333337</v>
      </c>
      <c r="J633">
        <v>19</v>
      </c>
      <c r="K633">
        <v>11</v>
      </c>
      <c r="L633" t="s">
        <v>54</v>
      </c>
      <c r="M633">
        <v>29.5</v>
      </c>
      <c r="N633">
        <v>94</v>
      </c>
      <c r="O633">
        <v>1</v>
      </c>
      <c r="P633">
        <v>1</v>
      </c>
      <c r="Q633" t="s">
        <v>31</v>
      </c>
      <c r="R633">
        <v>0</v>
      </c>
      <c r="S633">
        <v>25</v>
      </c>
      <c r="T633">
        <v>0</v>
      </c>
      <c r="U633">
        <v>0</v>
      </c>
      <c r="V633">
        <v>5</v>
      </c>
      <c r="W633" t="s">
        <v>55</v>
      </c>
      <c r="X633">
        <v>1</v>
      </c>
      <c r="Y633" t="str">
        <f t="shared" si="9"/>
        <v>Low</v>
      </c>
    </row>
    <row r="634" spans="1:25">
      <c r="A634" t="s">
        <v>747</v>
      </c>
      <c r="B634" s="1">
        <v>44933</v>
      </c>
      <c r="C634" s="2">
        <v>0.79166666666666663</v>
      </c>
      <c r="D634" t="s">
        <v>41</v>
      </c>
      <c r="E634" t="s">
        <v>42</v>
      </c>
      <c r="F634" t="s">
        <v>83</v>
      </c>
      <c r="G634" t="s">
        <v>107</v>
      </c>
      <c r="H634" s="2">
        <v>0.79166666666666663</v>
      </c>
      <c r="I634" s="2">
        <v>0.80902777777777779</v>
      </c>
      <c r="J634">
        <v>3</v>
      </c>
      <c r="K634">
        <v>23</v>
      </c>
      <c r="L634" t="s">
        <v>77</v>
      </c>
      <c r="M634">
        <v>11</v>
      </c>
      <c r="N634">
        <v>37</v>
      </c>
      <c r="O634">
        <v>36</v>
      </c>
      <c r="P634">
        <v>9.6</v>
      </c>
      <c r="Q634" t="s">
        <v>46</v>
      </c>
      <c r="R634">
        <v>0</v>
      </c>
      <c r="S634">
        <v>73</v>
      </c>
      <c r="T634">
        <v>0</v>
      </c>
      <c r="U634">
        <v>0</v>
      </c>
      <c r="V634">
        <v>5</v>
      </c>
      <c r="W634" t="s">
        <v>72</v>
      </c>
      <c r="X634">
        <v>1</v>
      </c>
      <c r="Y634" t="str">
        <f t="shared" si="9"/>
        <v>High</v>
      </c>
    </row>
    <row r="635" spans="1:25">
      <c r="A635" t="s">
        <v>748</v>
      </c>
      <c r="B635" s="1">
        <v>44933</v>
      </c>
      <c r="C635" s="2">
        <v>0.80208333333333337</v>
      </c>
      <c r="D635" t="s">
        <v>41</v>
      </c>
      <c r="E635" t="s">
        <v>141</v>
      </c>
      <c r="F635" t="s">
        <v>203</v>
      </c>
      <c r="G635" t="s">
        <v>163</v>
      </c>
      <c r="H635" s="2">
        <v>0.80347222222222225</v>
      </c>
      <c r="I635" s="2">
        <v>0.81597222222222221</v>
      </c>
      <c r="J635">
        <v>13</v>
      </c>
      <c r="K635">
        <v>2</v>
      </c>
      <c r="L635" t="s">
        <v>30</v>
      </c>
      <c r="M635">
        <v>1.8</v>
      </c>
      <c r="N635">
        <v>68</v>
      </c>
      <c r="O635">
        <v>42</v>
      </c>
      <c r="P635">
        <v>5.4</v>
      </c>
      <c r="Q635" t="s">
        <v>31</v>
      </c>
      <c r="R635">
        <v>0</v>
      </c>
      <c r="S635">
        <v>87</v>
      </c>
      <c r="T635">
        <v>0</v>
      </c>
      <c r="U635">
        <v>1</v>
      </c>
      <c r="V635">
        <v>5</v>
      </c>
      <c r="W635" t="s">
        <v>55</v>
      </c>
      <c r="X635">
        <v>0</v>
      </c>
      <c r="Y635" t="str">
        <f t="shared" si="9"/>
        <v>High</v>
      </c>
    </row>
    <row r="636" spans="1:25">
      <c r="A636" t="s">
        <v>749</v>
      </c>
      <c r="B636" s="1">
        <v>44933</v>
      </c>
      <c r="C636" s="2">
        <v>0.8125</v>
      </c>
      <c r="D636" t="s">
        <v>74</v>
      </c>
      <c r="E636" t="s">
        <v>68</v>
      </c>
      <c r="F636" t="s">
        <v>113</v>
      </c>
      <c r="G636" t="s">
        <v>163</v>
      </c>
      <c r="H636" s="2">
        <v>0.8125</v>
      </c>
      <c r="I636" s="2">
        <v>0.82986111111111116</v>
      </c>
      <c r="J636">
        <v>5</v>
      </c>
      <c r="K636">
        <v>6</v>
      </c>
      <c r="L636" t="s">
        <v>45</v>
      </c>
      <c r="M636">
        <v>15.4</v>
      </c>
      <c r="N636">
        <v>72</v>
      </c>
      <c r="O636">
        <v>31</v>
      </c>
      <c r="P636">
        <v>7.6</v>
      </c>
      <c r="Q636" t="s">
        <v>46</v>
      </c>
      <c r="R636">
        <v>500</v>
      </c>
      <c r="S636">
        <v>61</v>
      </c>
      <c r="T636">
        <v>0</v>
      </c>
      <c r="U636">
        <v>1</v>
      </c>
      <c r="V636">
        <v>5</v>
      </c>
      <c r="W636" t="s">
        <v>32</v>
      </c>
      <c r="X636">
        <v>1</v>
      </c>
      <c r="Y636" t="str">
        <f t="shared" si="9"/>
        <v>Medium</v>
      </c>
    </row>
    <row r="637" spans="1:25">
      <c r="A637" t="s">
        <v>750</v>
      </c>
      <c r="B637" s="1">
        <v>44933</v>
      </c>
      <c r="C637" s="2">
        <v>0.82291666666666663</v>
      </c>
      <c r="D637" t="s">
        <v>74</v>
      </c>
      <c r="E637" t="s">
        <v>35</v>
      </c>
      <c r="F637" t="s">
        <v>50</v>
      </c>
      <c r="G637" t="s">
        <v>62</v>
      </c>
      <c r="H637" s="2">
        <v>0.82361111111111107</v>
      </c>
      <c r="I637" s="2">
        <v>0.84513888888888888</v>
      </c>
      <c r="J637">
        <v>19</v>
      </c>
      <c r="K637">
        <v>26</v>
      </c>
      <c r="L637" t="s">
        <v>54</v>
      </c>
      <c r="M637">
        <v>11.7</v>
      </c>
      <c r="N637">
        <v>34</v>
      </c>
      <c r="O637">
        <v>39</v>
      </c>
      <c r="P637">
        <v>7.1</v>
      </c>
      <c r="Q637" t="s">
        <v>31</v>
      </c>
      <c r="R637">
        <v>0</v>
      </c>
      <c r="S637">
        <v>92</v>
      </c>
      <c r="T637">
        <v>0</v>
      </c>
      <c r="U637">
        <v>0</v>
      </c>
      <c r="V637">
        <v>5</v>
      </c>
      <c r="W637" t="s">
        <v>72</v>
      </c>
      <c r="X637">
        <v>1</v>
      </c>
      <c r="Y637" t="str">
        <f t="shared" si="9"/>
        <v>High</v>
      </c>
    </row>
    <row r="638" spans="1:25">
      <c r="A638" t="s">
        <v>751</v>
      </c>
      <c r="B638" s="1">
        <v>44933</v>
      </c>
      <c r="C638" s="2">
        <v>0.83333333333333337</v>
      </c>
      <c r="D638" t="s">
        <v>41</v>
      </c>
      <c r="E638" t="s">
        <v>61</v>
      </c>
      <c r="F638" t="s">
        <v>203</v>
      </c>
      <c r="G638" t="s">
        <v>96</v>
      </c>
      <c r="H638" s="2">
        <v>0.83472222222222225</v>
      </c>
      <c r="I638" s="2">
        <v>0.8618055555555556</v>
      </c>
      <c r="J638">
        <v>3</v>
      </c>
      <c r="K638">
        <v>25</v>
      </c>
      <c r="L638" t="s">
        <v>54</v>
      </c>
      <c r="M638">
        <v>3.8</v>
      </c>
      <c r="N638">
        <v>33</v>
      </c>
      <c r="O638">
        <v>12</v>
      </c>
      <c r="P638">
        <v>1.2</v>
      </c>
      <c r="Q638" t="s">
        <v>31</v>
      </c>
      <c r="R638">
        <v>0</v>
      </c>
      <c r="S638">
        <v>6</v>
      </c>
      <c r="T638">
        <v>0</v>
      </c>
      <c r="U638">
        <v>0</v>
      </c>
      <c r="V638">
        <v>5</v>
      </c>
      <c r="W638" t="s">
        <v>72</v>
      </c>
      <c r="X638">
        <v>1</v>
      </c>
      <c r="Y638" t="str">
        <f t="shared" si="9"/>
        <v>Low</v>
      </c>
    </row>
    <row r="639" spans="1:25">
      <c r="A639" t="s">
        <v>752</v>
      </c>
      <c r="B639" s="1">
        <v>44933</v>
      </c>
      <c r="C639" s="2">
        <v>0.84375</v>
      </c>
      <c r="D639" t="s">
        <v>26</v>
      </c>
      <c r="E639" t="s">
        <v>141</v>
      </c>
      <c r="F639" t="s">
        <v>86</v>
      </c>
      <c r="G639" t="s">
        <v>197</v>
      </c>
      <c r="H639" s="2">
        <v>0.84375</v>
      </c>
      <c r="I639" s="2">
        <v>0.87847222222222221</v>
      </c>
      <c r="J639">
        <v>7</v>
      </c>
      <c r="K639">
        <v>0</v>
      </c>
      <c r="L639" t="s">
        <v>84</v>
      </c>
      <c r="M639">
        <v>23.8</v>
      </c>
      <c r="N639">
        <v>30</v>
      </c>
      <c r="O639">
        <v>42</v>
      </c>
      <c r="P639">
        <v>9.3000000000000007</v>
      </c>
      <c r="Q639" t="s">
        <v>46</v>
      </c>
      <c r="R639">
        <v>500</v>
      </c>
      <c r="S639">
        <v>43</v>
      </c>
      <c r="T639">
        <v>0</v>
      </c>
      <c r="U639">
        <v>0</v>
      </c>
      <c r="V639">
        <v>5</v>
      </c>
      <c r="W639" t="s">
        <v>55</v>
      </c>
      <c r="X639">
        <v>0</v>
      </c>
      <c r="Y639" t="str">
        <f t="shared" si="9"/>
        <v>Medium</v>
      </c>
    </row>
    <row r="640" spans="1:25">
      <c r="A640" t="s">
        <v>753</v>
      </c>
      <c r="B640" s="1">
        <v>44933</v>
      </c>
      <c r="C640" s="2">
        <v>0.85416666666666663</v>
      </c>
      <c r="D640" t="s">
        <v>74</v>
      </c>
      <c r="E640" t="s">
        <v>42</v>
      </c>
      <c r="F640" t="s">
        <v>144</v>
      </c>
      <c r="G640" t="s">
        <v>99</v>
      </c>
      <c r="H640" s="2">
        <v>0.85486111111111107</v>
      </c>
      <c r="I640" s="2">
        <v>0.88263888888888886</v>
      </c>
      <c r="J640">
        <v>13</v>
      </c>
      <c r="K640">
        <v>1</v>
      </c>
      <c r="L640" t="s">
        <v>54</v>
      </c>
      <c r="M640">
        <v>20.3</v>
      </c>
      <c r="N640">
        <v>85</v>
      </c>
      <c r="O640">
        <v>16</v>
      </c>
      <c r="P640">
        <v>19.899999999999999</v>
      </c>
      <c r="Q640" t="s">
        <v>31</v>
      </c>
      <c r="R640">
        <v>2000</v>
      </c>
      <c r="S640">
        <v>86</v>
      </c>
      <c r="T640">
        <v>0</v>
      </c>
      <c r="U640">
        <v>0</v>
      </c>
      <c r="V640">
        <v>5</v>
      </c>
      <c r="W640" t="s">
        <v>72</v>
      </c>
      <c r="X640">
        <v>0</v>
      </c>
      <c r="Y640" t="str">
        <f t="shared" si="9"/>
        <v>High</v>
      </c>
    </row>
    <row r="641" spans="1:25">
      <c r="A641" t="s">
        <v>754</v>
      </c>
      <c r="B641" s="1">
        <v>44933</v>
      </c>
      <c r="C641" s="2">
        <v>0.86458333333333337</v>
      </c>
      <c r="D641" t="s">
        <v>34</v>
      </c>
      <c r="E641" t="s">
        <v>61</v>
      </c>
      <c r="F641" t="s">
        <v>36</v>
      </c>
      <c r="G641" t="s">
        <v>135</v>
      </c>
      <c r="H641" s="2">
        <v>0.86597222222222225</v>
      </c>
      <c r="I641" s="2">
        <v>0.90347222222222223</v>
      </c>
      <c r="J641">
        <v>8</v>
      </c>
      <c r="K641">
        <v>0</v>
      </c>
      <c r="L641" t="s">
        <v>54</v>
      </c>
      <c r="M641">
        <v>-1</v>
      </c>
      <c r="N641">
        <v>74</v>
      </c>
      <c r="O641">
        <v>14</v>
      </c>
      <c r="P641">
        <v>6</v>
      </c>
      <c r="Q641" t="s">
        <v>46</v>
      </c>
      <c r="R641">
        <v>0</v>
      </c>
      <c r="S641">
        <v>26</v>
      </c>
      <c r="T641">
        <v>0</v>
      </c>
      <c r="U641">
        <v>0</v>
      </c>
      <c r="V641">
        <v>5</v>
      </c>
      <c r="W641" t="s">
        <v>39</v>
      </c>
      <c r="X641">
        <v>0</v>
      </c>
      <c r="Y641" t="str">
        <f t="shared" si="9"/>
        <v>Low</v>
      </c>
    </row>
    <row r="642" spans="1:25">
      <c r="A642" t="s">
        <v>755</v>
      </c>
      <c r="B642" s="1">
        <v>44933</v>
      </c>
      <c r="C642" s="2">
        <v>0.875</v>
      </c>
      <c r="D642" t="s">
        <v>74</v>
      </c>
      <c r="E642" t="s">
        <v>27</v>
      </c>
      <c r="F642" t="s">
        <v>135</v>
      </c>
      <c r="G642" t="s">
        <v>163</v>
      </c>
      <c r="H642" s="2">
        <v>0.87708333333333333</v>
      </c>
      <c r="I642" s="2">
        <v>0.90694444444444444</v>
      </c>
      <c r="J642">
        <v>10</v>
      </c>
      <c r="K642">
        <v>12</v>
      </c>
      <c r="L642" t="s">
        <v>45</v>
      </c>
      <c r="M642">
        <v>32</v>
      </c>
      <c r="N642">
        <v>94</v>
      </c>
      <c r="O642">
        <v>32</v>
      </c>
      <c r="P642">
        <v>14.7</v>
      </c>
      <c r="Q642" t="s">
        <v>31</v>
      </c>
      <c r="R642">
        <v>0</v>
      </c>
      <c r="S642">
        <v>41</v>
      </c>
      <c r="T642">
        <v>0</v>
      </c>
      <c r="U642">
        <v>0</v>
      </c>
      <c r="V642">
        <v>5</v>
      </c>
      <c r="W642" t="s">
        <v>32</v>
      </c>
      <c r="X642">
        <v>1</v>
      </c>
      <c r="Y642" t="str">
        <f t="shared" ref="Y642:Y705" si="10">IF(S642&lt;=33,"Low",IF(S642&lt;=66,"Medium","High"))</f>
        <v>Medium</v>
      </c>
    </row>
    <row r="643" spans="1:25">
      <c r="A643" t="s">
        <v>756</v>
      </c>
      <c r="B643" s="1">
        <v>44933</v>
      </c>
      <c r="C643" s="2">
        <v>0.88541666666666663</v>
      </c>
      <c r="D643" t="s">
        <v>74</v>
      </c>
      <c r="E643" t="s">
        <v>35</v>
      </c>
      <c r="F643" t="s">
        <v>96</v>
      </c>
      <c r="G643" t="s">
        <v>122</v>
      </c>
      <c r="H643" s="2">
        <v>0.88680555555555551</v>
      </c>
      <c r="I643" s="2">
        <v>0.90833333333333333</v>
      </c>
      <c r="J643">
        <v>3</v>
      </c>
      <c r="K643">
        <v>21</v>
      </c>
      <c r="L643" t="s">
        <v>84</v>
      </c>
      <c r="M643">
        <v>17.3</v>
      </c>
      <c r="N643">
        <v>32</v>
      </c>
      <c r="O643">
        <v>50</v>
      </c>
      <c r="P643">
        <v>11</v>
      </c>
      <c r="Q643" t="s">
        <v>46</v>
      </c>
      <c r="R643">
        <v>0</v>
      </c>
      <c r="S643">
        <v>72</v>
      </c>
      <c r="T643">
        <v>1</v>
      </c>
      <c r="U643">
        <v>1</v>
      </c>
      <c r="V643">
        <v>5</v>
      </c>
      <c r="W643" t="s">
        <v>72</v>
      </c>
      <c r="X643">
        <v>1</v>
      </c>
      <c r="Y643" t="str">
        <f t="shared" si="10"/>
        <v>High</v>
      </c>
    </row>
    <row r="644" spans="1:25">
      <c r="A644" t="s">
        <v>757</v>
      </c>
      <c r="B644" s="1">
        <v>44933</v>
      </c>
      <c r="C644" s="2">
        <v>0.89583333333333337</v>
      </c>
      <c r="D644" t="s">
        <v>34</v>
      </c>
      <c r="E644" t="s">
        <v>157</v>
      </c>
      <c r="F644" t="s">
        <v>95</v>
      </c>
      <c r="G644" t="s">
        <v>50</v>
      </c>
      <c r="H644" s="2">
        <v>0.89861111111111114</v>
      </c>
      <c r="I644" s="2">
        <v>0.91249999999999998</v>
      </c>
      <c r="J644">
        <v>-2</v>
      </c>
      <c r="K644">
        <v>10</v>
      </c>
      <c r="L644" t="s">
        <v>38</v>
      </c>
      <c r="M644">
        <v>5</v>
      </c>
      <c r="N644">
        <v>51</v>
      </c>
      <c r="O644">
        <v>15</v>
      </c>
      <c r="P644">
        <v>6.5</v>
      </c>
      <c r="Q644" t="s">
        <v>31</v>
      </c>
      <c r="R644">
        <v>2000</v>
      </c>
      <c r="S644">
        <v>55</v>
      </c>
      <c r="T644">
        <v>0</v>
      </c>
      <c r="U644">
        <v>1</v>
      </c>
      <c r="V644">
        <v>5</v>
      </c>
      <c r="W644" t="s">
        <v>72</v>
      </c>
      <c r="X644">
        <v>1</v>
      </c>
      <c r="Y644" t="str">
        <f t="shared" si="10"/>
        <v>Medium</v>
      </c>
    </row>
    <row r="645" spans="1:25">
      <c r="A645" t="s">
        <v>758</v>
      </c>
      <c r="B645" s="1">
        <v>44933</v>
      </c>
      <c r="C645" s="2">
        <v>0.90625</v>
      </c>
      <c r="D645" t="s">
        <v>41</v>
      </c>
      <c r="E645" t="s">
        <v>27</v>
      </c>
      <c r="F645" t="s">
        <v>116</v>
      </c>
      <c r="G645" t="s">
        <v>49</v>
      </c>
      <c r="H645" s="2">
        <v>0.90763888888888888</v>
      </c>
      <c r="I645" s="2">
        <v>0.94444444444444442</v>
      </c>
      <c r="J645">
        <v>18</v>
      </c>
      <c r="K645">
        <v>7</v>
      </c>
      <c r="L645" t="s">
        <v>77</v>
      </c>
      <c r="M645">
        <v>3.3</v>
      </c>
      <c r="N645">
        <v>85</v>
      </c>
      <c r="O645">
        <v>50</v>
      </c>
      <c r="P645">
        <v>1.8</v>
      </c>
      <c r="Q645" t="s">
        <v>71</v>
      </c>
      <c r="R645">
        <v>500</v>
      </c>
      <c r="S645">
        <v>2</v>
      </c>
      <c r="T645">
        <v>0</v>
      </c>
      <c r="U645">
        <v>0</v>
      </c>
      <c r="V645">
        <v>5</v>
      </c>
      <c r="W645" t="s">
        <v>72</v>
      </c>
      <c r="X645">
        <v>1</v>
      </c>
      <c r="Y645" t="str">
        <f t="shared" si="10"/>
        <v>Low</v>
      </c>
    </row>
    <row r="646" spans="1:25">
      <c r="A646" t="s">
        <v>759</v>
      </c>
      <c r="B646" s="1">
        <v>44933</v>
      </c>
      <c r="C646" s="2">
        <v>0.91666666666666663</v>
      </c>
      <c r="D646" t="s">
        <v>34</v>
      </c>
      <c r="E646" t="s">
        <v>147</v>
      </c>
      <c r="F646" t="s">
        <v>135</v>
      </c>
      <c r="G646" t="s">
        <v>194</v>
      </c>
      <c r="H646" s="2">
        <v>0.9194444444444444</v>
      </c>
      <c r="I646" s="2">
        <v>0.95208333333333328</v>
      </c>
      <c r="J646">
        <v>16</v>
      </c>
      <c r="K646">
        <v>25</v>
      </c>
      <c r="L646" t="s">
        <v>30</v>
      </c>
      <c r="M646">
        <v>0.4</v>
      </c>
      <c r="N646">
        <v>47</v>
      </c>
      <c r="O646">
        <v>12</v>
      </c>
      <c r="P646">
        <v>4.3</v>
      </c>
      <c r="Q646" t="s">
        <v>101</v>
      </c>
      <c r="R646">
        <v>0</v>
      </c>
      <c r="S646">
        <v>12</v>
      </c>
      <c r="T646">
        <v>0</v>
      </c>
      <c r="U646">
        <v>0</v>
      </c>
      <c r="V646">
        <v>5</v>
      </c>
      <c r="W646" t="s">
        <v>55</v>
      </c>
      <c r="X646">
        <v>1</v>
      </c>
      <c r="Y646" t="str">
        <f t="shared" si="10"/>
        <v>Low</v>
      </c>
    </row>
    <row r="647" spans="1:25">
      <c r="A647" t="s">
        <v>760</v>
      </c>
      <c r="B647" s="1">
        <v>44933</v>
      </c>
      <c r="C647" s="2">
        <v>0.92708333333333337</v>
      </c>
      <c r="D647" t="s">
        <v>41</v>
      </c>
      <c r="E647" t="s">
        <v>42</v>
      </c>
      <c r="F647" t="s">
        <v>69</v>
      </c>
      <c r="G647" t="s">
        <v>109</v>
      </c>
      <c r="H647" s="2">
        <v>0.92777777777777781</v>
      </c>
      <c r="I647" s="2">
        <v>0.96388888888888891</v>
      </c>
      <c r="J647">
        <v>9</v>
      </c>
      <c r="K647">
        <v>18</v>
      </c>
      <c r="L647" t="s">
        <v>38</v>
      </c>
      <c r="M647">
        <v>12</v>
      </c>
      <c r="N647">
        <v>54</v>
      </c>
      <c r="O647">
        <v>54</v>
      </c>
      <c r="P647">
        <v>15.6</v>
      </c>
      <c r="Q647" t="s">
        <v>31</v>
      </c>
      <c r="R647">
        <v>50000</v>
      </c>
      <c r="S647">
        <v>69</v>
      </c>
      <c r="T647">
        <v>0</v>
      </c>
      <c r="U647">
        <v>0</v>
      </c>
      <c r="V647">
        <v>5</v>
      </c>
      <c r="W647" t="s">
        <v>32</v>
      </c>
      <c r="X647">
        <v>1</v>
      </c>
      <c r="Y647" t="str">
        <f t="shared" si="10"/>
        <v>High</v>
      </c>
    </row>
    <row r="648" spans="1:25">
      <c r="A648" t="s">
        <v>761</v>
      </c>
      <c r="B648" s="1">
        <v>44933</v>
      </c>
      <c r="C648" s="2">
        <v>0.9375</v>
      </c>
      <c r="D648" t="s">
        <v>41</v>
      </c>
      <c r="E648" t="s">
        <v>68</v>
      </c>
      <c r="F648" t="s">
        <v>29</v>
      </c>
      <c r="G648" t="s">
        <v>49</v>
      </c>
      <c r="H648" s="2">
        <v>0.93888888888888888</v>
      </c>
      <c r="I648" s="2">
        <v>0.9555555555555556</v>
      </c>
      <c r="J648">
        <v>3</v>
      </c>
      <c r="K648">
        <v>10</v>
      </c>
      <c r="L648" t="s">
        <v>84</v>
      </c>
      <c r="M648">
        <v>0.4</v>
      </c>
      <c r="N648">
        <v>77</v>
      </c>
      <c r="O648">
        <v>21</v>
      </c>
      <c r="P648">
        <v>5.6</v>
      </c>
      <c r="Q648" t="s">
        <v>31</v>
      </c>
      <c r="R648">
        <v>0</v>
      </c>
      <c r="S648">
        <v>58</v>
      </c>
      <c r="T648">
        <v>1</v>
      </c>
      <c r="U648">
        <v>0</v>
      </c>
      <c r="V648">
        <v>5</v>
      </c>
      <c r="W648" t="s">
        <v>32</v>
      </c>
      <c r="X648">
        <v>1</v>
      </c>
      <c r="Y648" t="str">
        <f t="shared" si="10"/>
        <v>Medium</v>
      </c>
    </row>
    <row r="649" spans="1:25">
      <c r="A649" t="s">
        <v>762</v>
      </c>
      <c r="B649" s="1">
        <v>44933</v>
      </c>
      <c r="C649" s="2">
        <v>0.94791666666666663</v>
      </c>
      <c r="D649" t="s">
        <v>41</v>
      </c>
      <c r="E649" t="s">
        <v>111</v>
      </c>
      <c r="F649" t="s">
        <v>144</v>
      </c>
      <c r="G649" t="s">
        <v>75</v>
      </c>
      <c r="H649" s="2">
        <v>0.94861111111111107</v>
      </c>
      <c r="I649" s="2">
        <v>0.96805555555555556</v>
      </c>
      <c r="J649">
        <v>15</v>
      </c>
      <c r="K649">
        <v>20</v>
      </c>
      <c r="L649" t="s">
        <v>45</v>
      </c>
      <c r="M649">
        <v>11.6</v>
      </c>
      <c r="N649">
        <v>60</v>
      </c>
      <c r="O649">
        <v>22</v>
      </c>
      <c r="P649">
        <v>2.9</v>
      </c>
      <c r="Q649" t="s">
        <v>101</v>
      </c>
      <c r="R649">
        <v>0</v>
      </c>
      <c r="S649">
        <v>37</v>
      </c>
      <c r="T649">
        <v>0</v>
      </c>
      <c r="U649">
        <v>0</v>
      </c>
      <c r="V649">
        <v>5</v>
      </c>
      <c r="W649" t="s">
        <v>72</v>
      </c>
      <c r="X649">
        <v>1</v>
      </c>
      <c r="Y649" t="str">
        <f t="shared" si="10"/>
        <v>Medium</v>
      </c>
    </row>
    <row r="650" spans="1:25">
      <c r="A650" t="s">
        <v>763</v>
      </c>
      <c r="B650" s="1">
        <v>44933</v>
      </c>
      <c r="C650" s="2">
        <v>0.95833333333333337</v>
      </c>
      <c r="D650" t="s">
        <v>34</v>
      </c>
      <c r="E650" t="s">
        <v>79</v>
      </c>
      <c r="F650" t="s">
        <v>95</v>
      </c>
      <c r="G650" t="s">
        <v>49</v>
      </c>
      <c r="H650" s="2">
        <v>0.95902777777777781</v>
      </c>
      <c r="I650" s="2">
        <v>0.98333333333333328</v>
      </c>
      <c r="J650">
        <v>10</v>
      </c>
      <c r="K650">
        <v>22</v>
      </c>
      <c r="L650" t="s">
        <v>30</v>
      </c>
      <c r="M650">
        <v>1</v>
      </c>
      <c r="N650">
        <v>59</v>
      </c>
      <c r="O650">
        <v>35</v>
      </c>
      <c r="P650">
        <v>6.6</v>
      </c>
      <c r="Q650" t="s">
        <v>31</v>
      </c>
      <c r="R650">
        <v>0</v>
      </c>
      <c r="S650">
        <v>84</v>
      </c>
      <c r="T650">
        <v>0</v>
      </c>
      <c r="U650">
        <v>0</v>
      </c>
      <c r="V650">
        <v>5</v>
      </c>
      <c r="W650" t="s">
        <v>72</v>
      </c>
      <c r="X650">
        <v>1</v>
      </c>
      <c r="Y650" t="str">
        <f t="shared" si="10"/>
        <v>High</v>
      </c>
    </row>
    <row r="651" spans="1:25">
      <c r="A651" t="s">
        <v>764</v>
      </c>
      <c r="B651" s="1">
        <v>44933</v>
      </c>
      <c r="C651" s="2">
        <v>0.96875</v>
      </c>
      <c r="D651" t="s">
        <v>41</v>
      </c>
      <c r="E651" t="s">
        <v>35</v>
      </c>
      <c r="F651" t="s">
        <v>105</v>
      </c>
      <c r="G651" t="s">
        <v>168</v>
      </c>
      <c r="H651" s="2">
        <v>0.96875</v>
      </c>
      <c r="I651" s="2">
        <v>2.7777777777777779E-3</v>
      </c>
      <c r="J651">
        <v>4</v>
      </c>
      <c r="K651">
        <v>12</v>
      </c>
      <c r="L651" t="s">
        <v>77</v>
      </c>
      <c r="M651">
        <v>21.3</v>
      </c>
      <c r="N651">
        <v>95</v>
      </c>
      <c r="O651">
        <v>42</v>
      </c>
      <c r="P651">
        <v>11.7</v>
      </c>
      <c r="Q651" t="s">
        <v>71</v>
      </c>
      <c r="R651">
        <v>0</v>
      </c>
      <c r="S651">
        <v>82</v>
      </c>
      <c r="T651">
        <v>0</v>
      </c>
      <c r="U651">
        <v>0</v>
      </c>
      <c r="V651">
        <v>5</v>
      </c>
      <c r="W651" t="s">
        <v>55</v>
      </c>
      <c r="X651">
        <v>1</v>
      </c>
      <c r="Y651" t="str">
        <f t="shared" si="10"/>
        <v>High</v>
      </c>
    </row>
    <row r="652" spans="1:25">
      <c r="A652" t="s">
        <v>765</v>
      </c>
      <c r="B652" s="1">
        <v>44933</v>
      </c>
      <c r="C652" s="2">
        <v>0.97916666666666663</v>
      </c>
      <c r="D652" t="s">
        <v>26</v>
      </c>
      <c r="E652" t="s">
        <v>147</v>
      </c>
      <c r="F652" t="s">
        <v>142</v>
      </c>
      <c r="G652" t="s">
        <v>29</v>
      </c>
      <c r="H652" s="2">
        <v>0.97986111111111107</v>
      </c>
      <c r="I652" s="2">
        <v>6.9444444444444441E-3</v>
      </c>
      <c r="J652">
        <v>10</v>
      </c>
      <c r="K652">
        <v>28</v>
      </c>
      <c r="L652" t="s">
        <v>54</v>
      </c>
      <c r="M652">
        <v>26.4</v>
      </c>
      <c r="N652">
        <v>39</v>
      </c>
      <c r="O652">
        <v>49</v>
      </c>
      <c r="P652">
        <v>14.1</v>
      </c>
      <c r="Q652" t="s">
        <v>101</v>
      </c>
      <c r="R652">
        <v>50000</v>
      </c>
      <c r="S652">
        <v>88</v>
      </c>
      <c r="T652">
        <v>0</v>
      </c>
      <c r="U652">
        <v>1</v>
      </c>
      <c r="V652">
        <v>5</v>
      </c>
      <c r="W652" t="s">
        <v>32</v>
      </c>
      <c r="X652">
        <v>1</v>
      </c>
      <c r="Y652" t="str">
        <f t="shared" si="10"/>
        <v>High</v>
      </c>
    </row>
    <row r="653" spans="1:25">
      <c r="A653" t="s">
        <v>766</v>
      </c>
      <c r="B653" s="1">
        <v>44933</v>
      </c>
      <c r="C653" s="2">
        <v>0.98958333333333337</v>
      </c>
      <c r="D653" t="s">
        <v>34</v>
      </c>
      <c r="E653" t="s">
        <v>93</v>
      </c>
      <c r="F653" t="s">
        <v>95</v>
      </c>
      <c r="G653" t="s">
        <v>29</v>
      </c>
      <c r="H653" s="2">
        <v>0.99027777777777781</v>
      </c>
      <c r="I653" s="2">
        <v>1.1805555555555555E-2</v>
      </c>
      <c r="J653">
        <v>18</v>
      </c>
      <c r="K653">
        <v>2</v>
      </c>
      <c r="L653" t="s">
        <v>54</v>
      </c>
      <c r="M653">
        <v>17</v>
      </c>
      <c r="N653">
        <v>88</v>
      </c>
      <c r="O653">
        <v>49</v>
      </c>
      <c r="P653">
        <v>7.7</v>
      </c>
      <c r="Q653" t="s">
        <v>71</v>
      </c>
      <c r="R653">
        <v>0</v>
      </c>
      <c r="S653">
        <v>67</v>
      </c>
      <c r="T653">
        <v>0</v>
      </c>
      <c r="U653">
        <v>0</v>
      </c>
      <c r="V653">
        <v>5</v>
      </c>
      <c r="W653" t="s">
        <v>39</v>
      </c>
      <c r="X653">
        <v>0</v>
      </c>
      <c r="Y653" t="str">
        <f t="shared" si="10"/>
        <v>High</v>
      </c>
    </row>
    <row r="654" spans="1:25">
      <c r="A654" t="s">
        <v>767</v>
      </c>
      <c r="B654" s="1">
        <v>44934</v>
      </c>
      <c r="C654" s="2">
        <v>0</v>
      </c>
      <c r="D654" t="s">
        <v>26</v>
      </c>
      <c r="E654" t="s">
        <v>147</v>
      </c>
      <c r="F654" t="s">
        <v>144</v>
      </c>
      <c r="G654" t="s">
        <v>99</v>
      </c>
      <c r="H654" s="2">
        <v>1.3888888888888889E-3</v>
      </c>
      <c r="I654" s="2">
        <v>1.3888888888888888E-2</v>
      </c>
      <c r="J654">
        <v>5</v>
      </c>
      <c r="K654">
        <v>4</v>
      </c>
      <c r="L654" t="s">
        <v>38</v>
      </c>
      <c r="M654">
        <v>22.2</v>
      </c>
      <c r="N654">
        <v>80</v>
      </c>
      <c r="O654">
        <v>9</v>
      </c>
      <c r="P654">
        <v>10</v>
      </c>
      <c r="Q654" t="s">
        <v>31</v>
      </c>
      <c r="R654">
        <v>0</v>
      </c>
      <c r="S654">
        <v>85</v>
      </c>
      <c r="T654">
        <v>0</v>
      </c>
      <c r="U654">
        <v>1</v>
      </c>
      <c r="V654">
        <v>6</v>
      </c>
      <c r="W654" t="s">
        <v>72</v>
      </c>
      <c r="X654">
        <v>0</v>
      </c>
      <c r="Y654" t="str">
        <f t="shared" si="10"/>
        <v>High</v>
      </c>
    </row>
    <row r="655" spans="1:25">
      <c r="A655" t="s">
        <v>768</v>
      </c>
      <c r="B655" s="1">
        <v>44934</v>
      </c>
      <c r="C655" s="2">
        <v>1.0416666666666666E-2</v>
      </c>
      <c r="D655" t="s">
        <v>41</v>
      </c>
      <c r="E655" t="s">
        <v>42</v>
      </c>
      <c r="F655" t="s">
        <v>83</v>
      </c>
      <c r="G655" t="s">
        <v>86</v>
      </c>
      <c r="H655" s="2">
        <v>1.1805555555555555E-2</v>
      </c>
      <c r="I655" s="2">
        <v>2.4305555555555556E-2</v>
      </c>
      <c r="J655">
        <v>18</v>
      </c>
      <c r="K655">
        <v>26</v>
      </c>
      <c r="L655" t="s">
        <v>77</v>
      </c>
      <c r="M655">
        <v>32.5</v>
      </c>
      <c r="N655">
        <v>38</v>
      </c>
      <c r="O655">
        <v>16</v>
      </c>
      <c r="P655">
        <v>9.1</v>
      </c>
      <c r="Q655" t="s">
        <v>31</v>
      </c>
      <c r="R655">
        <v>0</v>
      </c>
      <c r="S655">
        <v>68</v>
      </c>
      <c r="T655">
        <v>0</v>
      </c>
      <c r="U655">
        <v>0</v>
      </c>
      <c r="V655">
        <v>6</v>
      </c>
      <c r="W655" t="s">
        <v>39</v>
      </c>
      <c r="X655">
        <v>1</v>
      </c>
      <c r="Y655" t="str">
        <f t="shared" si="10"/>
        <v>High</v>
      </c>
    </row>
    <row r="656" spans="1:25">
      <c r="A656" t="s">
        <v>769</v>
      </c>
      <c r="B656" s="1">
        <v>44934</v>
      </c>
      <c r="C656" s="2">
        <v>2.0833333333333332E-2</v>
      </c>
      <c r="D656" t="s">
        <v>74</v>
      </c>
      <c r="E656" t="s">
        <v>27</v>
      </c>
      <c r="F656" t="s">
        <v>87</v>
      </c>
      <c r="G656" t="s">
        <v>80</v>
      </c>
      <c r="H656" s="2">
        <v>2.2916666666666665E-2</v>
      </c>
      <c r="I656" s="2">
        <v>5.6944444444444443E-2</v>
      </c>
      <c r="J656">
        <v>14</v>
      </c>
      <c r="K656">
        <v>23</v>
      </c>
      <c r="L656" t="s">
        <v>84</v>
      </c>
      <c r="M656">
        <v>20.5</v>
      </c>
      <c r="N656">
        <v>83</v>
      </c>
      <c r="O656">
        <v>29</v>
      </c>
      <c r="P656">
        <v>0.2</v>
      </c>
      <c r="Q656" t="s">
        <v>31</v>
      </c>
      <c r="R656">
        <v>0</v>
      </c>
      <c r="S656">
        <v>0</v>
      </c>
      <c r="T656">
        <v>0</v>
      </c>
      <c r="U656">
        <v>1</v>
      </c>
      <c r="V656">
        <v>6</v>
      </c>
      <c r="W656" t="s">
        <v>39</v>
      </c>
      <c r="X656">
        <v>1</v>
      </c>
      <c r="Y656" t="str">
        <f t="shared" si="10"/>
        <v>Low</v>
      </c>
    </row>
    <row r="657" spans="1:25">
      <c r="A657" t="s">
        <v>770</v>
      </c>
      <c r="B657" s="1">
        <v>44934</v>
      </c>
      <c r="C657" s="2">
        <v>3.125E-2</v>
      </c>
      <c r="D657" t="s">
        <v>41</v>
      </c>
      <c r="E657" t="s">
        <v>27</v>
      </c>
      <c r="F657" t="s">
        <v>90</v>
      </c>
      <c r="G657" t="s">
        <v>62</v>
      </c>
      <c r="H657" s="2">
        <v>3.125E-2</v>
      </c>
      <c r="I657" s="2">
        <v>7.0833333333333331E-2</v>
      </c>
      <c r="J657">
        <v>6</v>
      </c>
      <c r="K657">
        <v>3</v>
      </c>
      <c r="L657" t="s">
        <v>77</v>
      </c>
      <c r="M657">
        <v>9.6</v>
      </c>
      <c r="N657">
        <v>91</v>
      </c>
      <c r="O657">
        <v>12</v>
      </c>
      <c r="P657">
        <v>7.9</v>
      </c>
      <c r="Q657" t="s">
        <v>31</v>
      </c>
      <c r="R657">
        <v>0</v>
      </c>
      <c r="S657">
        <v>49</v>
      </c>
      <c r="T657">
        <v>0</v>
      </c>
      <c r="U657">
        <v>0</v>
      </c>
      <c r="V657">
        <v>6</v>
      </c>
      <c r="W657" t="s">
        <v>32</v>
      </c>
      <c r="X657">
        <v>0</v>
      </c>
      <c r="Y657" t="str">
        <f t="shared" si="10"/>
        <v>Medium</v>
      </c>
    </row>
    <row r="658" spans="1:25">
      <c r="A658" t="s">
        <v>771</v>
      </c>
      <c r="B658" s="1">
        <v>44934</v>
      </c>
      <c r="C658" s="2">
        <v>4.1666666666666664E-2</v>
      </c>
      <c r="D658" t="s">
        <v>26</v>
      </c>
      <c r="E658" t="s">
        <v>157</v>
      </c>
      <c r="F658" t="s">
        <v>113</v>
      </c>
      <c r="G658" t="s">
        <v>113</v>
      </c>
      <c r="H658" s="2">
        <v>4.2361111111111113E-2</v>
      </c>
      <c r="I658" s="2">
        <v>7.2222222222222215E-2</v>
      </c>
      <c r="J658">
        <v>17</v>
      </c>
      <c r="K658">
        <v>23</v>
      </c>
      <c r="L658" t="s">
        <v>45</v>
      </c>
      <c r="M658">
        <v>13</v>
      </c>
      <c r="N658">
        <v>38</v>
      </c>
      <c r="O658">
        <v>29</v>
      </c>
      <c r="P658">
        <v>11.7</v>
      </c>
      <c r="Q658" t="s">
        <v>31</v>
      </c>
      <c r="R658">
        <v>0</v>
      </c>
      <c r="S658">
        <v>80</v>
      </c>
      <c r="T658">
        <v>0</v>
      </c>
      <c r="U658">
        <v>0</v>
      </c>
      <c r="V658">
        <v>6</v>
      </c>
      <c r="W658" t="s">
        <v>39</v>
      </c>
      <c r="X658">
        <v>1</v>
      </c>
      <c r="Y658" t="str">
        <f t="shared" si="10"/>
        <v>High</v>
      </c>
    </row>
    <row r="659" spans="1:25">
      <c r="A659" t="s">
        <v>772</v>
      </c>
      <c r="B659" s="1">
        <v>44934</v>
      </c>
      <c r="C659" s="2">
        <v>5.2083333333333336E-2</v>
      </c>
      <c r="D659" t="s">
        <v>26</v>
      </c>
      <c r="E659" t="s">
        <v>147</v>
      </c>
      <c r="F659" t="s">
        <v>62</v>
      </c>
      <c r="G659" t="s">
        <v>70</v>
      </c>
      <c r="H659" s="2">
        <v>5.2083333333333336E-2</v>
      </c>
      <c r="I659" s="2">
        <v>8.3333333333333329E-2</v>
      </c>
      <c r="J659">
        <v>10</v>
      </c>
      <c r="K659">
        <v>21</v>
      </c>
      <c r="L659" t="s">
        <v>38</v>
      </c>
      <c r="M659">
        <v>29.4</v>
      </c>
      <c r="N659">
        <v>38</v>
      </c>
      <c r="O659">
        <v>56</v>
      </c>
      <c r="P659">
        <v>11.4</v>
      </c>
      <c r="Q659" t="s">
        <v>46</v>
      </c>
      <c r="R659">
        <v>0</v>
      </c>
      <c r="S659">
        <v>72</v>
      </c>
      <c r="T659">
        <v>0</v>
      </c>
      <c r="U659">
        <v>0</v>
      </c>
      <c r="V659">
        <v>6</v>
      </c>
      <c r="W659" t="s">
        <v>72</v>
      </c>
      <c r="X659">
        <v>1</v>
      </c>
      <c r="Y659" t="str">
        <f t="shared" si="10"/>
        <v>High</v>
      </c>
    </row>
    <row r="660" spans="1:25">
      <c r="A660" t="s">
        <v>773</v>
      </c>
      <c r="B660" s="1">
        <v>44934</v>
      </c>
      <c r="C660" s="2">
        <v>6.25E-2</v>
      </c>
      <c r="D660" t="s">
        <v>34</v>
      </c>
      <c r="E660" t="s">
        <v>48</v>
      </c>
      <c r="F660" t="s">
        <v>95</v>
      </c>
      <c r="G660" t="s">
        <v>50</v>
      </c>
      <c r="H660" s="2">
        <v>6.5277777777777782E-2</v>
      </c>
      <c r="I660" s="2">
        <v>8.4722222222222227E-2</v>
      </c>
      <c r="J660">
        <v>-1</v>
      </c>
      <c r="K660">
        <v>11</v>
      </c>
      <c r="L660" t="s">
        <v>38</v>
      </c>
      <c r="M660">
        <v>0.2</v>
      </c>
      <c r="N660">
        <v>53</v>
      </c>
      <c r="O660">
        <v>45</v>
      </c>
      <c r="P660">
        <v>15</v>
      </c>
      <c r="Q660" t="s">
        <v>31</v>
      </c>
      <c r="R660">
        <v>0</v>
      </c>
      <c r="S660">
        <v>8</v>
      </c>
      <c r="T660">
        <v>0</v>
      </c>
      <c r="U660">
        <v>0</v>
      </c>
      <c r="V660">
        <v>6</v>
      </c>
      <c r="W660" t="s">
        <v>72</v>
      </c>
      <c r="X660">
        <v>1</v>
      </c>
      <c r="Y660" t="str">
        <f t="shared" si="10"/>
        <v>Low</v>
      </c>
    </row>
    <row r="661" spans="1:25">
      <c r="A661" t="s">
        <v>774</v>
      </c>
      <c r="B661" s="1">
        <v>44934</v>
      </c>
      <c r="C661" s="2">
        <v>7.2916666666666671E-2</v>
      </c>
      <c r="D661" t="s">
        <v>74</v>
      </c>
      <c r="E661" t="s">
        <v>27</v>
      </c>
      <c r="F661" t="s">
        <v>197</v>
      </c>
      <c r="G661" t="s">
        <v>28</v>
      </c>
      <c r="H661" s="2">
        <v>7.3611111111111113E-2</v>
      </c>
      <c r="I661" s="2">
        <v>0.10555555555555556</v>
      </c>
      <c r="J661">
        <v>1</v>
      </c>
      <c r="K661">
        <v>21</v>
      </c>
      <c r="L661" t="s">
        <v>45</v>
      </c>
      <c r="M661">
        <v>8</v>
      </c>
      <c r="N661">
        <v>68</v>
      </c>
      <c r="O661">
        <v>29</v>
      </c>
      <c r="P661">
        <v>13.4</v>
      </c>
      <c r="Q661" t="s">
        <v>101</v>
      </c>
      <c r="R661">
        <v>2000</v>
      </c>
      <c r="S661">
        <v>52</v>
      </c>
      <c r="T661">
        <v>0</v>
      </c>
      <c r="U661">
        <v>0</v>
      </c>
      <c r="V661">
        <v>6</v>
      </c>
      <c r="W661" t="s">
        <v>55</v>
      </c>
      <c r="X661">
        <v>1</v>
      </c>
      <c r="Y661" t="str">
        <f t="shared" si="10"/>
        <v>Medium</v>
      </c>
    </row>
    <row r="662" spans="1:25">
      <c r="A662" t="s">
        <v>775</v>
      </c>
      <c r="B662" s="1">
        <v>44934</v>
      </c>
      <c r="C662" s="2">
        <v>8.3333333333333329E-2</v>
      </c>
      <c r="D662" t="s">
        <v>34</v>
      </c>
      <c r="E662" t="s">
        <v>157</v>
      </c>
      <c r="F662" t="s">
        <v>163</v>
      </c>
      <c r="G662" t="s">
        <v>70</v>
      </c>
      <c r="H662" s="2">
        <v>8.3333333333333329E-2</v>
      </c>
      <c r="I662" s="2">
        <v>0.11944444444444445</v>
      </c>
      <c r="J662">
        <v>-1</v>
      </c>
      <c r="K662">
        <v>18</v>
      </c>
      <c r="L662" t="s">
        <v>77</v>
      </c>
      <c r="M662">
        <v>18.100000000000001</v>
      </c>
      <c r="N662">
        <v>37</v>
      </c>
      <c r="O662">
        <v>6</v>
      </c>
      <c r="P662">
        <v>5.5</v>
      </c>
      <c r="Q662" t="s">
        <v>59</v>
      </c>
      <c r="R662">
        <v>500</v>
      </c>
      <c r="S662">
        <v>87</v>
      </c>
      <c r="T662">
        <v>0</v>
      </c>
      <c r="U662">
        <v>1</v>
      </c>
      <c r="V662">
        <v>6</v>
      </c>
      <c r="W662" t="s">
        <v>32</v>
      </c>
      <c r="X662">
        <v>1</v>
      </c>
      <c r="Y662" t="str">
        <f t="shared" si="10"/>
        <v>High</v>
      </c>
    </row>
    <row r="663" spans="1:25">
      <c r="A663" t="s">
        <v>776</v>
      </c>
      <c r="B663" s="1">
        <v>44934</v>
      </c>
      <c r="C663" s="2">
        <v>9.375E-2</v>
      </c>
      <c r="D663" t="s">
        <v>26</v>
      </c>
      <c r="E663" t="s">
        <v>93</v>
      </c>
      <c r="F663" t="s">
        <v>151</v>
      </c>
      <c r="G663" t="s">
        <v>163</v>
      </c>
      <c r="H663" s="2">
        <v>9.583333333333334E-2</v>
      </c>
      <c r="I663" s="2">
        <v>0.13263888888888889</v>
      </c>
      <c r="J663">
        <v>1</v>
      </c>
      <c r="K663">
        <v>14</v>
      </c>
      <c r="L663" t="s">
        <v>45</v>
      </c>
      <c r="M663">
        <v>22.1</v>
      </c>
      <c r="N663">
        <v>54</v>
      </c>
      <c r="O663">
        <v>9</v>
      </c>
      <c r="P663">
        <v>5.0999999999999996</v>
      </c>
      <c r="Q663" t="s">
        <v>101</v>
      </c>
      <c r="R663">
        <v>0</v>
      </c>
      <c r="S663">
        <v>9</v>
      </c>
      <c r="T663">
        <v>0</v>
      </c>
      <c r="U663">
        <v>1</v>
      </c>
      <c r="V663">
        <v>6</v>
      </c>
      <c r="W663" t="s">
        <v>32</v>
      </c>
      <c r="X663">
        <v>1</v>
      </c>
      <c r="Y663" t="str">
        <f t="shared" si="10"/>
        <v>Low</v>
      </c>
    </row>
    <row r="664" spans="1:25">
      <c r="A664" t="s">
        <v>777</v>
      </c>
      <c r="B664" s="1">
        <v>44934</v>
      </c>
      <c r="C664" s="2">
        <v>0.10416666666666667</v>
      </c>
      <c r="D664" t="s">
        <v>41</v>
      </c>
      <c r="E664" t="s">
        <v>48</v>
      </c>
      <c r="F664" t="s">
        <v>185</v>
      </c>
      <c r="G664" t="s">
        <v>44</v>
      </c>
      <c r="H664" s="2">
        <v>0.10625</v>
      </c>
      <c r="I664" s="2">
        <v>0.13819444444444445</v>
      </c>
      <c r="J664">
        <v>15</v>
      </c>
      <c r="K664">
        <v>8</v>
      </c>
      <c r="L664" t="s">
        <v>30</v>
      </c>
      <c r="M664">
        <v>25.5</v>
      </c>
      <c r="N664">
        <v>95</v>
      </c>
      <c r="O664">
        <v>34</v>
      </c>
      <c r="P664">
        <v>9.3000000000000007</v>
      </c>
      <c r="Q664" t="s">
        <v>31</v>
      </c>
      <c r="R664">
        <v>0</v>
      </c>
      <c r="S664">
        <v>83</v>
      </c>
      <c r="T664">
        <v>0</v>
      </c>
      <c r="U664">
        <v>0</v>
      </c>
      <c r="V664">
        <v>6</v>
      </c>
      <c r="W664" t="s">
        <v>39</v>
      </c>
      <c r="X664">
        <v>1</v>
      </c>
      <c r="Y664" t="str">
        <f t="shared" si="10"/>
        <v>High</v>
      </c>
    </row>
    <row r="665" spans="1:25">
      <c r="A665" t="s">
        <v>778</v>
      </c>
      <c r="B665" s="1">
        <v>44934</v>
      </c>
      <c r="C665" s="2">
        <v>0.11458333333333333</v>
      </c>
      <c r="D665" t="s">
        <v>74</v>
      </c>
      <c r="E665" t="s">
        <v>141</v>
      </c>
      <c r="F665" t="s">
        <v>107</v>
      </c>
      <c r="G665" t="s">
        <v>144</v>
      </c>
      <c r="H665" s="2">
        <v>0.11527777777777778</v>
      </c>
      <c r="I665" s="2">
        <v>0.13333333333333333</v>
      </c>
      <c r="J665">
        <v>2</v>
      </c>
      <c r="K665">
        <v>19</v>
      </c>
      <c r="L665" t="s">
        <v>45</v>
      </c>
      <c r="M665">
        <v>7.7</v>
      </c>
      <c r="N665">
        <v>39</v>
      </c>
      <c r="O665">
        <v>1</v>
      </c>
      <c r="P665">
        <v>14.7</v>
      </c>
      <c r="Q665" t="s">
        <v>31</v>
      </c>
      <c r="R665">
        <v>10000</v>
      </c>
      <c r="S665">
        <v>80</v>
      </c>
      <c r="T665">
        <v>0</v>
      </c>
      <c r="U665">
        <v>0</v>
      </c>
      <c r="V665">
        <v>6</v>
      </c>
      <c r="W665" t="s">
        <v>72</v>
      </c>
      <c r="X665">
        <v>1</v>
      </c>
      <c r="Y665" t="str">
        <f t="shared" si="10"/>
        <v>High</v>
      </c>
    </row>
    <row r="666" spans="1:25">
      <c r="A666" t="s">
        <v>779</v>
      </c>
      <c r="B666" s="1">
        <v>44934</v>
      </c>
      <c r="C666" s="2">
        <v>0.125</v>
      </c>
      <c r="D666" t="s">
        <v>41</v>
      </c>
      <c r="E666" t="s">
        <v>111</v>
      </c>
      <c r="F666" t="s">
        <v>144</v>
      </c>
      <c r="G666" t="s">
        <v>76</v>
      </c>
      <c r="H666" s="2">
        <v>0.12777777777777777</v>
      </c>
      <c r="I666" s="2">
        <v>0.1388888888888889</v>
      </c>
      <c r="J666">
        <v>16</v>
      </c>
      <c r="K666">
        <v>21</v>
      </c>
      <c r="L666" t="s">
        <v>77</v>
      </c>
      <c r="M666">
        <v>0.8</v>
      </c>
      <c r="N666">
        <v>53</v>
      </c>
      <c r="O666">
        <v>29</v>
      </c>
      <c r="P666">
        <v>1.9</v>
      </c>
      <c r="Q666" t="s">
        <v>31</v>
      </c>
      <c r="R666">
        <v>0</v>
      </c>
      <c r="S666">
        <v>76</v>
      </c>
      <c r="T666">
        <v>0</v>
      </c>
      <c r="U666">
        <v>0</v>
      </c>
      <c r="V666">
        <v>6</v>
      </c>
      <c r="W666" t="s">
        <v>72</v>
      </c>
      <c r="X666">
        <v>1</v>
      </c>
      <c r="Y666" t="str">
        <f t="shared" si="10"/>
        <v>High</v>
      </c>
    </row>
    <row r="667" spans="1:25">
      <c r="A667" t="s">
        <v>780</v>
      </c>
      <c r="B667" s="1">
        <v>44934</v>
      </c>
      <c r="C667" s="2">
        <v>0.13541666666666666</v>
      </c>
      <c r="D667" t="s">
        <v>41</v>
      </c>
      <c r="E667" t="s">
        <v>157</v>
      </c>
      <c r="F667" t="s">
        <v>128</v>
      </c>
      <c r="G667" t="s">
        <v>70</v>
      </c>
      <c r="H667" s="2">
        <v>0.13750000000000001</v>
      </c>
      <c r="I667" s="2">
        <v>0.15694444444444444</v>
      </c>
      <c r="J667">
        <v>7</v>
      </c>
      <c r="K667">
        <v>6</v>
      </c>
      <c r="L667" t="s">
        <v>45</v>
      </c>
      <c r="M667">
        <v>33.200000000000003</v>
      </c>
      <c r="N667">
        <v>88</v>
      </c>
      <c r="O667">
        <v>18</v>
      </c>
      <c r="P667">
        <v>19</v>
      </c>
      <c r="Q667" t="s">
        <v>31</v>
      </c>
      <c r="R667">
        <v>0</v>
      </c>
      <c r="S667">
        <v>28</v>
      </c>
      <c r="T667">
        <v>1</v>
      </c>
      <c r="U667">
        <v>1</v>
      </c>
      <c r="V667">
        <v>6</v>
      </c>
      <c r="W667" t="s">
        <v>55</v>
      </c>
      <c r="X667">
        <v>1</v>
      </c>
      <c r="Y667" t="str">
        <f t="shared" si="10"/>
        <v>Low</v>
      </c>
    </row>
    <row r="668" spans="1:25">
      <c r="A668" t="s">
        <v>781</v>
      </c>
      <c r="B668" s="1">
        <v>44934</v>
      </c>
      <c r="C668" s="2">
        <v>0.14583333333333334</v>
      </c>
      <c r="D668" t="s">
        <v>74</v>
      </c>
      <c r="E668" t="s">
        <v>42</v>
      </c>
      <c r="F668" t="s">
        <v>81</v>
      </c>
      <c r="G668" t="s">
        <v>135</v>
      </c>
      <c r="H668" s="2">
        <v>0.14791666666666667</v>
      </c>
      <c r="I668" s="2">
        <v>0.16250000000000001</v>
      </c>
      <c r="J668">
        <v>15</v>
      </c>
      <c r="K668">
        <v>26</v>
      </c>
      <c r="L668" t="s">
        <v>84</v>
      </c>
      <c r="M668">
        <v>-1.9</v>
      </c>
      <c r="N668">
        <v>60</v>
      </c>
      <c r="O668">
        <v>38</v>
      </c>
      <c r="P668">
        <v>10.9</v>
      </c>
      <c r="Q668" t="s">
        <v>71</v>
      </c>
      <c r="R668">
        <v>500</v>
      </c>
      <c r="S668">
        <v>35</v>
      </c>
      <c r="T668">
        <v>0</v>
      </c>
      <c r="U668">
        <v>1</v>
      </c>
      <c r="V668">
        <v>6</v>
      </c>
      <c r="W668" t="s">
        <v>39</v>
      </c>
      <c r="X668">
        <v>1</v>
      </c>
      <c r="Y668" t="str">
        <f t="shared" si="10"/>
        <v>Medium</v>
      </c>
    </row>
    <row r="669" spans="1:25">
      <c r="A669" t="s">
        <v>782</v>
      </c>
      <c r="B669" s="1">
        <v>44934</v>
      </c>
      <c r="C669" s="2">
        <v>0.15625</v>
      </c>
      <c r="D669" t="s">
        <v>34</v>
      </c>
      <c r="E669" t="s">
        <v>126</v>
      </c>
      <c r="F669" t="s">
        <v>194</v>
      </c>
      <c r="G669" t="s">
        <v>163</v>
      </c>
      <c r="H669" s="2">
        <v>0.15902777777777777</v>
      </c>
      <c r="I669" s="2">
        <v>0.18611111111111112</v>
      </c>
      <c r="J669">
        <v>18</v>
      </c>
      <c r="K669">
        <v>6</v>
      </c>
      <c r="L669" t="s">
        <v>54</v>
      </c>
      <c r="M669">
        <v>-1.2</v>
      </c>
      <c r="N669">
        <v>40</v>
      </c>
      <c r="O669">
        <v>36</v>
      </c>
      <c r="P669">
        <v>6.1</v>
      </c>
      <c r="Q669" t="s">
        <v>59</v>
      </c>
      <c r="R669">
        <v>500</v>
      </c>
      <c r="S669">
        <v>86</v>
      </c>
      <c r="T669">
        <v>0</v>
      </c>
      <c r="U669">
        <v>0</v>
      </c>
      <c r="V669">
        <v>6</v>
      </c>
      <c r="W669" t="s">
        <v>72</v>
      </c>
      <c r="X669">
        <v>1</v>
      </c>
      <c r="Y669" t="str">
        <f t="shared" si="10"/>
        <v>High</v>
      </c>
    </row>
    <row r="670" spans="1:25">
      <c r="A670" t="s">
        <v>783</v>
      </c>
      <c r="B670" s="1">
        <v>44934</v>
      </c>
      <c r="C670" s="2">
        <v>0.16666666666666666</v>
      </c>
      <c r="D670" t="s">
        <v>41</v>
      </c>
      <c r="E670" t="s">
        <v>111</v>
      </c>
      <c r="F670" t="s">
        <v>53</v>
      </c>
      <c r="G670" t="s">
        <v>116</v>
      </c>
      <c r="H670" s="2">
        <v>0.16666666666666666</v>
      </c>
      <c r="I670" s="2">
        <v>0.18402777777777779</v>
      </c>
      <c r="J670">
        <v>7</v>
      </c>
      <c r="K670">
        <v>9</v>
      </c>
      <c r="L670" t="s">
        <v>45</v>
      </c>
      <c r="M670">
        <v>14.8</v>
      </c>
      <c r="N670">
        <v>35</v>
      </c>
      <c r="O670">
        <v>59</v>
      </c>
      <c r="P670">
        <v>13.9</v>
      </c>
      <c r="Q670" t="s">
        <v>31</v>
      </c>
      <c r="R670">
        <v>0</v>
      </c>
      <c r="S670">
        <v>26</v>
      </c>
      <c r="T670">
        <v>0</v>
      </c>
      <c r="U670">
        <v>0</v>
      </c>
      <c r="V670">
        <v>6</v>
      </c>
      <c r="W670" t="s">
        <v>32</v>
      </c>
      <c r="X670">
        <v>1</v>
      </c>
      <c r="Y670" t="str">
        <f t="shared" si="10"/>
        <v>Low</v>
      </c>
    </row>
    <row r="671" spans="1:25">
      <c r="A671" t="s">
        <v>784</v>
      </c>
      <c r="B671" s="1">
        <v>44934</v>
      </c>
      <c r="C671" s="2">
        <v>0.17708333333333334</v>
      </c>
      <c r="D671" t="s">
        <v>26</v>
      </c>
      <c r="E671" t="s">
        <v>27</v>
      </c>
      <c r="F671" t="s">
        <v>75</v>
      </c>
      <c r="G671" t="s">
        <v>185</v>
      </c>
      <c r="H671" s="2">
        <v>0.17916666666666667</v>
      </c>
      <c r="I671" s="2">
        <v>0.2076388888888889</v>
      </c>
      <c r="J671">
        <v>2</v>
      </c>
      <c r="K671">
        <v>25</v>
      </c>
      <c r="L671" t="s">
        <v>54</v>
      </c>
      <c r="M671">
        <v>27.8</v>
      </c>
      <c r="N671">
        <v>99</v>
      </c>
      <c r="O671">
        <v>2</v>
      </c>
      <c r="P671">
        <v>0.9</v>
      </c>
      <c r="Q671" t="s">
        <v>31</v>
      </c>
      <c r="R671">
        <v>0</v>
      </c>
      <c r="S671">
        <v>17</v>
      </c>
      <c r="T671">
        <v>1</v>
      </c>
      <c r="U671">
        <v>1</v>
      </c>
      <c r="V671">
        <v>6</v>
      </c>
      <c r="W671" t="s">
        <v>55</v>
      </c>
      <c r="X671">
        <v>1</v>
      </c>
      <c r="Y671" t="str">
        <f t="shared" si="10"/>
        <v>Low</v>
      </c>
    </row>
    <row r="672" spans="1:25">
      <c r="A672" t="s">
        <v>785</v>
      </c>
      <c r="B672" s="1">
        <v>44934</v>
      </c>
      <c r="C672" s="2">
        <v>0.1875</v>
      </c>
      <c r="D672" t="s">
        <v>41</v>
      </c>
      <c r="E672" t="s">
        <v>130</v>
      </c>
      <c r="F672" t="s">
        <v>142</v>
      </c>
      <c r="G672" t="s">
        <v>66</v>
      </c>
      <c r="H672" s="2">
        <v>0.18888888888888888</v>
      </c>
      <c r="I672" s="2">
        <v>0.2013888888888889</v>
      </c>
      <c r="J672">
        <v>14</v>
      </c>
      <c r="K672">
        <v>5</v>
      </c>
      <c r="L672" t="s">
        <v>45</v>
      </c>
      <c r="M672">
        <v>26</v>
      </c>
      <c r="N672">
        <v>61</v>
      </c>
      <c r="O672">
        <v>24</v>
      </c>
      <c r="P672">
        <v>9.6999999999999993</v>
      </c>
      <c r="Q672" t="s">
        <v>31</v>
      </c>
      <c r="R672">
        <v>0</v>
      </c>
      <c r="S672">
        <v>17</v>
      </c>
      <c r="T672">
        <v>0</v>
      </c>
      <c r="U672">
        <v>0</v>
      </c>
      <c r="V672">
        <v>6</v>
      </c>
      <c r="W672" t="s">
        <v>32</v>
      </c>
      <c r="X672">
        <v>0</v>
      </c>
      <c r="Y672" t="str">
        <f t="shared" si="10"/>
        <v>Low</v>
      </c>
    </row>
    <row r="673" spans="1:25">
      <c r="A673" t="s">
        <v>786</v>
      </c>
      <c r="B673" s="1">
        <v>44934</v>
      </c>
      <c r="C673" s="2">
        <v>0.19791666666666666</v>
      </c>
      <c r="D673" t="s">
        <v>74</v>
      </c>
      <c r="E673" t="s">
        <v>52</v>
      </c>
      <c r="F673" t="s">
        <v>75</v>
      </c>
      <c r="G673" t="s">
        <v>154</v>
      </c>
      <c r="H673" s="2">
        <v>0.2</v>
      </c>
      <c r="I673" s="2">
        <v>0.22847222222222222</v>
      </c>
      <c r="J673">
        <v>19</v>
      </c>
      <c r="K673">
        <v>9</v>
      </c>
      <c r="L673" t="s">
        <v>77</v>
      </c>
      <c r="M673">
        <v>32.5</v>
      </c>
      <c r="N673">
        <v>68</v>
      </c>
      <c r="O673">
        <v>33</v>
      </c>
      <c r="P673">
        <v>9.6999999999999993</v>
      </c>
      <c r="Q673" t="s">
        <v>46</v>
      </c>
      <c r="R673">
        <v>10000</v>
      </c>
      <c r="S673">
        <v>8</v>
      </c>
      <c r="T673">
        <v>0</v>
      </c>
      <c r="U673">
        <v>0</v>
      </c>
      <c r="V673">
        <v>6</v>
      </c>
      <c r="W673" t="s">
        <v>55</v>
      </c>
      <c r="X673">
        <v>1</v>
      </c>
      <c r="Y673" t="str">
        <f t="shared" si="10"/>
        <v>Low</v>
      </c>
    </row>
    <row r="674" spans="1:25">
      <c r="A674" t="s">
        <v>787</v>
      </c>
      <c r="B674" s="1">
        <v>44934</v>
      </c>
      <c r="C674" s="2">
        <v>0.20833333333333334</v>
      </c>
      <c r="D674" t="s">
        <v>74</v>
      </c>
      <c r="E674" t="s">
        <v>42</v>
      </c>
      <c r="F674" t="s">
        <v>113</v>
      </c>
      <c r="G674" t="s">
        <v>135</v>
      </c>
      <c r="H674" s="2">
        <v>0.20833333333333334</v>
      </c>
      <c r="I674" s="2">
        <v>0.22222222222222221</v>
      </c>
      <c r="J674">
        <v>10</v>
      </c>
      <c r="K674">
        <v>10</v>
      </c>
      <c r="L674" t="s">
        <v>30</v>
      </c>
      <c r="M674">
        <v>0.7</v>
      </c>
      <c r="N674">
        <v>77</v>
      </c>
      <c r="O674">
        <v>54</v>
      </c>
      <c r="P674">
        <v>3.2</v>
      </c>
      <c r="Q674" t="s">
        <v>101</v>
      </c>
      <c r="R674">
        <v>0</v>
      </c>
      <c r="S674">
        <v>66</v>
      </c>
      <c r="T674">
        <v>1</v>
      </c>
      <c r="U674">
        <v>0</v>
      </c>
      <c r="V674">
        <v>6</v>
      </c>
      <c r="W674" t="s">
        <v>32</v>
      </c>
      <c r="X674">
        <v>1</v>
      </c>
      <c r="Y674" t="str">
        <f t="shared" si="10"/>
        <v>Medium</v>
      </c>
    </row>
    <row r="675" spans="1:25">
      <c r="A675" t="s">
        <v>788</v>
      </c>
      <c r="B675" s="1">
        <v>44934</v>
      </c>
      <c r="C675" s="2">
        <v>0.21875</v>
      </c>
      <c r="D675" t="s">
        <v>74</v>
      </c>
      <c r="E675" t="s">
        <v>98</v>
      </c>
      <c r="F675" t="s">
        <v>43</v>
      </c>
      <c r="G675" t="s">
        <v>43</v>
      </c>
      <c r="H675" s="2">
        <v>0.21875</v>
      </c>
      <c r="I675" s="2">
        <v>0.25416666666666665</v>
      </c>
      <c r="J675">
        <v>14</v>
      </c>
      <c r="K675">
        <v>5</v>
      </c>
      <c r="L675" t="s">
        <v>30</v>
      </c>
      <c r="M675">
        <v>10</v>
      </c>
      <c r="N675">
        <v>42</v>
      </c>
      <c r="O675">
        <v>57</v>
      </c>
      <c r="P675">
        <v>16.7</v>
      </c>
      <c r="Q675" t="s">
        <v>31</v>
      </c>
      <c r="R675">
        <v>0</v>
      </c>
      <c r="S675">
        <v>6</v>
      </c>
      <c r="T675">
        <v>0</v>
      </c>
      <c r="U675">
        <v>1</v>
      </c>
      <c r="V675">
        <v>6</v>
      </c>
      <c r="W675" t="s">
        <v>39</v>
      </c>
      <c r="X675">
        <v>0</v>
      </c>
      <c r="Y675" t="str">
        <f t="shared" si="10"/>
        <v>Low</v>
      </c>
    </row>
    <row r="676" spans="1:25">
      <c r="A676" t="s">
        <v>789</v>
      </c>
      <c r="B676" s="1">
        <v>44934</v>
      </c>
      <c r="C676" s="2">
        <v>0.22916666666666666</v>
      </c>
      <c r="D676" t="s">
        <v>34</v>
      </c>
      <c r="E676" t="s">
        <v>157</v>
      </c>
      <c r="F676" t="s">
        <v>81</v>
      </c>
      <c r="G676" t="s">
        <v>144</v>
      </c>
      <c r="H676" s="2">
        <v>0.2298611111111111</v>
      </c>
      <c r="I676" s="2">
        <v>0.24444444444444444</v>
      </c>
      <c r="J676">
        <v>6</v>
      </c>
      <c r="K676">
        <v>4</v>
      </c>
      <c r="L676" t="s">
        <v>54</v>
      </c>
      <c r="M676">
        <v>6.3</v>
      </c>
      <c r="N676">
        <v>88</v>
      </c>
      <c r="O676">
        <v>21</v>
      </c>
      <c r="P676">
        <v>15.9</v>
      </c>
      <c r="Q676" t="s">
        <v>31</v>
      </c>
      <c r="R676">
        <v>0</v>
      </c>
      <c r="S676">
        <v>57</v>
      </c>
      <c r="T676">
        <v>0</v>
      </c>
      <c r="U676">
        <v>0</v>
      </c>
      <c r="V676">
        <v>6</v>
      </c>
      <c r="W676" t="s">
        <v>72</v>
      </c>
      <c r="X676">
        <v>0</v>
      </c>
      <c r="Y676" t="str">
        <f t="shared" si="10"/>
        <v>Medium</v>
      </c>
    </row>
    <row r="677" spans="1:25">
      <c r="A677" t="s">
        <v>790</v>
      </c>
      <c r="B677" s="1">
        <v>44934</v>
      </c>
      <c r="C677" s="2">
        <v>0.23958333333333334</v>
      </c>
      <c r="D677" t="s">
        <v>41</v>
      </c>
      <c r="E677" t="s">
        <v>79</v>
      </c>
      <c r="F677" t="s">
        <v>43</v>
      </c>
      <c r="G677" t="s">
        <v>100</v>
      </c>
      <c r="H677" s="2">
        <v>0.24097222222222223</v>
      </c>
      <c r="I677" s="2">
        <v>0.26597222222222222</v>
      </c>
      <c r="J677">
        <v>9</v>
      </c>
      <c r="K677">
        <v>-1</v>
      </c>
      <c r="L677" t="s">
        <v>77</v>
      </c>
      <c r="M677">
        <v>29.4</v>
      </c>
      <c r="N677">
        <v>96</v>
      </c>
      <c r="O677">
        <v>37</v>
      </c>
      <c r="P677">
        <v>3.1</v>
      </c>
      <c r="Q677" t="s">
        <v>101</v>
      </c>
      <c r="R677">
        <v>0</v>
      </c>
      <c r="S677">
        <v>78</v>
      </c>
      <c r="T677">
        <v>0</v>
      </c>
      <c r="U677">
        <v>1</v>
      </c>
      <c r="V677">
        <v>6</v>
      </c>
      <c r="W677" t="s">
        <v>32</v>
      </c>
      <c r="X677">
        <v>0</v>
      </c>
      <c r="Y677" t="str">
        <f t="shared" si="10"/>
        <v>High</v>
      </c>
    </row>
    <row r="678" spans="1:25">
      <c r="A678" t="s">
        <v>791</v>
      </c>
      <c r="B678" s="1">
        <v>44934</v>
      </c>
      <c r="C678" s="2">
        <v>0.25</v>
      </c>
      <c r="D678" t="s">
        <v>34</v>
      </c>
      <c r="E678" t="s">
        <v>141</v>
      </c>
      <c r="F678" t="s">
        <v>80</v>
      </c>
      <c r="G678" t="s">
        <v>53</v>
      </c>
      <c r="H678" s="2">
        <v>0.25</v>
      </c>
      <c r="I678" s="2">
        <v>0.28333333333333333</v>
      </c>
      <c r="J678">
        <v>11</v>
      </c>
      <c r="K678">
        <v>29</v>
      </c>
      <c r="L678" t="s">
        <v>77</v>
      </c>
      <c r="M678">
        <v>14.5</v>
      </c>
      <c r="N678">
        <v>85</v>
      </c>
      <c r="O678">
        <v>13</v>
      </c>
      <c r="P678">
        <v>7.3</v>
      </c>
      <c r="Q678" t="s">
        <v>31</v>
      </c>
      <c r="R678">
        <v>0</v>
      </c>
      <c r="S678">
        <v>29</v>
      </c>
      <c r="T678">
        <v>0</v>
      </c>
      <c r="U678">
        <v>0</v>
      </c>
      <c r="V678">
        <v>6</v>
      </c>
      <c r="W678" t="s">
        <v>39</v>
      </c>
      <c r="X678">
        <v>1</v>
      </c>
      <c r="Y678" t="str">
        <f t="shared" si="10"/>
        <v>Low</v>
      </c>
    </row>
    <row r="679" spans="1:25">
      <c r="A679" t="s">
        <v>792</v>
      </c>
      <c r="B679" s="1">
        <v>44934</v>
      </c>
      <c r="C679" s="2">
        <v>0.26041666666666669</v>
      </c>
      <c r="D679" t="s">
        <v>34</v>
      </c>
      <c r="E679" t="s">
        <v>57</v>
      </c>
      <c r="F679" t="s">
        <v>50</v>
      </c>
      <c r="G679" t="s">
        <v>197</v>
      </c>
      <c r="H679" s="2">
        <v>0.26319444444444445</v>
      </c>
      <c r="I679" s="2">
        <v>0.27500000000000002</v>
      </c>
      <c r="J679">
        <v>11</v>
      </c>
      <c r="K679">
        <v>28</v>
      </c>
      <c r="L679" t="s">
        <v>77</v>
      </c>
      <c r="M679">
        <v>-3.9</v>
      </c>
      <c r="N679">
        <v>70</v>
      </c>
      <c r="O679">
        <v>38</v>
      </c>
      <c r="P679">
        <v>2</v>
      </c>
      <c r="Q679" t="s">
        <v>46</v>
      </c>
      <c r="R679">
        <v>0</v>
      </c>
      <c r="S679">
        <v>72</v>
      </c>
      <c r="T679">
        <v>0</v>
      </c>
      <c r="U679">
        <v>0</v>
      </c>
      <c r="V679">
        <v>6</v>
      </c>
      <c r="W679" t="s">
        <v>32</v>
      </c>
      <c r="X679">
        <v>1</v>
      </c>
      <c r="Y679" t="str">
        <f t="shared" si="10"/>
        <v>High</v>
      </c>
    </row>
    <row r="680" spans="1:25">
      <c r="A680" t="s">
        <v>793</v>
      </c>
      <c r="B680" s="1">
        <v>44934</v>
      </c>
      <c r="C680" s="2">
        <v>0.27083333333333331</v>
      </c>
      <c r="D680" t="s">
        <v>74</v>
      </c>
      <c r="E680" t="s">
        <v>93</v>
      </c>
      <c r="F680" t="s">
        <v>76</v>
      </c>
      <c r="G680" t="s">
        <v>185</v>
      </c>
      <c r="H680" s="2">
        <v>0.2722222222222222</v>
      </c>
      <c r="I680" s="2">
        <v>0.2902777777777778</v>
      </c>
      <c r="J680">
        <v>5</v>
      </c>
      <c r="K680">
        <v>3</v>
      </c>
      <c r="L680" t="s">
        <v>84</v>
      </c>
      <c r="M680">
        <v>23.3</v>
      </c>
      <c r="N680">
        <v>85</v>
      </c>
      <c r="O680">
        <v>53</v>
      </c>
      <c r="P680">
        <v>17</v>
      </c>
      <c r="Q680" t="s">
        <v>31</v>
      </c>
      <c r="R680">
        <v>0</v>
      </c>
      <c r="S680">
        <v>60</v>
      </c>
      <c r="T680">
        <v>0</v>
      </c>
      <c r="U680">
        <v>0</v>
      </c>
      <c r="V680">
        <v>6</v>
      </c>
      <c r="W680" t="s">
        <v>39</v>
      </c>
      <c r="X680">
        <v>0</v>
      </c>
      <c r="Y680" t="str">
        <f t="shared" si="10"/>
        <v>Medium</v>
      </c>
    </row>
    <row r="681" spans="1:25">
      <c r="A681" t="s">
        <v>794</v>
      </c>
      <c r="B681" s="1">
        <v>44934</v>
      </c>
      <c r="C681" s="2">
        <v>0.28125</v>
      </c>
      <c r="D681" t="s">
        <v>74</v>
      </c>
      <c r="E681" t="s">
        <v>157</v>
      </c>
      <c r="F681" t="s">
        <v>90</v>
      </c>
      <c r="G681" t="s">
        <v>99</v>
      </c>
      <c r="H681" s="2">
        <v>0.28263888888888888</v>
      </c>
      <c r="I681" s="2">
        <v>0.30625000000000002</v>
      </c>
      <c r="J681">
        <v>2</v>
      </c>
      <c r="K681">
        <v>15</v>
      </c>
      <c r="L681" t="s">
        <v>38</v>
      </c>
      <c r="M681">
        <v>10.5</v>
      </c>
      <c r="N681">
        <v>64</v>
      </c>
      <c r="O681">
        <v>1</v>
      </c>
      <c r="P681">
        <v>6.5</v>
      </c>
      <c r="Q681" t="s">
        <v>31</v>
      </c>
      <c r="R681">
        <v>500</v>
      </c>
      <c r="S681">
        <v>90</v>
      </c>
      <c r="T681">
        <v>0</v>
      </c>
      <c r="U681">
        <v>1</v>
      </c>
      <c r="V681">
        <v>6</v>
      </c>
      <c r="W681" t="s">
        <v>55</v>
      </c>
      <c r="X681">
        <v>1</v>
      </c>
      <c r="Y681" t="str">
        <f t="shared" si="10"/>
        <v>High</v>
      </c>
    </row>
    <row r="682" spans="1:25">
      <c r="A682" t="s">
        <v>795</v>
      </c>
      <c r="B682" s="1">
        <v>44934</v>
      </c>
      <c r="C682" s="2">
        <v>0.29166666666666669</v>
      </c>
      <c r="D682" t="s">
        <v>34</v>
      </c>
      <c r="E682" t="s">
        <v>147</v>
      </c>
      <c r="F682" t="s">
        <v>86</v>
      </c>
      <c r="G682" t="s">
        <v>50</v>
      </c>
      <c r="H682" s="2">
        <v>0.29444444444444445</v>
      </c>
      <c r="I682" s="2">
        <v>0.3298611111111111</v>
      </c>
      <c r="J682">
        <v>16</v>
      </c>
      <c r="K682">
        <v>10</v>
      </c>
      <c r="L682" t="s">
        <v>45</v>
      </c>
      <c r="M682">
        <v>16.2</v>
      </c>
      <c r="N682">
        <v>67</v>
      </c>
      <c r="O682">
        <v>31</v>
      </c>
      <c r="P682">
        <v>8.8000000000000007</v>
      </c>
      <c r="Q682" t="s">
        <v>31</v>
      </c>
      <c r="R682">
        <v>0</v>
      </c>
      <c r="S682">
        <v>99</v>
      </c>
      <c r="T682">
        <v>1</v>
      </c>
      <c r="U682">
        <v>0</v>
      </c>
      <c r="V682">
        <v>6</v>
      </c>
      <c r="W682" t="s">
        <v>39</v>
      </c>
      <c r="X682">
        <v>1</v>
      </c>
      <c r="Y682" t="str">
        <f t="shared" si="10"/>
        <v>High</v>
      </c>
    </row>
    <row r="683" spans="1:25">
      <c r="A683" t="s">
        <v>796</v>
      </c>
      <c r="B683" s="1">
        <v>44934</v>
      </c>
      <c r="C683" s="2">
        <v>0.30208333333333331</v>
      </c>
      <c r="D683" t="s">
        <v>41</v>
      </c>
      <c r="E683" t="s">
        <v>104</v>
      </c>
      <c r="F683" t="s">
        <v>49</v>
      </c>
      <c r="G683" t="s">
        <v>91</v>
      </c>
      <c r="H683" s="2">
        <v>0.30416666666666664</v>
      </c>
      <c r="I683" s="2">
        <v>0.32708333333333334</v>
      </c>
      <c r="J683">
        <v>11</v>
      </c>
      <c r="K683">
        <v>15</v>
      </c>
      <c r="L683" t="s">
        <v>77</v>
      </c>
      <c r="M683">
        <v>30.8</v>
      </c>
      <c r="N683">
        <v>96</v>
      </c>
      <c r="O683">
        <v>42</v>
      </c>
      <c r="P683">
        <v>6.5</v>
      </c>
      <c r="Q683" t="s">
        <v>46</v>
      </c>
      <c r="R683">
        <v>2000</v>
      </c>
      <c r="S683">
        <v>81</v>
      </c>
      <c r="T683">
        <v>0</v>
      </c>
      <c r="U683">
        <v>0</v>
      </c>
      <c r="V683">
        <v>6</v>
      </c>
      <c r="W683" t="s">
        <v>32</v>
      </c>
      <c r="X683">
        <v>1</v>
      </c>
      <c r="Y683" t="str">
        <f t="shared" si="10"/>
        <v>High</v>
      </c>
    </row>
    <row r="684" spans="1:25">
      <c r="A684" t="s">
        <v>797</v>
      </c>
      <c r="B684" s="1">
        <v>44934</v>
      </c>
      <c r="C684" s="2">
        <v>0.3125</v>
      </c>
      <c r="D684" t="s">
        <v>26</v>
      </c>
      <c r="E684" t="s">
        <v>35</v>
      </c>
      <c r="F684" t="s">
        <v>43</v>
      </c>
      <c r="G684" t="s">
        <v>194</v>
      </c>
      <c r="H684" s="2">
        <v>0.31527777777777777</v>
      </c>
      <c r="I684" s="2">
        <v>0.33402777777777776</v>
      </c>
      <c r="J684">
        <v>6</v>
      </c>
      <c r="K684">
        <v>22</v>
      </c>
      <c r="L684" t="s">
        <v>77</v>
      </c>
      <c r="M684">
        <v>5.3</v>
      </c>
      <c r="N684">
        <v>63</v>
      </c>
      <c r="O684">
        <v>52</v>
      </c>
      <c r="P684">
        <v>6.2</v>
      </c>
      <c r="Q684" t="s">
        <v>31</v>
      </c>
      <c r="R684">
        <v>0</v>
      </c>
      <c r="S684">
        <v>94</v>
      </c>
      <c r="T684">
        <v>0</v>
      </c>
      <c r="U684">
        <v>0</v>
      </c>
      <c r="V684">
        <v>6</v>
      </c>
      <c r="W684" t="s">
        <v>72</v>
      </c>
      <c r="X684">
        <v>1</v>
      </c>
      <c r="Y684" t="str">
        <f t="shared" si="10"/>
        <v>High</v>
      </c>
    </row>
    <row r="685" spans="1:25">
      <c r="A685" t="s">
        <v>798</v>
      </c>
      <c r="B685" s="1">
        <v>44934</v>
      </c>
      <c r="C685" s="2">
        <v>0.32291666666666669</v>
      </c>
      <c r="D685" t="s">
        <v>34</v>
      </c>
      <c r="E685" t="s">
        <v>98</v>
      </c>
      <c r="F685" t="s">
        <v>76</v>
      </c>
      <c r="G685" t="s">
        <v>100</v>
      </c>
      <c r="H685" s="2">
        <v>0.32569444444444445</v>
      </c>
      <c r="I685" s="2">
        <v>0.35</v>
      </c>
      <c r="J685">
        <v>4</v>
      </c>
      <c r="K685">
        <v>13</v>
      </c>
      <c r="L685" t="s">
        <v>77</v>
      </c>
      <c r="M685">
        <v>4.5999999999999996</v>
      </c>
      <c r="N685">
        <v>99</v>
      </c>
      <c r="O685">
        <v>2</v>
      </c>
      <c r="P685">
        <v>14.9</v>
      </c>
      <c r="Q685" t="s">
        <v>31</v>
      </c>
      <c r="R685">
        <v>10000</v>
      </c>
      <c r="S685">
        <v>16</v>
      </c>
      <c r="T685">
        <v>0</v>
      </c>
      <c r="U685">
        <v>0</v>
      </c>
      <c r="V685">
        <v>6</v>
      </c>
      <c r="W685" t="s">
        <v>55</v>
      </c>
      <c r="X685">
        <v>1</v>
      </c>
      <c r="Y685" t="str">
        <f t="shared" si="10"/>
        <v>Low</v>
      </c>
    </row>
    <row r="686" spans="1:25">
      <c r="A686" t="s">
        <v>799</v>
      </c>
      <c r="B686" s="1">
        <v>44934</v>
      </c>
      <c r="C686" s="2">
        <v>0.33333333333333331</v>
      </c>
      <c r="D686" t="s">
        <v>41</v>
      </c>
      <c r="E686" t="s">
        <v>104</v>
      </c>
      <c r="F686" t="s">
        <v>69</v>
      </c>
      <c r="G686" t="s">
        <v>50</v>
      </c>
      <c r="H686" s="2">
        <v>0.33541666666666664</v>
      </c>
      <c r="I686" s="2">
        <v>0.34861111111111109</v>
      </c>
      <c r="J686">
        <v>5</v>
      </c>
      <c r="K686">
        <v>24</v>
      </c>
      <c r="L686" t="s">
        <v>30</v>
      </c>
      <c r="M686">
        <v>5.5</v>
      </c>
      <c r="N686">
        <v>40</v>
      </c>
      <c r="O686">
        <v>40</v>
      </c>
      <c r="P686">
        <v>15</v>
      </c>
      <c r="Q686" t="s">
        <v>31</v>
      </c>
      <c r="R686">
        <v>50000</v>
      </c>
      <c r="S686">
        <v>52</v>
      </c>
      <c r="T686">
        <v>0</v>
      </c>
      <c r="U686">
        <v>1</v>
      </c>
      <c r="V686">
        <v>6</v>
      </c>
      <c r="W686" t="s">
        <v>55</v>
      </c>
      <c r="X686">
        <v>1</v>
      </c>
      <c r="Y686" t="str">
        <f t="shared" si="10"/>
        <v>Medium</v>
      </c>
    </row>
    <row r="687" spans="1:25">
      <c r="A687" t="s">
        <v>800</v>
      </c>
      <c r="B687" s="1">
        <v>44934</v>
      </c>
      <c r="C687" s="2">
        <v>0.34375</v>
      </c>
      <c r="D687" t="s">
        <v>74</v>
      </c>
      <c r="E687" t="s">
        <v>93</v>
      </c>
      <c r="F687" t="s">
        <v>197</v>
      </c>
      <c r="G687" t="s">
        <v>99</v>
      </c>
      <c r="H687" s="2">
        <v>0.34583333333333333</v>
      </c>
      <c r="I687" s="2">
        <v>0.35972222222222222</v>
      </c>
      <c r="J687">
        <v>11</v>
      </c>
      <c r="K687">
        <v>15</v>
      </c>
      <c r="L687" t="s">
        <v>77</v>
      </c>
      <c r="M687">
        <v>8.5</v>
      </c>
      <c r="N687">
        <v>56</v>
      </c>
      <c r="O687">
        <v>7</v>
      </c>
      <c r="P687">
        <v>10.4</v>
      </c>
      <c r="Q687" t="s">
        <v>31</v>
      </c>
      <c r="R687">
        <v>0</v>
      </c>
      <c r="S687">
        <v>5</v>
      </c>
      <c r="T687">
        <v>0</v>
      </c>
      <c r="U687">
        <v>0</v>
      </c>
      <c r="V687">
        <v>6</v>
      </c>
      <c r="W687" t="s">
        <v>39</v>
      </c>
      <c r="X687">
        <v>1</v>
      </c>
      <c r="Y687" t="str">
        <f t="shared" si="10"/>
        <v>Low</v>
      </c>
    </row>
    <row r="688" spans="1:25">
      <c r="A688" t="s">
        <v>801</v>
      </c>
      <c r="B688" s="1">
        <v>44934</v>
      </c>
      <c r="C688" s="2">
        <v>0.35416666666666669</v>
      </c>
      <c r="D688" t="s">
        <v>74</v>
      </c>
      <c r="E688" t="s">
        <v>104</v>
      </c>
      <c r="F688" t="s">
        <v>29</v>
      </c>
      <c r="G688" t="s">
        <v>65</v>
      </c>
      <c r="H688" s="2">
        <v>0.35625000000000001</v>
      </c>
      <c r="I688" s="2">
        <v>0.37916666666666665</v>
      </c>
      <c r="J688">
        <v>19</v>
      </c>
      <c r="K688">
        <v>23</v>
      </c>
      <c r="L688" t="s">
        <v>45</v>
      </c>
      <c r="M688">
        <v>-0.7</v>
      </c>
      <c r="N688">
        <v>77</v>
      </c>
      <c r="O688">
        <v>25</v>
      </c>
      <c r="P688">
        <v>13.2</v>
      </c>
      <c r="Q688" t="s">
        <v>101</v>
      </c>
      <c r="R688">
        <v>50000</v>
      </c>
      <c r="S688">
        <v>38</v>
      </c>
      <c r="T688">
        <v>0</v>
      </c>
      <c r="U688">
        <v>1</v>
      </c>
      <c r="V688">
        <v>6</v>
      </c>
      <c r="W688" t="s">
        <v>32</v>
      </c>
      <c r="X688">
        <v>1</v>
      </c>
      <c r="Y688" t="str">
        <f t="shared" si="10"/>
        <v>Medium</v>
      </c>
    </row>
    <row r="689" spans="1:25">
      <c r="A689" t="s">
        <v>802</v>
      </c>
      <c r="B689" s="1">
        <v>44934</v>
      </c>
      <c r="C689" s="2">
        <v>0.36458333333333331</v>
      </c>
      <c r="D689" t="s">
        <v>41</v>
      </c>
      <c r="E689" t="s">
        <v>57</v>
      </c>
      <c r="F689" t="s">
        <v>95</v>
      </c>
      <c r="G689" t="s">
        <v>70</v>
      </c>
      <c r="H689" s="2">
        <v>0.36666666666666664</v>
      </c>
      <c r="I689" s="2">
        <v>0.40347222222222223</v>
      </c>
      <c r="J689">
        <v>11</v>
      </c>
      <c r="K689">
        <v>15</v>
      </c>
      <c r="L689" t="s">
        <v>77</v>
      </c>
      <c r="M689">
        <v>22.9</v>
      </c>
      <c r="N689">
        <v>53</v>
      </c>
      <c r="O689">
        <v>31</v>
      </c>
      <c r="P689">
        <v>10.199999999999999</v>
      </c>
      <c r="Q689" t="s">
        <v>59</v>
      </c>
      <c r="R689">
        <v>0</v>
      </c>
      <c r="S689">
        <v>24</v>
      </c>
      <c r="T689">
        <v>0</v>
      </c>
      <c r="U689">
        <v>1</v>
      </c>
      <c r="V689">
        <v>6</v>
      </c>
      <c r="W689" t="s">
        <v>39</v>
      </c>
      <c r="X689">
        <v>1</v>
      </c>
      <c r="Y689" t="str">
        <f t="shared" si="10"/>
        <v>Low</v>
      </c>
    </row>
    <row r="690" spans="1:25">
      <c r="A690" t="s">
        <v>803</v>
      </c>
      <c r="B690" s="1">
        <v>44934</v>
      </c>
      <c r="C690" s="2">
        <v>0.375</v>
      </c>
      <c r="D690" t="s">
        <v>26</v>
      </c>
      <c r="E690" t="s">
        <v>98</v>
      </c>
      <c r="F690" t="s">
        <v>105</v>
      </c>
      <c r="G690" t="s">
        <v>144</v>
      </c>
      <c r="H690" s="2">
        <v>0.37708333333333333</v>
      </c>
      <c r="I690" s="2">
        <v>0.39861111111111114</v>
      </c>
      <c r="J690">
        <v>8</v>
      </c>
      <c r="K690">
        <v>29</v>
      </c>
      <c r="L690" t="s">
        <v>45</v>
      </c>
      <c r="M690">
        <v>3.3</v>
      </c>
      <c r="N690">
        <v>47</v>
      </c>
      <c r="O690">
        <v>10</v>
      </c>
      <c r="P690">
        <v>0.6</v>
      </c>
      <c r="Q690" t="s">
        <v>31</v>
      </c>
      <c r="R690">
        <v>500</v>
      </c>
      <c r="S690">
        <v>41</v>
      </c>
      <c r="T690">
        <v>0</v>
      </c>
      <c r="U690">
        <v>0</v>
      </c>
      <c r="V690">
        <v>6</v>
      </c>
      <c r="W690" t="s">
        <v>55</v>
      </c>
      <c r="X690">
        <v>1</v>
      </c>
      <c r="Y690" t="str">
        <f t="shared" si="10"/>
        <v>Medium</v>
      </c>
    </row>
    <row r="691" spans="1:25">
      <c r="A691" t="s">
        <v>804</v>
      </c>
      <c r="B691" s="1">
        <v>44934</v>
      </c>
      <c r="C691" s="2">
        <v>0.38541666666666669</v>
      </c>
      <c r="D691" t="s">
        <v>74</v>
      </c>
      <c r="E691" t="s">
        <v>98</v>
      </c>
      <c r="F691" t="s">
        <v>90</v>
      </c>
      <c r="G691" t="s">
        <v>99</v>
      </c>
      <c r="H691" s="2">
        <v>0.38819444444444445</v>
      </c>
      <c r="I691" s="2">
        <v>0.42152777777777778</v>
      </c>
      <c r="J691">
        <v>11</v>
      </c>
      <c r="K691">
        <v>3</v>
      </c>
      <c r="L691" t="s">
        <v>84</v>
      </c>
      <c r="M691">
        <v>32</v>
      </c>
      <c r="N691">
        <v>56</v>
      </c>
      <c r="O691">
        <v>49</v>
      </c>
      <c r="P691">
        <v>1.3</v>
      </c>
      <c r="Q691" t="s">
        <v>101</v>
      </c>
      <c r="R691">
        <v>0</v>
      </c>
      <c r="S691">
        <v>41</v>
      </c>
      <c r="T691">
        <v>0</v>
      </c>
      <c r="U691">
        <v>1</v>
      </c>
      <c r="V691">
        <v>6</v>
      </c>
      <c r="W691" t="s">
        <v>72</v>
      </c>
      <c r="X691">
        <v>0</v>
      </c>
      <c r="Y691" t="str">
        <f t="shared" si="10"/>
        <v>Medium</v>
      </c>
    </row>
    <row r="692" spans="1:25">
      <c r="A692" t="s">
        <v>805</v>
      </c>
      <c r="B692" s="1">
        <v>44934</v>
      </c>
      <c r="C692" s="2">
        <v>0.39583333333333331</v>
      </c>
      <c r="D692" t="s">
        <v>74</v>
      </c>
      <c r="E692" t="s">
        <v>157</v>
      </c>
      <c r="F692" t="s">
        <v>95</v>
      </c>
      <c r="G692" t="s">
        <v>28</v>
      </c>
      <c r="H692" s="2">
        <v>0.39652777777777776</v>
      </c>
      <c r="I692" s="2">
        <v>0.4201388888888889</v>
      </c>
      <c r="J692">
        <v>18</v>
      </c>
      <c r="K692">
        <v>25</v>
      </c>
      <c r="L692" t="s">
        <v>38</v>
      </c>
      <c r="M692">
        <v>3.6</v>
      </c>
      <c r="N692">
        <v>83</v>
      </c>
      <c r="O692">
        <v>0</v>
      </c>
      <c r="P692">
        <v>7.7</v>
      </c>
      <c r="Q692" t="s">
        <v>31</v>
      </c>
      <c r="R692">
        <v>0</v>
      </c>
      <c r="S692">
        <v>58</v>
      </c>
      <c r="T692">
        <v>0</v>
      </c>
      <c r="U692">
        <v>0</v>
      </c>
      <c r="V692">
        <v>6</v>
      </c>
      <c r="W692" t="s">
        <v>39</v>
      </c>
      <c r="X692">
        <v>1</v>
      </c>
      <c r="Y692" t="str">
        <f t="shared" si="10"/>
        <v>Medium</v>
      </c>
    </row>
    <row r="693" spans="1:25">
      <c r="A693" t="s">
        <v>806</v>
      </c>
      <c r="B693" s="1">
        <v>44934</v>
      </c>
      <c r="C693" s="2">
        <v>0.40625</v>
      </c>
      <c r="D693" t="s">
        <v>74</v>
      </c>
      <c r="E693" t="s">
        <v>126</v>
      </c>
      <c r="F693" t="s">
        <v>50</v>
      </c>
      <c r="G693" t="s">
        <v>96</v>
      </c>
      <c r="H693" s="2">
        <v>0.40694444444444444</v>
      </c>
      <c r="I693" s="2">
        <v>0.42708333333333331</v>
      </c>
      <c r="J693">
        <v>5</v>
      </c>
      <c r="K693">
        <v>1</v>
      </c>
      <c r="L693" t="s">
        <v>30</v>
      </c>
      <c r="M693">
        <v>5.2</v>
      </c>
      <c r="N693">
        <v>84</v>
      </c>
      <c r="O693">
        <v>14</v>
      </c>
      <c r="P693">
        <v>15</v>
      </c>
      <c r="Q693" t="s">
        <v>31</v>
      </c>
      <c r="R693">
        <v>0</v>
      </c>
      <c r="S693">
        <v>37</v>
      </c>
      <c r="T693">
        <v>0</v>
      </c>
      <c r="U693">
        <v>0</v>
      </c>
      <c r="V693">
        <v>6</v>
      </c>
      <c r="W693" t="s">
        <v>32</v>
      </c>
      <c r="X693">
        <v>0</v>
      </c>
      <c r="Y693" t="str">
        <f t="shared" si="10"/>
        <v>Medium</v>
      </c>
    </row>
    <row r="694" spans="1:25">
      <c r="A694" t="s">
        <v>807</v>
      </c>
      <c r="B694" s="1">
        <v>44934</v>
      </c>
      <c r="C694" s="2">
        <v>0.41666666666666669</v>
      </c>
      <c r="D694" t="s">
        <v>41</v>
      </c>
      <c r="E694" t="s">
        <v>157</v>
      </c>
      <c r="F694" t="s">
        <v>49</v>
      </c>
      <c r="G694" t="s">
        <v>107</v>
      </c>
      <c r="H694" s="2">
        <v>0.41666666666666669</v>
      </c>
      <c r="I694" s="2">
        <v>0.44374999999999998</v>
      </c>
      <c r="J694">
        <v>0</v>
      </c>
      <c r="K694">
        <v>26</v>
      </c>
      <c r="L694" t="s">
        <v>45</v>
      </c>
      <c r="M694">
        <v>6.9</v>
      </c>
      <c r="N694">
        <v>50</v>
      </c>
      <c r="O694">
        <v>3</v>
      </c>
      <c r="P694">
        <v>18.3</v>
      </c>
      <c r="Q694" t="s">
        <v>46</v>
      </c>
      <c r="R694">
        <v>0</v>
      </c>
      <c r="S694">
        <v>30</v>
      </c>
      <c r="T694">
        <v>0</v>
      </c>
      <c r="U694">
        <v>0</v>
      </c>
      <c r="V694">
        <v>6</v>
      </c>
      <c r="W694" t="s">
        <v>39</v>
      </c>
      <c r="X694">
        <v>1</v>
      </c>
      <c r="Y694" t="str">
        <f t="shared" si="10"/>
        <v>Low</v>
      </c>
    </row>
    <row r="695" spans="1:25">
      <c r="A695" t="s">
        <v>808</v>
      </c>
      <c r="B695" s="1">
        <v>44934</v>
      </c>
      <c r="C695" s="2">
        <v>0.42708333333333331</v>
      </c>
      <c r="D695" t="s">
        <v>34</v>
      </c>
      <c r="E695" t="s">
        <v>104</v>
      </c>
      <c r="F695" t="s">
        <v>81</v>
      </c>
      <c r="G695" t="s">
        <v>50</v>
      </c>
      <c r="H695" s="2">
        <v>0.42777777777777776</v>
      </c>
      <c r="I695" s="2">
        <v>0.46666666666666667</v>
      </c>
      <c r="J695">
        <v>15</v>
      </c>
      <c r="K695">
        <v>4</v>
      </c>
      <c r="L695" t="s">
        <v>54</v>
      </c>
      <c r="M695">
        <v>25.7</v>
      </c>
      <c r="N695">
        <v>88</v>
      </c>
      <c r="O695">
        <v>3</v>
      </c>
      <c r="P695">
        <v>0.6</v>
      </c>
      <c r="Q695" t="s">
        <v>31</v>
      </c>
      <c r="R695">
        <v>2000</v>
      </c>
      <c r="S695">
        <v>28</v>
      </c>
      <c r="T695">
        <v>1</v>
      </c>
      <c r="U695">
        <v>1</v>
      </c>
      <c r="V695">
        <v>6</v>
      </c>
      <c r="W695" t="s">
        <v>39</v>
      </c>
      <c r="X695">
        <v>0</v>
      </c>
      <c r="Y695" t="str">
        <f t="shared" si="10"/>
        <v>Low</v>
      </c>
    </row>
    <row r="696" spans="1:25">
      <c r="A696" t="s">
        <v>809</v>
      </c>
      <c r="B696" s="1">
        <v>44934</v>
      </c>
      <c r="C696" s="2">
        <v>0.4375</v>
      </c>
      <c r="D696" t="s">
        <v>74</v>
      </c>
      <c r="E696" t="s">
        <v>161</v>
      </c>
      <c r="F696" t="s">
        <v>90</v>
      </c>
      <c r="G696" t="s">
        <v>107</v>
      </c>
      <c r="H696" s="2">
        <v>0.43819444444444444</v>
      </c>
      <c r="I696" s="2">
        <v>0.46736111111111112</v>
      </c>
      <c r="J696">
        <v>0</v>
      </c>
      <c r="K696">
        <v>8</v>
      </c>
      <c r="L696" t="s">
        <v>84</v>
      </c>
      <c r="M696">
        <v>12.1</v>
      </c>
      <c r="N696">
        <v>63</v>
      </c>
      <c r="O696">
        <v>27</v>
      </c>
      <c r="P696">
        <v>7.4</v>
      </c>
      <c r="Q696" t="s">
        <v>31</v>
      </c>
      <c r="R696">
        <v>0</v>
      </c>
      <c r="S696">
        <v>8</v>
      </c>
      <c r="T696">
        <v>0</v>
      </c>
      <c r="U696">
        <v>0</v>
      </c>
      <c r="V696">
        <v>6</v>
      </c>
      <c r="W696" t="s">
        <v>39</v>
      </c>
      <c r="X696">
        <v>1</v>
      </c>
      <c r="Y696" t="str">
        <f t="shared" si="10"/>
        <v>Low</v>
      </c>
    </row>
    <row r="697" spans="1:25">
      <c r="A697" t="s">
        <v>810</v>
      </c>
      <c r="B697" s="1">
        <v>44934</v>
      </c>
      <c r="C697" s="2">
        <v>0.44791666666666669</v>
      </c>
      <c r="D697" t="s">
        <v>34</v>
      </c>
      <c r="E697" t="s">
        <v>35</v>
      </c>
      <c r="F697" t="s">
        <v>36</v>
      </c>
      <c r="G697" t="s">
        <v>36</v>
      </c>
      <c r="H697" s="2">
        <v>0.45069444444444445</v>
      </c>
      <c r="I697" s="2">
        <v>0.47222222222222221</v>
      </c>
      <c r="J697">
        <v>10</v>
      </c>
      <c r="K697">
        <v>9</v>
      </c>
      <c r="L697" t="s">
        <v>38</v>
      </c>
      <c r="M697">
        <v>27.8</v>
      </c>
      <c r="N697">
        <v>87</v>
      </c>
      <c r="O697">
        <v>9</v>
      </c>
      <c r="P697">
        <v>4.5</v>
      </c>
      <c r="Q697" t="s">
        <v>31</v>
      </c>
      <c r="R697">
        <v>0</v>
      </c>
      <c r="S697">
        <v>0</v>
      </c>
      <c r="T697">
        <v>0</v>
      </c>
      <c r="U697">
        <v>0</v>
      </c>
      <c r="V697">
        <v>6</v>
      </c>
      <c r="W697" t="s">
        <v>72</v>
      </c>
      <c r="X697">
        <v>1</v>
      </c>
      <c r="Y697" t="str">
        <f t="shared" si="10"/>
        <v>Low</v>
      </c>
    </row>
    <row r="698" spans="1:25">
      <c r="A698" t="s">
        <v>811</v>
      </c>
      <c r="B698" s="1">
        <v>44934</v>
      </c>
      <c r="C698" s="2">
        <v>0.45833333333333331</v>
      </c>
      <c r="D698" t="s">
        <v>26</v>
      </c>
      <c r="E698" t="s">
        <v>93</v>
      </c>
      <c r="F698" t="s">
        <v>116</v>
      </c>
      <c r="G698" t="s">
        <v>118</v>
      </c>
      <c r="H698" s="2">
        <v>0.46041666666666664</v>
      </c>
      <c r="I698" s="2">
        <v>0.49236111111111114</v>
      </c>
      <c r="J698">
        <v>9</v>
      </c>
      <c r="K698">
        <v>22</v>
      </c>
      <c r="L698" t="s">
        <v>38</v>
      </c>
      <c r="M698">
        <v>26.4</v>
      </c>
      <c r="N698">
        <v>77</v>
      </c>
      <c r="O698">
        <v>10</v>
      </c>
      <c r="P698">
        <v>16.3</v>
      </c>
      <c r="Q698" t="s">
        <v>46</v>
      </c>
      <c r="R698">
        <v>50000</v>
      </c>
      <c r="S698">
        <v>79</v>
      </c>
      <c r="T698">
        <v>0</v>
      </c>
      <c r="U698">
        <v>1</v>
      </c>
      <c r="V698">
        <v>6</v>
      </c>
      <c r="W698" t="s">
        <v>32</v>
      </c>
      <c r="X698">
        <v>1</v>
      </c>
      <c r="Y698" t="str">
        <f t="shared" si="10"/>
        <v>High</v>
      </c>
    </row>
    <row r="699" spans="1:25">
      <c r="A699" t="s">
        <v>812</v>
      </c>
      <c r="B699" s="1">
        <v>44934</v>
      </c>
      <c r="C699" s="2">
        <v>0.46875</v>
      </c>
      <c r="D699" t="s">
        <v>74</v>
      </c>
      <c r="E699" t="s">
        <v>98</v>
      </c>
      <c r="F699" t="s">
        <v>36</v>
      </c>
      <c r="G699" t="s">
        <v>43</v>
      </c>
      <c r="H699" s="2">
        <v>0.47083333333333333</v>
      </c>
      <c r="I699" s="2">
        <v>0.50555555555555554</v>
      </c>
      <c r="J699">
        <v>12</v>
      </c>
      <c r="K699">
        <v>14</v>
      </c>
      <c r="L699" t="s">
        <v>38</v>
      </c>
      <c r="M699">
        <v>32.200000000000003</v>
      </c>
      <c r="N699">
        <v>83</v>
      </c>
      <c r="O699">
        <v>49</v>
      </c>
      <c r="P699">
        <v>16.899999999999999</v>
      </c>
      <c r="Q699" t="s">
        <v>31</v>
      </c>
      <c r="R699">
        <v>50000</v>
      </c>
      <c r="S699">
        <v>86</v>
      </c>
      <c r="T699">
        <v>0</v>
      </c>
      <c r="U699">
        <v>1</v>
      </c>
      <c r="V699">
        <v>6</v>
      </c>
      <c r="W699" t="s">
        <v>32</v>
      </c>
      <c r="X699">
        <v>1</v>
      </c>
      <c r="Y699" t="str">
        <f t="shared" si="10"/>
        <v>High</v>
      </c>
    </row>
    <row r="700" spans="1:25">
      <c r="A700" t="s">
        <v>813</v>
      </c>
      <c r="B700" s="1">
        <v>44934</v>
      </c>
      <c r="C700" s="2">
        <v>0.47916666666666669</v>
      </c>
      <c r="D700" t="s">
        <v>74</v>
      </c>
      <c r="E700" t="s">
        <v>27</v>
      </c>
      <c r="F700" t="s">
        <v>135</v>
      </c>
      <c r="G700" t="s">
        <v>80</v>
      </c>
      <c r="H700" s="2">
        <v>0.48194444444444445</v>
      </c>
      <c r="I700" s="2">
        <v>0.49305555555555558</v>
      </c>
      <c r="J700">
        <v>15</v>
      </c>
      <c r="K700">
        <v>16</v>
      </c>
      <c r="L700" t="s">
        <v>45</v>
      </c>
      <c r="M700">
        <v>25.3</v>
      </c>
      <c r="N700">
        <v>47</v>
      </c>
      <c r="O700">
        <v>22</v>
      </c>
      <c r="P700">
        <v>4.0999999999999996</v>
      </c>
      <c r="Q700" t="s">
        <v>31</v>
      </c>
      <c r="R700">
        <v>50000</v>
      </c>
      <c r="S700">
        <v>71</v>
      </c>
      <c r="T700">
        <v>1</v>
      </c>
      <c r="U700">
        <v>0</v>
      </c>
      <c r="V700">
        <v>6</v>
      </c>
      <c r="W700" t="s">
        <v>55</v>
      </c>
      <c r="X700">
        <v>1</v>
      </c>
      <c r="Y700" t="str">
        <f t="shared" si="10"/>
        <v>High</v>
      </c>
    </row>
    <row r="701" spans="1:25">
      <c r="A701" t="s">
        <v>814</v>
      </c>
      <c r="B701" s="1">
        <v>44934</v>
      </c>
      <c r="C701" s="2">
        <v>0.48958333333333331</v>
      </c>
      <c r="D701" t="s">
        <v>26</v>
      </c>
      <c r="E701" t="s">
        <v>93</v>
      </c>
      <c r="F701" t="s">
        <v>194</v>
      </c>
      <c r="G701" t="s">
        <v>62</v>
      </c>
      <c r="H701" s="2">
        <v>0.49027777777777776</v>
      </c>
      <c r="I701" s="2">
        <v>0.51944444444444449</v>
      </c>
      <c r="J701">
        <v>2</v>
      </c>
      <c r="K701">
        <v>12</v>
      </c>
      <c r="L701" t="s">
        <v>84</v>
      </c>
      <c r="M701">
        <v>-2.9</v>
      </c>
      <c r="N701">
        <v>32</v>
      </c>
      <c r="O701">
        <v>46</v>
      </c>
      <c r="P701">
        <v>14.2</v>
      </c>
      <c r="Q701" t="s">
        <v>59</v>
      </c>
      <c r="R701">
        <v>10000</v>
      </c>
      <c r="S701">
        <v>46</v>
      </c>
      <c r="T701">
        <v>0</v>
      </c>
      <c r="U701">
        <v>0</v>
      </c>
      <c r="V701">
        <v>6</v>
      </c>
      <c r="W701" t="s">
        <v>55</v>
      </c>
      <c r="X701">
        <v>1</v>
      </c>
      <c r="Y701" t="str">
        <f t="shared" si="10"/>
        <v>Medium</v>
      </c>
    </row>
    <row r="702" spans="1:25">
      <c r="A702" t="s">
        <v>815</v>
      </c>
      <c r="B702" s="1">
        <v>44934</v>
      </c>
      <c r="C702" s="2">
        <v>0.5</v>
      </c>
      <c r="D702" t="s">
        <v>74</v>
      </c>
      <c r="E702" t="s">
        <v>89</v>
      </c>
      <c r="F702" t="s">
        <v>91</v>
      </c>
      <c r="G702" t="s">
        <v>197</v>
      </c>
      <c r="H702" s="2">
        <v>0.50277777777777777</v>
      </c>
      <c r="I702" s="2">
        <v>0.52986111111111112</v>
      </c>
      <c r="J702">
        <v>4</v>
      </c>
      <c r="K702">
        <v>-1</v>
      </c>
      <c r="L702" t="s">
        <v>77</v>
      </c>
      <c r="M702">
        <v>28.5</v>
      </c>
      <c r="N702">
        <v>53</v>
      </c>
      <c r="O702">
        <v>2</v>
      </c>
      <c r="P702">
        <v>14.6</v>
      </c>
      <c r="Q702" t="s">
        <v>46</v>
      </c>
      <c r="R702">
        <v>0</v>
      </c>
      <c r="S702">
        <v>75</v>
      </c>
      <c r="T702">
        <v>0</v>
      </c>
      <c r="U702">
        <v>0</v>
      </c>
      <c r="V702">
        <v>6</v>
      </c>
      <c r="W702" t="s">
        <v>39</v>
      </c>
      <c r="X702">
        <v>0</v>
      </c>
      <c r="Y702" t="str">
        <f t="shared" si="10"/>
        <v>High</v>
      </c>
    </row>
    <row r="703" spans="1:25">
      <c r="A703" t="s">
        <v>816</v>
      </c>
      <c r="B703" s="1">
        <v>44934</v>
      </c>
      <c r="C703" s="2">
        <v>0.51041666666666663</v>
      </c>
      <c r="D703" t="s">
        <v>34</v>
      </c>
      <c r="E703" t="s">
        <v>89</v>
      </c>
      <c r="F703" t="s">
        <v>76</v>
      </c>
      <c r="G703" t="s">
        <v>99</v>
      </c>
      <c r="H703" s="2">
        <v>0.51041666666666663</v>
      </c>
      <c r="I703" s="2">
        <v>0.52986111111111112</v>
      </c>
      <c r="J703">
        <v>8</v>
      </c>
      <c r="K703">
        <v>23</v>
      </c>
      <c r="L703" t="s">
        <v>54</v>
      </c>
      <c r="M703">
        <v>32.5</v>
      </c>
      <c r="N703">
        <v>30</v>
      </c>
      <c r="O703">
        <v>38</v>
      </c>
      <c r="P703">
        <v>3.5</v>
      </c>
      <c r="Q703" t="s">
        <v>46</v>
      </c>
      <c r="R703">
        <v>0</v>
      </c>
      <c r="S703">
        <v>9</v>
      </c>
      <c r="T703">
        <v>0</v>
      </c>
      <c r="U703">
        <v>0</v>
      </c>
      <c r="V703">
        <v>6</v>
      </c>
      <c r="W703" t="s">
        <v>55</v>
      </c>
      <c r="X703">
        <v>1</v>
      </c>
      <c r="Y703" t="str">
        <f t="shared" si="10"/>
        <v>Low</v>
      </c>
    </row>
    <row r="704" spans="1:25">
      <c r="A704" t="s">
        <v>817</v>
      </c>
      <c r="B704" s="1">
        <v>44934</v>
      </c>
      <c r="C704" s="2">
        <v>0.52083333333333337</v>
      </c>
      <c r="D704" t="s">
        <v>41</v>
      </c>
      <c r="E704" t="s">
        <v>27</v>
      </c>
      <c r="F704" t="s">
        <v>118</v>
      </c>
      <c r="G704" t="s">
        <v>29</v>
      </c>
      <c r="H704" s="2">
        <v>0.5229166666666667</v>
      </c>
      <c r="I704" s="2">
        <v>0.5493055555555556</v>
      </c>
      <c r="J704">
        <v>8</v>
      </c>
      <c r="K704">
        <v>11</v>
      </c>
      <c r="L704" t="s">
        <v>84</v>
      </c>
      <c r="M704">
        <v>34.700000000000003</v>
      </c>
      <c r="N704">
        <v>35</v>
      </c>
      <c r="O704">
        <v>38</v>
      </c>
      <c r="P704">
        <v>8.6999999999999993</v>
      </c>
      <c r="Q704" t="s">
        <v>31</v>
      </c>
      <c r="R704">
        <v>0</v>
      </c>
      <c r="S704">
        <v>15</v>
      </c>
      <c r="T704">
        <v>0</v>
      </c>
      <c r="U704">
        <v>0</v>
      </c>
      <c r="V704">
        <v>6</v>
      </c>
      <c r="W704" t="s">
        <v>32</v>
      </c>
      <c r="X704">
        <v>1</v>
      </c>
      <c r="Y704" t="str">
        <f t="shared" si="10"/>
        <v>Low</v>
      </c>
    </row>
    <row r="705" spans="1:25">
      <c r="A705" t="s">
        <v>818</v>
      </c>
      <c r="B705" s="1">
        <v>44934</v>
      </c>
      <c r="C705" s="2">
        <v>0.53125</v>
      </c>
      <c r="D705" t="s">
        <v>34</v>
      </c>
      <c r="E705" t="s">
        <v>98</v>
      </c>
      <c r="F705" t="s">
        <v>148</v>
      </c>
      <c r="G705" t="s">
        <v>44</v>
      </c>
      <c r="H705" s="2">
        <v>0.53263888888888888</v>
      </c>
      <c r="I705" s="2">
        <v>0.55277777777777781</v>
      </c>
      <c r="J705">
        <v>12</v>
      </c>
      <c r="K705">
        <v>18</v>
      </c>
      <c r="L705" t="s">
        <v>84</v>
      </c>
      <c r="M705">
        <v>0</v>
      </c>
      <c r="N705">
        <v>48</v>
      </c>
      <c r="O705">
        <v>16</v>
      </c>
      <c r="P705">
        <v>12.4</v>
      </c>
      <c r="Q705" t="s">
        <v>31</v>
      </c>
      <c r="R705">
        <v>50000</v>
      </c>
      <c r="S705">
        <v>46</v>
      </c>
      <c r="T705">
        <v>0</v>
      </c>
      <c r="U705">
        <v>0</v>
      </c>
      <c r="V705">
        <v>6</v>
      </c>
      <c r="W705" t="s">
        <v>39</v>
      </c>
      <c r="X705">
        <v>1</v>
      </c>
      <c r="Y705" t="str">
        <f t="shared" si="10"/>
        <v>Medium</v>
      </c>
    </row>
    <row r="706" spans="1:25">
      <c r="A706" t="s">
        <v>819</v>
      </c>
      <c r="B706" s="1">
        <v>44934</v>
      </c>
      <c r="C706" s="2">
        <v>0.54166666666666663</v>
      </c>
      <c r="D706" t="s">
        <v>41</v>
      </c>
      <c r="E706" t="s">
        <v>98</v>
      </c>
      <c r="F706" t="s">
        <v>123</v>
      </c>
      <c r="G706" t="s">
        <v>148</v>
      </c>
      <c r="H706" s="2">
        <v>0.54166666666666663</v>
      </c>
      <c r="I706" s="2">
        <v>0.56666666666666665</v>
      </c>
      <c r="J706">
        <v>7</v>
      </c>
      <c r="K706">
        <v>19</v>
      </c>
      <c r="L706" t="s">
        <v>84</v>
      </c>
      <c r="M706">
        <v>19.5</v>
      </c>
      <c r="N706">
        <v>72</v>
      </c>
      <c r="O706">
        <v>21</v>
      </c>
      <c r="P706">
        <v>0.5</v>
      </c>
      <c r="Q706" t="s">
        <v>31</v>
      </c>
      <c r="R706">
        <v>0</v>
      </c>
      <c r="S706">
        <v>42</v>
      </c>
      <c r="T706">
        <v>0</v>
      </c>
      <c r="U706">
        <v>0</v>
      </c>
      <c r="V706">
        <v>6</v>
      </c>
      <c r="W706" t="s">
        <v>55</v>
      </c>
      <c r="X706">
        <v>1</v>
      </c>
      <c r="Y706" t="str">
        <f t="shared" ref="Y706:Y769" si="11">IF(S706&lt;=33,"Low",IF(S706&lt;=66,"Medium","High"))</f>
        <v>Medium</v>
      </c>
    </row>
    <row r="707" spans="1:25">
      <c r="A707" t="s">
        <v>820</v>
      </c>
      <c r="B707" s="1">
        <v>44934</v>
      </c>
      <c r="C707" s="2">
        <v>0.55208333333333337</v>
      </c>
      <c r="D707" t="s">
        <v>41</v>
      </c>
      <c r="E707" t="s">
        <v>52</v>
      </c>
      <c r="F707" t="s">
        <v>203</v>
      </c>
      <c r="G707" t="s">
        <v>154</v>
      </c>
      <c r="H707" s="2">
        <v>0.55208333333333337</v>
      </c>
      <c r="I707" s="2">
        <v>0.58263888888888893</v>
      </c>
      <c r="J707">
        <v>12</v>
      </c>
      <c r="K707">
        <v>0</v>
      </c>
      <c r="L707" t="s">
        <v>45</v>
      </c>
      <c r="M707">
        <v>3</v>
      </c>
      <c r="N707">
        <v>37</v>
      </c>
      <c r="O707">
        <v>51</v>
      </c>
      <c r="P707">
        <v>8.1</v>
      </c>
      <c r="Q707" t="s">
        <v>46</v>
      </c>
      <c r="R707">
        <v>0</v>
      </c>
      <c r="S707">
        <v>23</v>
      </c>
      <c r="T707">
        <v>0</v>
      </c>
      <c r="U707">
        <v>1</v>
      </c>
      <c r="V707">
        <v>6</v>
      </c>
      <c r="W707" t="s">
        <v>72</v>
      </c>
      <c r="X707">
        <v>0</v>
      </c>
      <c r="Y707" t="str">
        <f t="shared" si="11"/>
        <v>Low</v>
      </c>
    </row>
    <row r="708" spans="1:25">
      <c r="A708" t="s">
        <v>821</v>
      </c>
      <c r="B708" s="1">
        <v>44934</v>
      </c>
      <c r="C708" s="2">
        <v>0.5625</v>
      </c>
      <c r="D708" t="s">
        <v>34</v>
      </c>
      <c r="E708" t="s">
        <v>42</v>
      </c>
      <c r="F708" t="s">
        <v>197</v>
      </c>
      <c r="G708" t="s">
        <v>203</v>
      </c>
      <c r="H708" s="2">
        <v>0.56527777777777777</v>
      </c>
      <c r="I708" s="2">
        <v>0.59513888888888888</v>
      </c>
      <c r="J708">
        <v>10</v>
      </c>
      <c r="K708">
        <v>19</v>
      </c>
      <c r="L708" t="s">
        <v>54</v>
      </c>
      <c r="M708">
        <v>5.5</v>
      </c>
      <c r="N708">
        <v>98</v>
      </c>
      <c r="O708">
        <v>26</v>
      </c>
      <c r="P708">
        <v>3.1</v>
      </c>
      <c r="Q708" t="s">
        <v>46</v>
      </c>
      <c r="R708">
        <v>0</v>
      </c>
      <c r="S708">
        <v>7</v>
      </c>
      <c r="T708">
        <v>0</v>
      </c>
      <c r="U708">
        <v>0</v>
      </c>
      <c r="V708">
        <v>6</v>
      </c>
      <c r="W708" t="s">
        <v>55</v>
      </c>
      <c r="X708">
        <v>1</v>
      </c>
      <c r="Y708" t="str">
        <f t="shared" si="11"/>
        <v>Low</v>
      </c>
    </row>
    <row r="709" spans="1:25">
      <c r="A709" t="s">
        <v>822</v>
      </c>
      <c r="B709" s="1">
        <v>44934</v>
      </c>
      <c r="C709" s="2">
        <v>0.57291666666666663</v>
      </c>
      <c r="D709" t="s">
        <v>34</v>
      </c>
      <c r="E709" t="s">
        <v>57</v>
      </c>
      <c r="F709" t="s">
        <v>80</v>
      </c>
      <c r="G709" t="s">
        <v>28</v>
      </c>
      <c r="H709" s="2">
        <v>0.57361111111111107</v>
      </c>
      <c r="I709" s="2">
        <v>0.59652777777777777</v>
      </c>
      <c r="J709">
        <v>11</v>
      </c>
      <c r="K709">
        <v>5</v>
      </c>
      <c r="L709" t="s">
        <v>45</v>
      </c>
      <c r="M709">
        <v>24.8</v>
      </c>
      <c r="N709">
        <v>81</v>
      </c>
      <c r="O709">
        <v>55</v>
      </c>
      <c r="P709">
        <v>10.8</v>
      </c>
      <c r="Q709" t="s">
        <v>63</v>
      </c>
      <c r="R709">
        <v>0</v>
      </c>
      <c r="S709">
        <v>74</v>
      </c>
      <c r="T709">
        <v>0</v>
      </c>
      <c r="U709">
        <v>0</v>
      </c>
      <c r="V709">
        <v>6</v>
      </c>
      <c r="W709" t="s">
        <v>72</v>
      </c>
      <c r="X709">
        <v>0</v>
      </c>
      <c r="Y709" t="str">
        <f t="shared" si="11"/>
        <v>High</v>
      </c>
    </row>
    <row r="710" spans="1:25">
      <c r="A710" t="s">
        <v>823</v>
      </c>
      <c r="B710" s="1">
        <v>44934</v>
      </c>
      <c r="C710" s="2">
        <v>0.58333333333333337</v>
      </c>
      <c r="D710" t="s">
        <v>34</v>
      </c>
      <c r="E710" t="s">
        <v>61</v>
      </c>
      <c r="F710" t="s">
        <v>76</v>
      </c>
      <c r="G710" t="s">
        <v>142</v>
      </c>
      <c r="H710" s="2">
        <v>0.5854166666666667</v>
      </c>
      <c r="I710" s="2">
        <v>0.61736111111111114</v>
      </c>
      <c r="J710">
        <v>14</v>
      </c>
      <c r="K710">
        <v>20</v>
      </c>
      <c r="L710" t="s">
        <v>54</v>
      </c>
      <c r="M710">
        <v>34.1</v>
      </c>
      <c r="N710">
        <v>76</v>
      </c>
      <c r="O710">
        <v>15</v>
      </c>
      <c r="P710">
        <v>16.899999999999999</v>
      </c>
      <c r="Q710" t="s">
        <v>31</v>
      </c>
      <c r="R710">
        <v>0</v>
      </c>
      <c r="S710">
        <v>25</v>
      </c>
      <c r="T710">
        <v>0</v>
      </c>
      <c r="U710">
        <v>0</v>
      </c>
      <c r="V710">
        <v>6</v>
      </c>
      <c r="W710" t="s">
        <v>55</v>
      </c>
      <c r="X710">
        <v>1</v>
      </c>
      <c r="Y710" t="str">
        <f t="shared" si="11"/>
        <v>Low</v>
      </c>
    </row>
    <row r="711" spans="1:25">
      <c r="A711" t="s">
        <v>824</v>
      </c>
      <c r="B711" s="1">
        <v>44934</v>
      </c>
      <c r="C711" s="2">
        <v>0.59375</v>
      </c>
      <c r="D711" t="s">
        <v>34</v>
      </c>
      <c r="E711" t="s">
        <v>157</v>
      </c>
      <c r="F711" t="s">
        <v>65</v>
      </c>
      <c r="G711" t="s">
        <v>185</v>
      </c>
      <c r="H711" s="2">
        <v>0.59513888888888888</v>
      </c>
      <c r="I711" s="2">
        <v>0.62569444444444444</v>
      </c>
      <c r="J711">
        <v>10</v>
      </c>
      <c r="K711">
        <v>17</v>
      </c>
      <c r="L711" t="s">
        <v>54</v>
      </c>
      <c r="M711">
        <v>18.8</v>
      </c>
      <c r="N711">
        <v>57</v>
      </c>
      <c r="O711">
        <v>15</v>
      </c>
      <c r="P711">
        <v>10.5</v>
      </c>
      <c r="Q711" t="s">
        <v>31</v>
      </c>
      <c r="R711">
        <v>500</v>
      </c>
      <c r="S711">
        <v>6</v>
      </c>
      <c r="T711">
        <v>0</v>
      </c>
      <c r="U711">
        <v>0</v>
      </c>
      <c r="V711">
        <v>6</v>
      </c>
      <c r="W711" t="s">
        <v>32</v>
      </c>
      <c r="X711">
        <v>1</v>
      </c>
      <c r="Y711" t="str">
        <f t="shared" si="11"/>
        <v>Low</v>
      </c>
    </row>
    <row r="712" spans="1:25">
      <c r="A712" t="s">
        <v>825</v>
      </c>
      <c r="B712" s="1">
        <v>44934</v>
      </c>
      <c r="C712" s="2">
        <v>0.60416666666666663</v>
      </c>
      <c r="D712" t="s">
        <v>26</v>
      </c>
      <c r="E712" t="s">
        <v>79</v>
      </c>
      <c r="F712" t="s">
        <v>62</v>
      </c>
      <c r="G712" t="s">
        <v>105</v>
      </c>
      <c r="H712" s="2">
        <v>0.60416666666666663</v>
      </c>
      <c r="I712" s="2">
        <v>0.63263888888888886</v>
      </c>
      <c r="J712">
        <v>7</v>
      </c>
      <c r="K712">
        <v>12</v>
      </c>
      <c r="L712" t="s">
        <v>45</v>
      </c>
      <c r="M712">
        <v>29</v>
      </c>
      <c r="N712">
        <v>75</v>
      </c>
      <c r="O712">
        <v>39</v>
      </c>
      <c r="P712">
        <v>0.7</v>
      </c>
      <c r="Q712" t="s">
        <v>31</v>
      </c>
      <c r="R712">
        <v>0</v>
      </c>
      <c r="S712">
        <v>78</v>
      </c>
      <c r="T712">
        <v>0</v>
      </c>
      <c r="U712">
        <v>0</v>
      </c>
      <c r="V712">
        <v>6</v>
      </c>
      <c r="W712" t="s">
        <v>55</v>
      </c>
      <c r="X712">
        <v>1</v>
      </c>
      <c r="Y712" t="str">
        <f t="shared" si="11"/>
        <v>High</v>
      </c>
    </row>
    <row r="713" spans="1:25">
      <c r="A713" t="s">
        <v>826</v>
      </c>
      <c r="B713" s="1">
        <v>44934</v>
      </c>
      <c r="C713" s="2">
        <v>0.61458333333333337</v>
      </c>
      <c r="D713" t="s">
        <v>74</v>
      </c>
      <c r="E713" t="s">
        <v>48</v>
      </c>
      <c r="F713" t="s">
        <v>49</v>
      </c>
      <c r="G713" t="s">
        <v>37</v>
      </c>
      <c r="H713" s="2">
        <v>0.61597222222222225</v>
      </c>
      <c r="I713" s="2">
        <v>0.63472222222222219</v>
      </c>
      <c r="J713">
        <v>-2</v>
      </c>
      <c r="K713">
        <v>21</v>
      </c>
      <c r="L713" t="s">
        <v>54</v>
      </c>
      <c r="M713">
        <v>-4.5999999999999996</v>
      </c>
      <c r="N713">
        <v>33</v>
      </c>
      <c r="O713">
        <v>2</v>
      </c>
      <c r="P713">
        <v>0.6</v>
      </c>
      <c r="Q713" t="s">
        <v>31</v>
      </c>
      <c r="R713">
        <v>0</v>
      </c>
      <c r="S713">
        <v>14</v>
      </c>
      <c r="T713">
        <v>0</v>
      </c>
      <c r="U713">
        <v>0</v>
      </c>
      <c r="V713">
        <v>6</v>
      </c>
      <c r="W713" t="s">
        <v>72</v>
      </c>
      <c r="X713">
        <v>1</v>
      </c>
      <c r="Y713" t="str">
        <f t="shared" si="11"/>
        <v>Low</v>
      </c>
    </row>
    <row r="714" spans="1:25">
      <c r="A714" t="s">
        <v>827</v>
      </c>
      <c r="B714" s="1">
        <v>44934</v>
      </c>
      <c r="C714" s="2">
        <v>0.625</v>
      </c>
      <c r="D714" t="s">
        <v>41</v>
      </c>
      <c r="E714" t="s">
        <v>157</v>
      </c>
      <c r="F714" t="s">
        <v>100</v>
      </c>
      <c r="G714" t="s">
        <v>105</v>
      </c>
      <c r="H714" s="2">
        <v>0.62569444444444444</v>
      </c>
      <c r="I714" s="2">
        <v>0.65972222222222221</v>
      </c>
      <c r="J714">
        <v>-2</v>
      </c>
      <c r="K714">
        <v>22</v>
      </c>
      <c r="L714" t="s">
        <v>84</v>
      </c>
      <c r="M714">
        <v>-3.5</v>
      </c>
      <c r="N714">
        <v>37</v>
      </c>
      <c r="O714">
        <v>51</v>
      </c>
      <c r="P714">
        <v>12.1</v>
      </c>
      <c r="Q714" t="s">
        <v>31</v>
      </c>
      <c r="R714">
        <v>10000</v>
      </c>
      <c r="S714">
        <v>47</v>
      </c>
      <c r="T714">
        <v>0</v>
      </c>
      <c r="U714">
        <v>0</v>
      </c>
      <c r="V714">
        <v>6</v>
      </c>
      <c r="W714" t="s">
        <v>72</v>
      </c>
      <c r="X714">
        <v>1</v>
      </c>
      <c r="Y714" t="str">
        <f t="shared" si="11"/>
        <v>Medium</v>
      </c>
    </row>
    <row r="715" spans="1:25">
      <c r="A715" t="s">
        <v>828</v>
      </c>
      <c r="B715" s="1">
        <v>44934</v>
      </c>
      <c r="C715" s="2">
        <v>0.63541666666666663</v>
      </c>
      <c r="D715" t="s">
        <v>34</v>
      </c>
      <c r="E715" t="s">
        <v>104</v>
      </c>
      <c r="F715" t="s">
        <v>185</v>
      </c>
      <c r="G715" t="s">
        <v>36</v>
      </c>
      <c r="H715" s="2">
        <v>0.63611111111111107</v>
      </c>
      <c r="I715" s="2">
        <v>0.66736111111111107</v>
      </c>
      <c r="J715">
        <v>12</v>
      </c>
      <c r="K715">
        <v>5</v>
      </c>
      <c r="L715" t="s">
        <v>45</v>
      </c>
      <c r="M715">
        <v>18.899999999999999</v>
      </c>
      <c r="N715">
        <v>90</v>
      </c>
      <c r="O715">
        <v>46</v>
      </c>
      <c r="P715">
        <v>6.6</v>
      </c>
      <c r="Q715" t="s">
        <v>63</v>
      </c>
      <c r="R715">
        <v>2000</v>
      </c>
      <c r="S715">
        <v>2</v>
      </c>
      <c r="T715">
        <v>0</v>
      </c>
      <c r="U715">
        <v>0</v>
      </c>
      <c r="V715">
        <v>6</v>
      </c>
      <c r="W715" t="s">
        <v>55</v>
      </c>
      <c r="X715">
        <v>0</v>
      </c>
      <c r="Y715" t="str">
        <f t="shared" si="11"/>
        <v>Low</v>
      </c>
    </row>
    <row r="716" spans="1:25">
      <c r="A716" t="s">
        <v>829</v>
      </c>
      <c r="B716" s="1">
        <v>44934</v>
      </c>
      <c r="C716" s="2">
        <v>0.64583333333333337</v>
      </c>
      <c r="D716" t="s">
        <v>34</v>
      </c>
      <c r="E716" t="s">
        <v>98</v>
      </c>
      <c r="F716" t="s">
        <v>116</v>
      </c>
      <c r="G716" t="s">
        <v>66</v>
      </c>
      <c r="H716" s="2">
        <v>0.64722222222222225</v>
      </c>
      <c r="I716" s="2">
        <v>0.66736111111111107</v>
      </c>
      <c r="J716">
        <v>13</v>
      </c>
      <c r="K716">
        <v>11</v>
      </c>
      <c r="L716" t="s">
        <v>54</v>
      </c>
      <c r="M716">
        <v>10.6</v>
      </c>
      <c r="N716">
        <v>46</v>
      </c>
      <c r="O716">
        <v>32</v>
      </c>
      <c r="P716">
        <v>11.5</v>
      </c>
      <c r="Q716" t="s">
        <v>31</v>
      </c>
      <c r="R716">
        <v>0</v>
      </c>
      <c r="S716">
        <v>15</v>
      </c>
      <c r="T716">
        <v>0</v>
      </c>
      <c r="U716">
        <v>0</v>
      </c>
      <c r="V716">
        <v>6</v>
      </c>
      <c r="W716" t="s">
        <v>39</v>
      </c>
      <c r="X716">
        <v>1</v>
      </c>
      <c r="Y716" t="str">
        <f t="shared" si="11"/>
        <v>Low</v>
      </c>
    </row>
    <row r="717" spans="1:25">
      <c r="A717" t="s">
        <v>830</v>
      </c>
      <c r="B717" s="1">
        <v>44934</v>
      </c>
      <c r="C717" s="2">
        <v>0.65625</v>
      </c>
      <c r="D717" t="s">
        <v>34</v>
      </c>
      <c r="E717" t="s">
        <v>79</v>
      </c>
      <c r="F717" t="s">
        <v>43</v>
      </c>
      <c r="G717" t="s">
        <v>168</v>
      </c>
      <c r="H717" s="2">
        <v>0.65833333333333333</v>
      </c>
      <c r="I717" s="2">
        <v>0.69097222222222221</v>
      </c>
      <c r="J717">
        <v>9</v>
      </c>
      <c r="K717">
        <v>29</v>
      </c>
      <c r="L717" t="s">
        <v>38</v>
      </c>
      <c r="M717">
        <v>30.6</v>
      </c>
      <c r="N717">
        <v>63</v>
      </c>
      <c r="O717">
        <v>41</v>
      </c>
      <c r="P717">
        <v>3.3</v>
      </c>
      <c r="Q717" t="s">
        <v>31</v>
      </c>
      <c r="R717">
        <v>50000</v>
      </c>
      <c r="S717">
        <v>78</v>
      </c>
      <c r="T717">
        <v>0</v>
      </c>
      <c r="U717">
        <v>0</v>
      </c>
      <c r="V717">
        <v>6</v>
      </c>
      <c r="W717" t="s">
        <v>72</v>
      </c>
      <c r="X717">
        <v>1</v>
      </c>
      <c r="Y717" t="str">
        <f t="shared" si="11"/>
        <v>High</v>
      </c>
    </row>
    <row r="718" spans="1:25">
      <c r="A718" t="s">
        <v>831</v>
      </c>
      <c r="B718" s="1">
        <v>44934</v>
      </c>
      <c r="C718" s="2">
        <v>0.66666666666666663</v>
      </c>
      <c r="D718" t="s">
        <v>26</v>
      </c>
      <c r="E718" t="s">
        <v>48</v>
      </c>
      <c r="F718" t="s">
        <v>151</v>
      </c>
      <c r="G718" t="s">
        <v>62</v>
      </c>
      <c r="H718" s="2">
        <v>0.66736111111111107</v>
      </c>
      <c r="I718" s="2">
        <v>0.70208333333333328</v>
      </c>
      <c r="J718">
        <v>3</v>
      </c>
      <c r="K718">
        <v>-3</v>
      </c>
      <c r="L718" t="s">
        <v>45</v>
      </c>
      <c r="M718">
        <v>7.1</v>
      </c>
      <c r="N718">
        <v>49</v>
      </c>
      <c r="O718">
        <v>1</v>
      </c>
      <c r="P718">
        <v>15.5</v>
      </c>
      <c r="Q718" t="s">
        <v>71</v>
      </c>
      <c r="R718">
        <v>2000</v>
      </c>
      <c r="S718">
        <v>88</v>
      </c>
      <c r="T718">
        <v>1</v>
      </c>
      <c r="U718">
        <v>0</v>
      </c>
      <c r="V718">
        <v>6</v>
      </c>
      <c r="W718" t="s">
        <v>32</v>
      </c>
      <c r="X718">
        <v>0</v>
      </c>
      <c r="Y718" t="str">
        <f t="shared" si="11"/>
        <v>High</v>
      </c>
    </row>
    <row r="719" spans="1:25">
      <c r="A719" t="s">
        <v>832</v>
      </c>
      <c r="B719" s="1">
        <v>44934</v>
      </c>
      <c r="C719" s="2">
        <v>0.67708333333333337</v>
      </c>
      <c r="D719" t="s">
        <v>34</v>
      </c>
      <c r="E719" t="s">
        <v>157</v>
      </c>
      <c r="F719" t="s">
        <v>65</v>
      </c>
      <c r="G719" t="s">
        <v>37</v>
      </c>
      <c r="H719" s="2">
        <v>0.67847222222222225</v>
      </c>
      <c r="I719" s="2">
        <v>0.71250000000000002</v>
      </c>
      <c r="J719">
        <v>3</v>
      </c>
      <c r="K719">
        <v>1</v>
      </c>
      <c r="L719" t="s">
        <v>30</v>
      </c>
      <c r="M719">
        <v>12.3</v>
      </c>
      <c r="N719">
        <v>63</v>
      </c>
      <c r="O719">
        <v>38</v>
      </c>
      <c r="P719">
        <v>17.2</v>
      </c>
      <c r="Q719" t="s">
        <v>31</v>
      </c>
      <c r="R719">
        <v>0</v>
      </c>
      <c r="S719">
        <v>96</v>
      </c>
      <c r="T719">
        <v>0</v>
      </c>
      <c r="U719">
        <v>0</v>
      </c>
      <c r="V719">
        <v>6</v>
      </c>
      <c r="W719" t="s">
        <v>55</v>
      </c>
      <c r="X719">
        <v>0</v>
      </c>
      <c r="Y719" t="str">
        <f t="shared" si="11"/>
        <v>High</v>
      </c>
    </row>
    <row r="720" spans="1:25">
      <c r="A720" t="s">
        <v>833</v>
      </c>
      <c r="B720" s="1">
        <v>44934</v>
      </c>
      <c r="C720" s="2">
        <v>0.6875</v>
      </c>
      <c r="D720" t="s">
        <v>34</v>
      </c>
      <c r="E720" t="s">
        <v>98</v>
      </c>
      <c r="F720" t="s">
        <v>81</v>
      </c>
      <c r="G720" t="s">
        <v>95</v>
      </c>
      <c r="H720" s="2">
        <v>0.6875</v>
      </c>
      <c r="I720" s="2">
        <v>0.72499999999999998</v>
      </c>
      <c r="J720">
        <v>9</v>
      </c>
      <c r="K720">
        <v>5</v>
      </c>
      <c r="L720" t="s">
        <v>45</v>
      </c>
      <c r="M720">
        <v>16.100000000000001</v>
      </c>
      <c r="N720">
        <v>72</v>
      </c>
      <c r="O720">
        <v>45</v>
      </c>
      <c r="P720">
        <v>17.8</v>
      </c>
      <c r="Q720" t="s">
        <v>59</v>
      </c>
      <c r="R720">
        <v>2000</v>
      </c>
      <c r="S720">
        <v>13</v>
      </c>
      <c r="T720">
        <v>0</v>
      </c>
      <c r="U720">
        <v>0</v>
      </c>
      <c r="V720">
        <v>6</v>
      </c>
      <c r="W720" t="s">
        <v>72</v>
      </c>
      <c r="X720">
        <v>0</v>
      </c>
      <c r="Y720" t="str">
        <f t="shared" si="11"/>
        <v>Low</v>
      </c>
    </row>
    <row r="721" spans="1:25">
      <c r="A721" t="s">
        <v>834</v>
      </c>
      <c r="B721" s="1">
        <v>44934</v>
      </c>
      <c r="C721" s="2">
        <v>0.69791666666666663</v>
      </c>
      <c r="D721" t="s">
        <v>34</v>
      </c>
      <c r="E721" t="s">
        <v>161</v>
      </c>
      <c r="F721" t="s">
        <v>116</v>
      </c>
      <c r="G721" t="s">
        <v>75</v>
      </c>
      <c r="H721" s="2">
        <v>0.69930555555555551</v>
      </c>
      <c r="I721" s="2">
        <v>0.72569444444444442</v>
      </c>
      <c r="J721">
        <v>12</v>
      </c>
      <c r="K721">
        <v>2</v>
      </c>
      <c r="L721" t="s">
        <v>45</v>
      </c>
      <c r="M721">
        <v>5.9</v>
      </c>
      <c r="N721">
        <v>39</v>
      </c>
      <c r="O721">
        <v>47</v>
      </c>
      <c r="P721">
        <v>6.1</v>
      </c>
      <c r="Q721" t="s">
        <v>71</v>
      </c>
      <c r="R721">
        <v>2000</v>
      </c>
      <c r="S721">
        <v>87</v>
      </c>
      <c r="T721">
        <v>0</v>
      </c>
      <c r="U721">
        <v>0</v>
      </c>
      <c r="V721">
        <v>6</v>
      </c>
      <c r="W721" t="s">
        <v>55</v>
      </c>
      <c r="X721">
        <v>0</v>
      </c>
      <c r="Y721" t="str">
        <f t="shared" si="11"/>
        <v>High</v>
      </c>
    </row>
    <row r="722" spans="1:25">
      <c r="A722" t="s">
        <v>835</v>
      </c>
      <c r="B722" s="1">
        <v>44934</v>
      </c>
      <c r="C722" s="2">
        <v>0.70833333333333337</v>
      </c>
      <c r="D722" t="s">
        <v>74</v>
      </c>
      <c r="E722" t="s">
        <v>79</v>
      </c>
      <c r="F722" t="s">
        <v>90</v>
      </c>
      <c r="G722" t="s">
        <v>95</v>
      </c>
      <c r="H722" s="2">
        <v>0.70972222222222225</v>
      </c>
      <c r="I722" s="2">
        <v>0.72847222222222219</v>
      </c>
      <c r="J722">
        <v>1</v>
      </c>
      <c r="K722">
        <v>24</v>
      </c>
      <c r="L722" t="s">
        <v>45</v>
      </c>
      <c r="M722">
        <v>31.3</v>
      </c>
      <c r="N722">
        <v>59</v>
      </c>
      <c r="O722">
        <v>26</v>
      </c>
      <c r="P722">
        <v>13.2</v>
      </c>
      <c r="Q722" t="s">
        <v>31</v>
      </c>
      <c r="R722">
        <v>0</v>
      </c>
      <c r="S722">
        <v>74</v>
      </c>
      <c r="T722">
        <v>1</v>
      </c>
      <c r="U722">
        <v>1</v>
      </c>
      <c r="V722">
        <v>6</v>
      </c>
      <c r="W722" t="s">
        <v>55</v>
      </c>
      <c r="X722">
        <v>1</v>
      </c>
      <c r="Y722" t="str">
        <f t="shared" si="11"/>
        <v>High</v>
      </c>
    </row>
    <row r="723" spans="1:25">
      <c r="A723" t="s">
        <v>836</v>
      </c>
      <c r="B723" s="1">
        <v>44934</v>
      </c>
      <c r="C723" s="2">
        <v>0.71875</v>
      </c>
      <c r="D723" t="s">
        <v>26</v>
      </c>
      <c r="E723" t="s">
        <v>61</v>
      </c>
      <c r="F723" t="s">
        <v>81</v>
      </c>
      <c r="G723" t="s">
        <v>44</v>
      </c>
      <c r="H723" s="2">
        <v>0.72152777777777777</v>
      </c>
      <c r="I723" s="2">
        <v>0.74305555555555558</v>
      </c>
      <c r="J723">
        <v>1</v>
      </c>
      <c r="K723">
        <v>22</v>
      </c>
      <c r="L723" t="s">
        <v>54</v>
      </c>
      <c r="M723">
        <v>13.6</v>
      </c>
      <c r="N723">
        <v>54</v>
      </c>
      <c r="O723">
        <v>59</v>
      </c>
      <c r="P723">
        <v>5.6</v>
      </c>
      <c r="Q723" t="s">
        <v>71</v>
      </c>
      <c r="R723">
        <v>0</v>
      </c>
      <c r="S723">
        <v>2</v>
      </c>
      <c r="T723">
        <v>0</v>
      </c>
      <c r="U723">
        <v>0</v>
      </c>
      <c r="V723">
        <v>6</v>
      </c>
      <c r="W723" t="s">
        <v>39</v>
      </c>
      <c r="X723">
        <v>1</v>
      </c>
      <c r="Y723" t="str">
        <f t="shared" si="11"/>
        <v>Low</v>
      </c>
    </row>
    <row r="724" spans="1:25">
      <c r="A724" t="s">
        <v>837</v>
      </c>
      <c r="B724" s="1">
        <v>44934</v>
      </c>
      <c r="C724" s="2">
        <v>0.72916666666666663</v>
      </c>
      <c r="D724" t="s">
        <v>34</v>
      </c>
      <c r="E724" t="s">
        <v>27</v>
      </c>
      <c r="F724" t="s">
        <v>99</v>
      </c>
      <c r="G724" t="s">
        <v>37</v>
      </c>
      <c r="H724" s="2">
        <v>0.72986111111111107</v>
      </c>
      <c r="I724" s="2">
        <v>0.74722222222222223</v>
      </c>
      <c r="J724">
        <v>-1</v>
      </c>
      <c r="K724">
        <v>24</v>
      </c>
      <c r="L724" t="s">
        <v>45</v>
      </c>
      <c r="M724">
        <v>12</v>
      </c>
      <c r="N724">
        <v>86</v>
      </c>
      <c r="O724">
        <v>14</v>
      </c>
      <c r="P724">
        <v>15.3</v>
      </c>
      <c r="Q724" t="s">
        <v>31</v>
      </c>
      <c r="R724">
        <v>0</v>
      </c>
      <c r="S724">
        <v>72</v>
      </c>
      <c r="T724">
        <v>0</v>
      </c>
      <c r="U724">
        <v>1</v>
      </c>
      <c r="V724">
        <v>6</v>
      </c>
      <c r="W724" t="s">
        <v>55</v>
      </c>
      <c r="X724">
        <v>1</v>
      </c>
      <c r="Y724" t="str">
        <f t="shared" si="11"/>
        <v>High</v>
      </c>
    </row>
    <row r="725" spans="1:25">
      <c r="A725" t="s">
        <v>838</v>
      </c>
      <c r="B725" s="1">
        <v>44934</v>
      </c>
      <c r="C725" s="2">
        <v>0.73958333333333337</v>
      </c>
      <c r="D725" t="s">
        <v>41</v>
      </c>
      <c r="E725" t="s">
        <v>57</v>
      </c>
      <c r="F725" t="s">
        <v>113</v>
      </c>
      <c r="G725" t="s">
        <v>76</v>
      </c>
      <c r="H725" s="2">
        <v>0.7416666666666667</v>
      </c>
      <c r="I725" s="2">
        <v>0.75555555555555554</v>
      </c>
      <c r="J725">
        <v>9</v>
      </c>
      <c r="K725">
        <v>11</v>
      </c>
      <c r="L725" t="s">
        <v>30</v>
      </c>
      <c r="M725">
        <v>29</v>
      </c>
      <c r="N725">
        <v>92</v>
      </c>
      <c r="O725">
        <v>6</v>
      </c>
      <c r="P725">
        <v>2.4</v>
      </c>
      <c r="Q725" t="s">
        <v>31</v>
      </c>
      <c r="R725">
        <v>2000</v>
      </c>
      <c r="S725">
        <v>69</v>
      </c>
      <c r="T725">
        <v>0</v>
      </c>
      <c r="U725">
        <v>1</v>
      </c>
      <c r="V725">
        <v>6</v>
      </c>
      <c r="W725" t="s">
        <v>55</v>
      </c>
      <c r="X725">
        <v>1</v>
      </c>
      <c r="Y725" t="str">
        <f t="shared" si="11"/>
        <v>High</v>
      </c>
    </row>
    <row r="726" spans="1:25">
      <c r="A726" t="s">
        <v>839</v>
      </c>
      <c r="B726" s="1">
        <v>44934</v>
      </c>
      <c r="C726" s="2">
        <v>0.75</v>
      </c>
      <c r="D726" t="s">
        <v>41</v>
      </c>
      <c r="E726" t="s">
        <v>130</v>
      </c>
      <c r="F726" t="s">
        <v>81</v>
      </c>
      <c r="G726" t="s">
        <v>185</v>
      </c>
      <c r="H726" s="2">
        <v>0.75208333333333333</v>
      </c>
      <c r="I726" s="2">
        <v>0.78194444444444444</v>
      </c>
      <c r="J726">
        <v>4</v>
      </c>
      <c r="K726">
        <v>2</v>
      </c>
      <c r="L726" t="s">
        <v>77</v>
      </c>
      <c r="M726">
        <v>7.5</v>
      </c>
      <c r="N726">
        <v>76</v>
      </c>
      <c r="O726">
        <v>44</v>
      </c>
      <c r="P726">
        <v>15.3</v>
      </c>
      <c r="Q726" t="s">
        <v>31</v>
      </c>
      <c r="R726">
        <v>0</v>
      </c>
      <c r="S726">
        <v>30</v>
      </c>
      <c r="T726">
        <v>0</v>
      </c>
      <c r="U726">
        <v>1</v>
      </c>
      <c r="V726">
        <v>6</v>
      </c>
      <c r="W726" t="s">
        <v>55</v>
      </c>
      <c r="X726">
        <v>0</v>
      </c>
      <c r="Y726" t="str">
        <f t="shared" si="11"/>
        <v>Low</v>
      </c>
    </row>
    <row r="727" spans="1:25">
      <c r="A727" t="s">
        <v>840</v>
      </c>
      <c r="B727" s="1">
        <v>44934</v>
      </c>
      <c r="C727" s="2">
        <v>0.76041666666666663</v>
      </c>
      <c r="D727" t="s">
        <v>41</v>
      </c>
      <c r="E727" t="s">
        <v>35</v>
      </c>
      <c r="F727" t="s">
        <v>123</v>
      </c>
      <c r="G727" t="s">
        <v>53</v>
      </c>
      <c r="H727" s="2">
        <v>0.7631944444444444</v>
      </c>
      <c r="I727" s="2">
        <v>0.79097222222222219</v>
      </c>
      <c r="J727">
        <v>17</v>
      </c>
      <c r="K727">
        <v>23</v>
      </c>
      <c r="L727" t="s">
        <v>45</v>
      </c>
      <c r="M727">
        <v>27.7</v>
      </c>
      <c r="N727">
        <v>32</v>
      </c>
      <c r="O727">
        <v>56</v>
      </c>
      <c r="P727">
        <v>8.8000000000000007</v>
      </c>
      <c r="Q727" t="s">
        <v>31</v>
      </c>
      <c r="R727">
        <v>500</v>
      </c>
      <c r="S727">
        <v>79</v>
      </c>
      <c r="T727">
        <v>0</v>
      </c>
      <c r="U727">
        <v>0</v>
      </c>
      <c r="V727">
        <v>6</v>
      </c>
      <c r="W727" t="s">
        <v>32</v>
      </c>
      <c r="X727">
        <v>1</v>
      </c>
      <c r="Y727" t="str">
        <f t="shared" si="11"/>
        <v>High</v>
      </c>
    </row>
    <row r="728" spans="1:25">
      <c r="A728" t="s">
        <v>841</v>
      </c>
      <c r="B728" s="1">
        <v>44934</v>
      </c>
      <c r="C728" s="2">
        <v>0.77083333333333337</v>
      </c>
      <c r="D728" t="s">
        <v>26</v>
      </c>
      <c r="E728" t="s">
        <v>141</v>
      </c>
      <c r="F728" t="s">
        <v>151</v>
      </c>
      <c r="G728" t="s">
        <v>194</v>
      </c>
      <c r="H728" s="2">
        <v>0.7729166666666667</v>
      </c>
      <c r="I728" s="2">
        <v>0.80555555555555558</v>
      </c>
      <c r="J728">
        <v>6</v>
      </c>
      <c r="K728">
        <v>0</v>
      </c>
      <c r="L728" t="s">
        <v>38</v>
      </c>
      <c r="M728">
        <v>-0.1</v>
      </c>
      <c r="N728">
        <v>75</v>
      </c>
      <c r="O728">
        <v>41</v>
      </c>
      <c r="P728">
        <v>17.100000000000001</v>
      </c>
      <c r="Q728" t="s">
        <v>31</v>
      </c>
      <c r="R728">
        <v>0</v>
      </c>
      <c r="S728">
        <v>74</v>
      </c>
      <c r="T728">
        <v>1</v>
      </c>
      <c r="U728">
        <v>1</v>
      </c>
      <c r="V728">
        <v>6</v>
      </c>
      <c r="W728" t="s">
        <v>55</v>
      </c>
      <c r="X728">
        <v>0</v>
      </c>
      <c r="Y728" t="str">
        <f t="shared" si="11"/>
        <v>High</v>
      </c>
    </row>
    <row r="729" spans="1:25">
      <c r="A729" t="s">
        <v>842</v>
      </c>
      <c r="B729" s="1">
        <v>44934</v>
      </c>
      <c r="C729" s="2">
        <v>0.78125</v>
      </c>
      <c r="D729" t="s">
        <v>26</v>
      </c>
      <c r="E729" t="s">
        <v>161</v>
      </c>
      <c r="F729" t="s">
        <v>197</v>
      </c>
      <c r="G729" t="s">
        <v>43</v>
      </c>
      <c r="H729" s="2">
        <v>0.78263888888888888</v>
      </c>
      <c r="I729" s="2">
        <v>0.80208333333333337</v>
      </c>
      <c r="J729">
        <v>6</v>
      </c>
      <c r="K729">
        <v>7</v>
      </c>
      <c r="L729" t="s">
        <v>30</v>
      </c>
      <c r="M729">
        <v>2.2999999999999998</v>
      </c>
      <c r="N729">
        <v>65</v>
      </c>
      <c r="O729">
        <v>8</v>
      </c>
      <c r="P729">
        <v>14.8</v>
      </c>
      <c r="Q729" t="s">
        <v>31</v>
      </c>
      <c r="R729">
        <v>0</v>
      </c>
      <c r="S729">
        <v>16</v>
      </c>
      <c r="T729">
        <v>0</v>
      </c>
      <c r="U729">
        <v>1</v>
      </c>
      <c r="V729">
        <v>6</v>
      </c>
      <c r="W729" t="s">
        <v>32</v>
      </c>
      <c r="X729">
        <v>1</v>
      </c>
      <c r="Y729" t="str">
        <f t="shared" si="11"/>
        <v>Low</v>
      </c>
    </row>
    <row r="730" spans="1:25">
      <c r="A730" t="s">
        <v>843</v>
      </c>
      <c r="B730" s="1">
        <v>44934</v>
      </c>
      <c r="C730" s="2">
        <v>0.79166666666666663</v>
      </c>
      <c r="D730" t="s">
        <v>41</v>
      </c>
      <c r="E730" t="s">
        <v>57</v>
      </c>
      <c r="F730" t="s">
        <v>163</v>
      </c>
      <c r="G730" t="s">
        <v>151</v>
      </c>
      <c r="H730" s="2">
        <v>0.7944444444444444</v>
      </c>
      <c r="I730" s="2">
        <v>0.81874999999999998</v>
      </c>
      <c r="J730">
        <v>5</v>
      </c>
      <c r="K730">
        <v>17</v>
      </c>
      <c r="L730" t="s">
        <v>77</v>
      </c>
      <c r="M730">
        <v>33</v>
      </c>
      <c r="N730">
        <v>55</v>
      </c>
      <c r="O730">
        <v>40</v>
      </c>
      <c r="P730">
        <v>7.5</v>
      </c>
      <c r="Q730" t="s">
        <v>31</v>
      </c>
      <c r="R730">
        <v>0</v>
      </c>
      <c r="S730">
        <v>48</v>
      </c>
      <c r="T730">
        <v>1</v>
      </c>
      <c r="U730">
        <v>0</v>
      </c>
      <c r="V730">
        <v>6</v>
      </c>
      <c r="W730" t="s">
        <v>55</v>
      </c>
      <c r="X730">
        <v>1</v>
      </c>
      <c r="Y730" t="str">
        <f t="shared" si="11"/>
        <v>Medium</v>
      </c>
    </row>
    <row r="731" spans="1:25">
      <c r="A731" t="s">
        <v>844</v>
      </c>
      <c r="B731" s="1">
        <v>44934</v>
      </c>
      <c r="C731" s="2">
        <v>0.80208333333333337</v>
      </c>
      <c r="D731" t="s">
        <v>34</v>
      </c>
      <c r="E731" t="s">
        <v>42</v>
      </c>
      <c r="F731" t="s">
        <v>118</v>
      </c>
      <c r="G731" t="s">
        <v>91</v>
      </c>
      <c r="H731" s="2">
        <v>0.80208333333333337</v>
      </c>
      <c r="I731" s="2">
        <v>0.84027777777777779</v>
      </c>
      <c r="J731">
        <v>11</v>
      </c>
      <c r="K731">
        <v>26</v>
      </c>
      <c r="L731" t="s">
        <v>54</v>
      </c>
      <c r="M731">
        <v>28.7</v>
      </c>
      <c r="N731">
        <v>39</v>
      </c>
      <c r="O731">
        <v>5</v>
      </c>
      <c r="P731">
        <v>18.100000000000001</v>
      </c>
      <c r="Q731" t="s">
        <v>31</v>
      </c>
      <c r="R731">
        <v>0</v>
      </c>
      <c r="S731">
        <v>2</v>
      </c>
      <c r="T731">
        <v>0</v>
      </c>
      <c r="U731">
        <v>0</v>
      </c>
      <c r="V731">
        <v>6</v>
      </c>
      <c r="W731" t="s">
        <v>39</v>
      </c>
      <c r="X731">
        <v>1</v>
      </c>
      <c r="Y731" t="str">
        <f t="shared" si="11"/>
        <v>Low</v>
      </c>
    </row>
    <row r="732" spans="1:25">
      <c r="A732" t="s">
        <v>845</v>
      </c>
      <c r="B732" s="1">
        <v>44934</v>
      </c>
      <c r="C732" s="2">
        <v>0.8125</v>
      </c>
      <c r="D732" t="s">
        <v>26</v>
      </c>
      <c r="E732" t="s">
        <v>61</v>
      </c>
      <c r="F732" t="s">
        <v>62</v>
      </c>
      <c r="G732" t="s">
        <v>113</v>
      </c>
      <c r="H732" s="2">
        <v>0.81319444444444444</v>
      </c>
      <c r="I732" s="2">
        <v>0.83750000000000002</v>
      </c>
      <c r="J732">
        <v>-2</v>
      </c>
      <c r="K732">
        <v>14</v>
      </c>
      <c r="L732" t="s">
        <v>45</v>
      </c>
      <c r="M732">
        <v>10.5</v>
      </c>
      <c r="N732">
        <v>63</v>
      </c>
      <c r="O732">
        <v>55</v>
      </c>
      <c r="P732">
        <v>5.7</v>
      </c>
      <c r="Q732" t="s">
        <v>71</v>
      </c>
      <c r="R732">
        <v>10000</v>
      </c>
      <c r="S732">
        <v>82</v>
      </c>
      <c r="T732">
        <v>0</v>
      </c>
      <c r="U732">
        <v>1</v>
      </c>
      <c r="V732">
        <v>6</v>
      </c>
      <c r="W732" t="s">
        <v>39</v>
      </c>
      <c r="X732">
        <v>1</v>
      </c>
      <c r="Y732" t="str">
        <f t="shared" si="11"/>
        <v>High</v>
      </c>
    </row>
    <row r="733" spans="1:25">
      <c r="A733" t="s">
        <v>846</v>
      </c>
      <c r="B733" s="1">
        <v>44934</v>
      </c>
      <c r="C733" s="2">
        <v>0.82291666666666663</v>
      </c>
      <c r="D733" t="s">
        <v>41</v>
      </c>
      <c r="E733" t="s">
        <v>27</v>
      </c>
      <c r="F733" t="s">
        <v>91</v>
      </c>
      <c r="G733" t="s">
        <v>76</v>
      </c>
      <c r="H733" s="2">
        <v>0.82361111111111107</v>
      </c>
      <c r="I733" s="2">
        <v>0.84375</v>
      </c>
      <c r="J733">
        <v>18</v>
      </c>
      <c r="K733">
        <v>-1</v>
      </c>
      <c r="L733" t="s">
        <v>77</v>
      </c>
      <c r="M733">
        <v>20.5</v>
      </c>
      <c r="N733">
        <v>37</v>
      </c>
      <c r="O733">
        <v>56</v>
      </c>
      <c r="P733">
        <v>19.3</v>
      </c>
      <c r="Q733" t="s">
        <v>63</v>
      </c>
      <c r="R733">
        <v>2000</v>
      </c>
      <c r="S733">
        <v>87</v>
      </c>
      <c r="T733">
        <v>0</v>
      </c>
      <c r="U733">
        <v>0</v>
      </c>
      <c r="V733">
        <v>6</v>
      </c>
      <c r="W733" t="s">
        <v>72</v>
      </c>
      <c r="X733">
        <v>0</v>
      </c>
      <c r="Y733" t="str">
        <f t="shared" si="11"/>
        <v>High</v>
      </c>
    </row>
    <row r="734" spans="1:25">
      <c r="A734" t="s">
        <v>847</v>
      </c>
      <c r="B734" s="1">
        <v>44934</v>
      </c>
      <c r="C734" s="2">
        <v>0.83333333333333337</v>
      </c>
      <c r="D734" t="s">
        <v>41</v>
      </c>
      <c r="E734" t="s">
        <v>130</v>
      </c>
      <c r="F734" t="s">
        <v>29</v>
      </c>
      <c r="G734" t="s">
        <v>105</v>
      </c>
      <c r="H734" s="2">
        <v>0.83402777777777781</v>
      </c>
      <c r="I734" s="2">
        <v>0.86736111111111114</v>
      </c>
      <c r="J734">
        <v>9</v>
      </c>
      <c r="K734">
        <v>8</v>
      </c>
      <c r="L734" t="s">
        <v>38</v>
      </c>
      <c r="M734">
        <v>32.700000000000003</v>
      </c>
      <c r="N734">
        <v>84</v>
      </c>
      <c r="O734">
        <v>11</v>
      </c>
      <c r="P734">
        <v>15.3</v>
      </c>
      <c r="Q734" t="s">
        <v>71</v>
      </c>
      <c r="R734">
        <v>0</v>
      </c>
      <c r="S734">
        <v>54</v>
      </c>
      <c r="T734">
        <v>0</v>
      </c>
      <c r="U734">
        <v>0</v>
      </c>
      <c r="V734">
        <v>6</v>
      </c>
      <c r="W734" t="s">
        <v>55</v>
      </c>
      <c r="X734">
        <v>1</v>
      </c>
      <c r="Y734" t="str">
        <f t="shared" si="11"/>
        <v>Medium</v>
      </c>
    </row>
    <row r="735" spans="1:25">
      <c r="A735" t="s">
        <v>848</v>
      </c>
      <c r="B735" s="1">
        <v>44934</v>
      </c>
      <c r="C735" s="2">
        <v>0.84375</v>
      </c>
      <c r="D735" t="s">
        <v>34</v>
      </c>
      <c r="E735" t="s">
        <v>104</v>
      </c>
      <c r="F735" t="s">
        <v>53</v>
      </c>
      <c r="G735" t="s">
        <v>43</v>
      </c>
      <c r="H735" s="2">
        <v>0.84513888888888888</v>
      </c>
      <c r="I735" s="2">
        <v>0.88124999999999998</v>
      </c>
      <c r="J735">
        <v>-1</v>
      </c>
      <c r="K735">
        <v>23</v>
      </c>
      <c r="L735" t="s">
        <v>30</v>
      </c>
      <c r="M735">
        <v>3.5</v>
      </c>
      <c r="N735">
        <v>39</v>
      </c>
      <c r="O735">
        <v>29</v>
      </c>
      <c r="P735">
        <v>19.8</v>
      </c>
      <c r="Q735" t="s">
        <v>31</v>
      </c>
      <c r="R735">
        <v>0</v>
      </c>
      <c r="S735">
        <v>71</v>
      </c>
      <c r="T735">
        <v>0</v>
      </c>
      <c r="U735">
        <v>1</v>
      </c>
      <c r="V735">
        <v>6</v>
      </c>
      <c r="W735" t="s">
        <v>39</v>
      </c>
      <c r="X735">
        <v>1</v>
      </c>
      <c r="Y735" t="str">
        <f t="shared" si="11"/>
        <v>High</v>
      </c>
    </row>
    <row r="736" spans="1:25">
      <c r="A736" t="s">
        <v>849</v>
      </c>
      <c r="B736" s="1">
        <v>44934</v>
      </c>
      <c r="C736" s="2">
        <v>0.85416666666666663</v>
      </c>
      <c r="D736" t="s">
        <v>74</v>
      </c>
      <c r="E736" t="s">
        <v>147</v>
      </c>
      <c r="F736" t="s">
        <v>116</v>
      </c>
      <c r="G736" t="s">
        <v>53</v>
      </c>
      <c r="H736" s="2">
        <v>0.85416666666666663</v>
      </c>
      <c r="I736" s="2">
        <v>0.89375000000000004</v>
      </c>
      <c r="J736">
        <v>10</v>
      </c>
      <c r="K736">
        <v>26</v>
      </c>
      <c r="L736" t="s">
        <v>30</v>
      </c>
      <c r="M736">
        <v>-2.6</v>
      </c>
      <c r="N736">
        <v>86</v>
      </c>
      <c r="O736">
        <v>54</v>
      </c>
      <c r="P736">
        <v>1.1000000000000001</v>
      </c>
      <c r="Q736" t="s">
        <v>59</v>
      </c>
      <c r="R736">
        <v>500</v>
      </c>
      <c r="S736">
        <v>99</v>
      </c>
      <c r="T736">
        <v>1</v>
      </c>
      <c r="U736">
        <v>0</v>
      </c>
      <c r="V736">
        <v>6</v>
      </c>
      <c r="W736" t="s">
        <v>39</v>
      </c>
      <c r="X736">
        <v>1</v>
      </c>
      <c r="Y736" t="str">
        <f t="shared" si="11"/>
        <v>High</v>
      </c>
    </row>
    <row r="737" spans="1:25">
      <c r="A737" t="s">
        <v>850</v>
      </c>
      <c r="B737" s="1">
        <v>44934</v>
      </c>
      <c r="C737" s="2">
        <v>0.86458333333333337</v>
      </c>
      <c r="D737" t="s">
        <v>26</v>
      </c>
      <c r="E737" t="s">
        <v>98</v>
      </c>
      <c r="F737" t="s">
        <v>76</v>
      </c>
      <c r="G737" t="s">
        <v>123</v>
      </c>
      <c r="H737" s="2">
        <v>0.86736111111111114</v>
      </c>
      <c r="I737" s="2">
        <v>0.8930555555555556</v>
      </c>
      <c r="J737">
        <v>1</v>
      </c>
      <c r="K737">
        <v>17</v>
      </c>
      <c r="L737" t="s">
        <v>54</v>
      </c>
      <c r="M737">
        <v>16.5</v>
      </c>
      <c r="N737">
        <v>74</v>
      </c>
      <c r="O737">
        <v>19</v>
      </c>
      <c r="P737">
        <v>5.5</v>
      </c>
      <c r="Q737" t="s">
        <v>71</v>
      </c>
      <c r="R737">
        <v>10000</v>
      </c>
      <c r="S737">
        <v>39</v>
      </c>
      <c r="T737">
        <v>1</v>
      </c>
      <c r="U737">
        <v>0</v>
      </c>
      <c r="V737">
        <v>6</v>
      </c>
      <c r="W737" t="s">
        <v>55</v>
      </c>
      <c r="X737">
        <v>1</v>
      </c>
      <c r="Y737" t="str">
        <f t="shared" si="11"/>
        <v>Medium</v>
      </c>
    </row>
    <row r="738" spans="1:25">
      <c r="A738" t="s">
        <v>851</v>
      </c>
      <c r="B738" s="1">
        <v>44934</v>
      </c>
      <c r="C738" s="2">
        <v>0.875</v>
      </c>
      <c r="D738" t="s">
        <v>34</v>
      </c>
      <c r="E738" t="s">
        <v>89</v>
      </c>
      <c r="F738" t="s">
        <v>66</v>
      </c>
      <c r="G738" t="s">
        <v>29</v>
      </c>
      <c r="H738" s="2">
        <v>0.87777777777777777</v>
      </c>
      <c r="I738" s="2">
        <v>0.90694444444444444</v>
      </c>
      <c r="J738">
        <v>17</v>
      </c>
      <c r="K738">
        <v>17</v>
      </c>
      <c r="L738" t="s">
        <v>54</v>
      </c>
      <c r="M738">
        <v>0.7</v>
      </c>
      <c r="N738">
        <v>79</v>
      </c>
      <c r="O738">
        <v>19</v>
      </c>
      <c r="P738">
        <v>14.8</v>
      </c>
      <c r="Q738" t="s">
        <v>31</v>
      </c>
      <c r="R738">
        <v>500</v>
      </c>
      <c r="S738">
        <v>65</v>
      </c>
      <c r="T738">
        <v>0</v>
      </c>
      <c r="U738">
        <v>0</v>
      </c>
      <c r="V738">
        <v>6</v>
      </c>
      <c r="W738" t="s">
        <v>72</v>
      </c>
      <c r="X738">
        <v>1</v>
      </c>
      <c r="Y738" t="str">
        <f t="shared" si="11"/>
        <v>Medium</v>
      </c>
    </row>
    <row r="739" spans="1:25">
      <c r="A739" t="s">
        <v>852</v>
      </c>
      <c r="B739" s="1">
        <v>44934</v>
      </c>
      <c r="C739" s="2">
        <v>0.88541666666666663</v>
      </c>
      <c r="D739" t="s">
        <v>41</v>
      </c>
      <c r="E739" t="s">
        <v>111</v>
      </c>
      <c r="F739" t="s">
        <v>144</v>
      </c>
      <c r="G739" t="s">
        <v>135</v>
      </c>
      <c r="H739" s="2">
        <v>0.88611111111111107</v>
      </c>
      <c r="I739" s="2">
        <v>0.9243055555555556</v>
      </c>
      <c r="J739">
        <v>15</v>
      </c>
      <c r="K739">
        <v>11</v>
      </c>
      <c r="L739" t="s">
        <v>54</v>
      </c>
      <c r="M739">
        <v>2.5</v>
      </c>
      <c r="N739">
        <v>93</v>
      </c>
      <c r="O739">
        <v>53</v>
      </c>
      <c r="P739">
        <v>18.399999999999999</v>
      </c>
      <c r="Q739" t="s">
        <v>31</v>
      </c>
      <c r="R739">
        <v>0</v>
      </c>
      <c r="S739">
        <v>86</v>
      </c>
      <c r="T739">
        <v>0</v>
      </c>
      <c r="U739">
        <v>0</v>
      </c>
      <c r="V739">
        <v>6</v>
      </c>
      <c r="W739" t="s">
        <v>32</v>
      </c>
      <c r="X739">
        <v>1</v>
      </c>
      <c r="Y739" t="str">
        <f t="shared" si="11"/>
        <v>High</v>
      </c>
    </row>
    <row r="740" spans="1:25">
      <c r="A740" t="s">
        <v>853</v>
      </c>
      <c r="B740" s="1">
        <v>44934</v>
      </c>
      <c r="C740" s="2">
        <v>0.89583333333333337</v>
      </c>
      <c r="D740" t="s">
        <v>41</v>
      </c>
      <c r="E740" t="s">
        <v>93</v>
      </c>
      <c r="F740" t="s">
        <v>37</v>
      </c>
      <c r="G740" t="s">
        <v>151</v>
      </c>
      <c r="H740" s="2">
        <v>0.89583333333333337</v>
      </c>
      <c r="I740" s="2">
        <v>0.93333333333333335</v>
      </c>
      <c r="J740">
        <v>16</v>
      </c>
      <c r="K740">
        <v>14</v>
      </c>
      <c r="L740" t="s">
        <v>77</v>
      </c>
      <c r="M740">
        <v>30.7</v>
      </c>
      <c r="N740">
        <v>31</v>
      </c>
      <c r="O740">
        <v>45</v>
      </c>
      <c r="P740">
        <v>0.6</v>
      </c>
      <c r="Q740" t="s">
        <v>46</v>
      </c>
      <c r="R740">
        <v>50000</v>
      </c>
      <c r="S740">
        <v>39</v>
      </c>
      <c r="T740">
        <v>0</v>
      </c>
      <c r="U740">
        <v>1</v>
      </c>
      <c r="V740">
        <v>6</v>
      </c>
      <c r="W740" t="s">
        <v>39</v>
      </c>
      <c r="X740">
        <v>1</v>
      </c>
      <c r="Y740" t="str">
        <f t="shared" si="11"/>
        <v>Medium</v>
      </c>
    </row>
    <row r="741" spans="1:25">
      <c r="A741" t="s">
        <v>854</v>
      </c>
      <c r="B741" s="1">
        <v>44934</v>
      </c>
      <c r="C741" s="2">
        <v>0.90625</v>
      </c>
      <c r="D741" t="s">
        <v>34</v>
      </c>
      <c r="E741" t="s">
        <v>141</v>
      </c>
      <c r="F741" t="s">
        <v>87</v>
      </c>
      <c r="G741" t="s">
        <v>65</v>
      </c>
      <c r="H741" s="2">
        <v>0.90625</v>
      </c>
      <c r="I741" s="2">
        <v>0.92222222222222228</v>
      </c>
      <c r="J741">
        <v>13</v>
      </c>
      <c r="K741">
        <v>25</v>
      </c>
      <c r="L741" t="s">
        <v>45</v>
      </c>
      <c r="M741">
        <v>-4.7</v>
      </c>
      <c r="N741">
        <v>74</v>
      </c>
      <c r="O741">
        <v>26</v>
      </c>
      <c r="P741">
        <v>0</v>
      </c>
      <c r="Q741" t="s">
        <v>46</v>
      </c>
      <c r="R741">
        <v>2000</v>
      </c>
      <c r="S741">
        <v>29</v>
      </c>
      <c r="T741">
        <v>1</v>
      </c>
      <c r="U741">
        <v>0</v>
      </c>
      <c r="V741">
        <v>6</v>
      </c>
      <c r="W741" t="s">
        <v>39</v>
      </c>
      <c r="X741">
        <v>1</v>
      </c>
      <c r="Y741" t="str">
        <f t="shared" si="11"/>
        <v>Low</v>
      </c>
    </row>
    <row r="742" spans="1:25">
      <c r="A742" t="s">
        <v>855</v>
      </c>
      <c r="B742" s="1">
        <v>44934</v>
      </c>
      <c r="C742" s="2">
        <v>0.91666666666666663</v>
      </c>
      <c r="D742" t="s">
        <v>26</v>
      </c>
      <c r="E742" t="s">
        <v>130</v>
      </c>
      <c r="F742" t="s">
        <v>29</v>
      </c>
      <c r="G742" t="s">
        <v>128</v>
      </c>
      <c r="H742" s="2">
        <v>0.91666666666666663</v>
      </c>
      <c r="I742" s="2">
        <v>0.94097222222222221</v>
      </c>
      <c r="J742">
        <v>11</v>
      </c>
      <c r="K742">
        <v>17</v>
      </c>
      <c r="L742" t="s">
        <v>84</v>
      </c>
      <c r="M742">
        <v>27.7</v>
      </c>
      <c r="N742">
        <v>91</v>
      </c>
      <c r="O742">
        <v>19</v>
      </c>
      <c r="P742">
        <v>5.0999999999999996</v>
      </c>
      <c r="Q742" t="s">
        <v>63</v>
      </c>
      <c r="R742">
        <v>0</v>
      </c>
      <c r="S742">
        <v>24</v>
      </c>
      <c r="T742">
        <v>0</v>
      </c>
      <c r="U742">
        <v>1</v>
      </c>
      <c r="V742">
        <v>6</v>
      </c>
      <c r="W742" t="s">
        <v>32</v>
      </c>
      <c r="X742">
        <v>1</v>
      </c>
      <c r="Y742" t="str">
        <f t="shared" si="11"/>
        <v>Low</v>
      </c>
    </row>
    <row r="743" spans="1:25">
      <c r="A743" t="s">
        <v>856</v>
      </c>
      <c r="B743" s="1">
        <v>44934</v>
      </c>
      <c r="C743" s="2">
        <v>0.92708333333333337</v>
      </c>
      <c r="D743" t="s">
        <v>74</v>
      </c>
      <c r="E743" t="s">
        <v>104</v>
      </c>
      <c r="F743" t="s">
        <v>90</v>
      </c>
      <c r="G743" t="s">
        <v>43</v>
      </c>
      <c r="H743" s="2">
        <v>0.9291666666666667</v>
      </c>
      <c r="I743" s="2">
        <v>0.95138888888888884</v>
      </c>
      <c r="J743">
        <v>5</v>
      </c>
      <c r="K743">
        <v>13</v>
      </c>
      <c r="L743" t="s">
        <v>30</v>
      </c>
      <c r="M743">
        <v>15.7</v>
      </c>
      <c r="N743">
        <v>43</v>
      </c>
      <c r="O743">
        <v>58</v>
      </c>
      <c r="P743">
        <v>17.100000000000001</v>
      </c>
      <c r="Q743" t="s">
        <v>71</v>
      </c>
      <c r="R743">
        <v>0</v>
      </c>
      <c r="S743">
        <v>6</v>
      </c>
      <c r="T743">
        <v>0</v>
      </c>
      <c r="U743">
        <v>0</v>
      </c>
      <c r="V743">
        <v>6</v>
      </c>
      <c r="W743" t="s">
        <v>39</v>
      </c>
      <c r="X743">
        <v>1</v>
      </c>
      <c r="Y743" t="str">
        <f t="shared" si="11"/>
        <v>Low</v>
      </c>
    </row>
    <row r="744" spans="1:25">
      <c r="A744" t="s">
        <v>857</v>
      </c>
      <c r="B744" s="1">
        <v>44934</v>
      </c>
      <c r="C744" s="2">
        <v>0.9375</v>
      </c>
      <c r="D744" t="s">
        <v>74</v>
      </c>
      <c r="E744" t="s">
        <v>79</v>
      </c>
      <c r="F744" t="s">
        <v>122</v>
      </c>
      <c r="G744" t="s">
        <v>113</v>
      </c>
      <c r="H744" s="2">
        <v>0.93958333333333333</v>
      </c>
      <c r="I744" s="2">
        <v>0.96527777777777779</v>
      </c>
      <c r="J744">
        <v>9</v>
      </c>
      <c r="K744">
        <v>14</v>
      </c>
      <c r="L744" t="s">
        <v>84</v>
      </c>
      <c r="M744">
        <v>17.399999999999999</v>
      </c>
      <c r="N744">
        <v>44</v>
      </c>
      <c r="O744">
        <v>6</v>
      </c>
      <c r="P744">
        <v>15.3</v>
      </c>
      <c r="Q744" t="s">
        <v>101</v>
      </c>
      <c r="R744">
        <v>0</v>
      </c>
      <c r="S744">
        <v>91</v>
      </c>
      <c r="T744">
        <v>0</v>
      </c>
      <c r="U744">
        <v>0</v>
      </c>
      <c r="V744">
        <v>6</v>
      </c>
      <c r="W744" t="s">
        <v>32</v>
      </c>
      <c r="X744">
        <v>1</v>
      </c>
      <c r="Y744" t="str">
        <f t="shared" si="11"/>
        <v>High</v>
      </c>
    </row>
    <row r="745" spans="1:25">
      <c r="A745" t="s">
        <v>858</v>
      </c>
      <c r="B745" s="1">
        <v>44934</v>
      </c>
      <c r="C745" s="2">
        <v>0.94791666666666663</v>
      </c>
      <c r="D745" t="s">
        <v>41</v>
      </c>
      <c r="E745" t="s">
        <v>130</v>
      </c>
      <c r="F745" t="s">
        <v>197</v>
      </c>
      <c r="G745" t="s">
        <v>91</v>
      </c>
      <c r="H745" s="2">
        <v>0.94861111111111107</v>
      </c>
      <c r="I745" s="2">
        <v>0.97916666666666663</v>
      </c>
      <c r="J745">
        <v>6</v>
      </c>
      <c r="K745">
        <v>8</v>
      </c>
      <c r="L745" t="s">
        <v>30</v>
      </c>
      <c r="M745">
        <v>21.9</v>
      </c>
      <c r="N745">
        <v>43</v>
      </c>
      <c r="O745">
        <v>39</v>
      </c>
      <c r="P745">
        <v>6.8</v>
      </c>
      <c r="Q745" t="s">
        <v>31</v>
      </c>
      <c r="R745">
        <v>2000</v>
      </c>
      <c r="S745">
        <v>49</v>
      </c>
      <c r="T745">
        <v>0</v>
      </c>
      <c r="U745">
        <v>0</v>
      </c>
      <c r="V745">
        <v>6</v>
      </c>
      <c r="W745" t="s">
        <v>32</v>
      </c>
      <c r="X745">
        <v>1</v>
      </c>
      <c r="Y745" t="str">
        <f t="shared" si="11"/>
        <v>Medium</v>
      </c>
    </row>
    <row r="746" spans="1:25">
      <c r="A746" t="s">
        <v>859</v>
      </c>
      <c r="B746" s="1">
        <v>44934</v>
      </c>
      <c r="C746" s="2">
        <v>0.95833333333333337</v>
      </c>
      <c r="D746" t="s">
        <v>26</v>
      </c>
      <c r="E746" t="s">
        <v>98</v>
      </c>
      <c r="F746" t="s">
        <v>43</v>
      </c>
      <c r="G746" t="s">
        <v>86</v>
      </c>
      <c r="H746" s="2">
        <v>0.95833333333333337</v>
      </c>
      <c r="I746" s="2">
        <v>0.99652777777777779</v>
      </c>
      <c r="J746">
        <v>3</v>
      </c>
      <c r="K746">
        <v>7</v>
      </c>
      <c r="L746" t="s">
        <v>54</v>
      </c>
      <c r="M746">
        <v>12.3</v>
      </c>
      <c r="N746">
        <v>60</v>
      </c>
      <c r="O746">
        <v>39</v>
      </c>
      <c r="P746">
        <v>0</v>
      </c>
      <c r="Q746" t="s">
        <v>31</v>
      </c>
      <c r="R746">
        <v>0</v>
      </c>
      <c r="S746">
        <v>80</v>
      </c>
      <c r="T746">
        <v>0</v>
      </c>
      <c r="U746">
        <v>0</v>
      </c>
      <c r="V746">
        <v>6</v>
      </c>
      <c r="W746" t="s">
        <v>72</v>
      </c>
      <c r="X746">
        <v>1</v>
      </c>
      <c r="Y746" t="str">
        <f t="shared" si="11"/>
        <v>High</v>
      </c>
    </row>
    <row r="747" spans="1:25">
      <c r="A747" t="s">
        <v>860</v>
      </c>
      <c r="B747" s="1">
        <v>44934</v>
      </c>
      <c r="C747" s="2">
        <v>0.96875</v>
      </c>
      <c r="D747" t="s">
        <v>74</v>
      </c>
      <c r="E747" t="s">
        <v>104</v>
      </c>
      <c r="F747" t="s">
        <v>107</v>
      </c>
      <c r="G747" t="s">
        <v>86</v>
      </c>
      <c r="H747" s="2">
        <v>0.96875</v>
      </c>
      <c r="I747" s="2">
        <v>0.99513888888888891</v>
      </c>
      <c r="J747">
        <v>15</v>
      </c>
      <c r="K747">
        <v>16</v>
      </c>
      <c r="L747" t="s">
        <v>45</v>
      </c>
      <c r="M747">
        <v>-0.4</v>
      </c>
      <c r="N747">
        <v>58</v>
      </c>
      <c r="O747">
        <v>29</v>
      </c>
      <c r="P747">
        <v>11.1</v>
      </c>
      <c r="Q747" t="s">
        <v>101</v>
      </c>
      <c r="R747">
        <v>0</v>
      </c>
      <c r="S747">
        <v>95</v>
      </c>
      <c r="T747">
        <v>0</v>
      </c>
      <c r="U747">
        <v>1</v>
      </c>
      <c r="V747">
        <v>6</v>
      </c>
      <c r="W747" t="s">
        <v>32</v>
      </c>
      <c r="X747">
        <v>1</v>
      </c>
      <c r="Y747" t="str">
        <f t="shared" si="11"/>
        <v>High</v>
      </c>
    </row>
    <row r="748" spans="1:25">
      <c r="A748" t="s">
        <v>861</v>
      </c>
      <c r="B748" s="1">
        <v>44934</v>
      </c>
      <c r="C748" s="2">
        <v>0.97916666666666663</v>
      </c>
      <c r="D748" t="s">
        <v>26</v>
      </c>
      <c r="E748" t="s">
        <v>89</v>
      </c>
      <c r="F748" t="s">
        <v>109</v>
      </c>
      <c r="G748" t="s">
        <v>81</v>
      </c>
      <c r="H748" s="2">
        <v>0.9819444444444444</v>
      </c>
      <c r="I748" s="2">
        <v>4.1666666666666666E-3</v>
      </c>
      <c r="J748">
        <v>-1</v>
      </c>
      <c r="K748">
        <v>5</v>
      </c>
      <c r="L748" t="s">
        <v>45</v>
      </c>
      <c r="M748">
        <v>-0.9</v>
      </c>
      <c r="N748">
        <v>56</v>
      </c>
      <c r="O748">
        <v>7</v>
      </c>
      <c r="P748">
        <v>4.8</v>
      </c>
      <c r="Q748" t="s">
        <v>31</v>
      </c>
      <c r="R748">
        <v>0</v>
      </c>
      <c r="S748">
        <v>0</v>
      </c>
      <c r="T748">
        <v>0</v>
      </c>
      <c r="U748">
        <v>0</v>
      </c>
      <c r="V748">
        <v>6</v>
      </c>
      <c r="W748" t="s">
        <v>32</v>
      </c>
      <c r="X748">
        <v>0</v>
      </c>
      <c r="Y748" t="str">
        <f t="shared" si="11"/>
        <v>Low</v>
      </c>
    </row>
    <row r="749" spans="1:25">
      <c r="A749" t="s">
        <v>862</v>
      </c>
      <c r="B749" s="1">
        <v>44934</v>
      </c>
      <c r="C749" s="2">
        <v>0.98958333333333337</v>
      </c>
      <c r="D749" t="s">
        <v>26</v>
      </c>
      <c r="E749" t="s">
        <v>57</v>
      </c>
      <c r="F749" t="s">
        <v>113</v>
      </c>
      <c r="G749" t="s">
        <v>151</v>
      </c>
      <c r="H749" s="2">
        <v>0.99236111111111114</v>
      </c>
      <c r="I749" s="2">
        <v>2.0833333333333332E-2</v>
      </c>
      <c r="J749">
        <v>5</v>
      </c>
      <c r="K749">
        <v>-3</v>
      </c>
      <c r="L749" t="s">
        <v>30</v>
      </c>
      <c r="M749">
        <v>25.2</v>
      </c>
      <c r="N749">
        <v>38</v>
      </c>
      <c r="O749">
        <v>1</v>
      </c>
      <c r="P749">
        <v>14.9</v>
      </c>
      <c r="Q749" t="s">
        <v>31</v>
      </c>
      <c r="R749">
        <v>0</v>
      </c>
      <c r="S749">
        <v>90</v>
      </c>
      <c r="T749">
        <v>1</v>
      </c>
      <c r="U749">
        <v>1</v>
      </c>
      <c r="V749">
        <v>6</v>
      </c>
      <c r="W749" t="s">
        <v>32</v>
      </c>
      <c r="X749">
        <v>0</v>
      </c>
      <c r="Y749" t="str">
        <f t="shared" si="11"/>
        <v>High</v>
      </c>
    </row>
    <row r="750" spans="1:25">
      <c r="A750" t="s">
        <v>863</v>
      </c>
      <c r="B750" s="1">
        <v>44935</v>
      </c>
      <c r="C750" s="2">
        <v>0</v>
      </c>
      <c r="D750" t="s">
        <v>41</v>
      </c>
      <c r="E750" t="s">
        <v>147</v>
      </c>
      <c r="F750" t="s">
        <v>49</v>
      </c>
      <c r="G750" t="s">
        <v>107</v>
      </c>
      <c r="H750" s="2">
        <v>6.9444444444444447E-4</v>
      </c>
      <c r="I750" s="2">
        <v>2.8472222222222222E-2</v>
      </c>
      <c r="J750">
        <v>11</v>
      </c>
      <c r="K750">
        <v>-1</v>
      </c>
      <c r="L750" t="s">
        <v>77</v>
      </c>
      <c r="M750">
        <v>3.8</v>
      </c>
      <c r="N750">
        <v>49</v>
      </c>
      <c r="O750">
        <v>13</v>
      </c>
      <c r="P750">
        <v>8.9</v>
      </c>
      <c r="Q750" t="s">
        <v>31</v>
      </c>
      <c r="R750">
        <v>0</v>
      </c>
      <c r="S750">
        <v>43</v>
      </c>
      <c r="T750">
        <v>0</v>
      </c>
      <c r="U750">
        <v>0</v>
      </c>
      <c r="V750">
        <v>0</v>
      </c>
      <c r="W750" t="s">
        <v>32</v>
      </c>
      <c r="X750">
        <v>0</v>
      </c>
      <c r="Y750" t="str">
        <f t="shared" si="11"/>
        <v>Medium</v>
      </c>
    </row>
    <row r="751" spans="1:25">
      <c r="A751" t="s">
        <v>864</v>
      </c>
      <c r="B751" s="1">
        <v>44935</v>
      </c>
      <c r="C751" s="2">
        <v>1.0416666666666666E-2</v>
      </c>
      <c r="D751" t="s">
        <v>74</v>
      </c>
      <c r="E751" t="s">
        <v>104</v>
      </c>
      <c r="F751" t="s">
        <v>148</v>
      </c>
      <c r="G751" t="s">
        <v>154</v>
      </c>
      <c r="H751" s="2">
        <v>1.0416666666666666E-2</v>
      </c>
      <c r="I751" s="2">
        <v>4.3055555555555555E-2</v>
      </c>
      <c r="J751">
        <v>3</v>
      </c>
      <c r="K751">
        <v>17</v>
      </c>
      <c r="L751" t="s">
        <v>54</v>
      </c>
      <c r="M751">
        <v>-3.9</v>
      </c>
      <c r="N751">
        <v>87</v>
      </c>
      <c r="O751">
        <v>9</v>
      </c>
      <c r="P751">
        <v>13.6</v>
      </c>
      <c r="Q751" t="s">
        <v>46</v>
      </c>
      <c r="R751">
        <v>500</v>
      </c>
      <c r="S751">
        <v>99</v>
      </c>
      <c r="T751">
        <v>0</v>
      </c>
      <c r="U751">
        <v>0</v>
      </c>
      <c r="V751">
        <v>0</v>
      </c>
      <c r="W751" t="s">
        <v>39</v>
      </c>
      <c r="X751">
        <v>1</v>
      </c>
      <c r="Y751" t="str">
        <f t="shared" si="11"/>
        <v>High</v>
      </c>
    </row>
    <row r="752" spans="1:25">
      <c r="A752" t="s">
        <v>865</v>
      </c>
      <c r="B752" s="1">
        <v>44935</v>
      </c>
      <c r="C752" s="2">
        <v>2.0833333333333332E-2</v>
      </c>
      <c r="D752" t="s">
        <v>34</v>
      </c>
      <c r="E752" t="s">
        <v>111</v>
      </c>
      <c r="F752" t="s">
        <v>76</v>
      </c>
      <c r="G752" t="s">
        <v>91</v>
      </c>
      <c r="H752" s="2">
        <v>2.1527777777777778E-2</v>
      </c>
      <c r="I752" s="2">
        <v>3.4722222222222224E-2</v>
      </c>
      <c r="J752">
        <v>7</v>
      </c>
      <c r="K752">
        <v>19</v>
      </c>
      <c r="L752" t="s">
        <v>45</v>
      </c>
      <c r="M752">
        <v>34.200000000000003</v>
      </c>
      <c r="N752">
        <v>78</v>
      </c>
      <c r="O752">
        <v>49</v>
      </c>
      <c r="P752">
        <v>17</v>
      </c>
      <c r="Q752" t="s">
        <v>31</v>
      </c>
      <c r="R752">
        <v>0</v>
      </c>
      <c r="S752">
        <v>48</v>
      </c>
      <c r="T752">
        <v>0</v>
      </c>
      <c r="U752">
        <v>0</v>
      </c>
      <c r="V752">
        <v>0</v>
      </c>
      <c r="W752" t="s">
        <v>32</v>
      </c>
      <c r="X752">
        <v>1</v>
      </c>
      <c r="Y752" t="str">
        <f t="shared" si="11"/>
        <v>Medium</v>
      </c>
    </row>
    <row r="753" spans="1:25">
      <c r="A753" t="s">
        <v>866</v>
      </c>
      <c r="B753" s="1">
        <v>44935</v>
      </c>
      <c r="C753" s="2">
        <v>3.125E-2</v>
      </c>
      <c r="D753" t="s">
        <v>41</v>
      </c>
      <c r="E753" t="s">
        <v>48</v>
      </c>
      <c r="F753" t="s">
        <v>53</v>
      </c>
      <c r="G753" t="s">
        <v>168</v>
      </c>
      <c r="H753" s="2">
        <v>3.4027777777777775E-2</v>
      </c>
      <c r="I753" s="2">
        <v>6.9444444444444448E-2</v>
      </c>
      <c r="J753">
        <v>5</v>
      </c>
      <c r="K753">
        <v>5</v>
      </c>
      <c r="L753" t="s">
        <v>45</v>
      </c>
      <c r="M753">
        <v>34.200000000000003</v>
      </c>
      <c r="N753">
        <v>86</v>
      </c>
      <c r="O753">
        <v>17</v>
      </c>
      <c r="P753">
        <v>10.7</v>
      </c>
      <c r="Q753" t="s">
        <v>71</v>
      </c>
      <c r="R753">
        <v>0</v>
      </c>
      <c r="S753">
        <v>6</v>
      </c>
      <c r="T753">
        <v>0</v>
      </c>
      <c r="U753">
        <v>1</v>
      </c>
      <c r="V753">
        <v>0</v>
      </c>
      <c r="W753" t="s">
        <v>39</v>
      </c>
      <c r="X753">
        <v>0</v>
      </c>
      <c r="Y753" t="str">
        <f t="shared" si="11"/>
        <v>Low</v>
      </c>
    </row>
    <row r="754" spans="1:25">
      <c r="A754" t="s">
        <v>867</v>
      </c>
      <c r="B754" s="1">
        <v>44935</v>
      </c>
      <c r="C754" s="2">
        <v>4.1666666666666664E-2</v>
      </c>
      <c r="D754" t="s">
        <v>74</v>
      </c>
      <c r="E754" t="s">
        <v>157</v>
      </c>
      <c r="F754" t="s">
        <v>62</v>
      </c>
      <c r="G754" t="s">
        <v>86</v>
      </c>
      <c r="H754" s="2">
        <v>4.4444444444444446E-2</v>
      </c>
      <c r="I754" s="2">
        <v>8.0555555555555561E-2</v>
      </c>
      <c r="J754">
        <v>14</v>
      </c>
      <c r="K754">
        <v>15</v>
      </c>
      <c r="L754" t="s">
        <v>38</v>
      </c>
      <c r="M754">
        <v>10.1</v>
      </c>
      <c r="N754">
        <v>45</v>
      </c>
      <c r="O754">
        <v>17</v>
      </c>
      <c r="P754">
        <v>6.7</v>
      </c>
      <c r="Q754" t="s">
        <v>31</v>
      </c>
      <c r="R754">
        <v>0</v>
      </c>
      <c r="S754">
        <v>2</v>
      </c>
      <c r="T754">
        <v>0</v>
      </c>
      <c r="U754">
        <v>0</v>
      </c>
      <c r="V754">
        <v>0</v>
      </c>
      <c r="W754" t="s">
        <v>55</v>
      </c>
      <c r="X754">
        <v>1</v>
      </c>
      <c r="Y754" t="str">
        <f t="shared" si="11"/>
        <v>Low</v>
      </c>
    </row>
    <row r="755" spans="1:25">
      <c r="A755" t="s">
        <v>868</v>
      </c>
      <c r="B755" s="1">
        <v>44935</v>
      </c>
      <c r="C755" s="2">
        <v>5.2083333333333336E-2</v>
      </c>
      <c r="D755" t="s">
        <v>74</v>
      </c>
      <c r="E755" t="s">
        <v>68</v>
      </c>
      <c r="F755" t="s">
        <v>87</v>
      </c>
      <c r="G755" t="s">
        <v>75</v>
      </c>
      <c r="H755" s="2">
        <v>5.4166666666666669E-2</v>
      </c>
      <c r="I755" s="2">
        <v>6.6666666666666666E-2</v>
      </c>
      <c r="J755">
        <v>9</v>
      </c>
      <c r="K755">
        <v>15</v>
      </c>
      <c r="L755" t="s">
        <v>45</v>
      </c>
      <c r="M755">
        <v>-4</v>
      </c>
      <c r="N755">
        <v>37</v>
      </c>
      <c r="O755">
        <v>15</v>
      </c>
      <c r="P755">
        <v>15.4</v>
      </c>
      <c r="Q755" t="s">
        <v>31</v>
      </c>
      <c r="R755">
        <v>0</v>
      </c>
      <c r="S755">
        <v>93</v>
      </c>
      <c r="T755">
        <v>0</v>
      </c>
      <c r="U755">
        <v>0</v>
      </c>
      <c r="V755">
        <v>0</v>
      </c>
      <c r="W755" t="s">
        <v>55</v>
      </c>
      <c r="X755">
        <v>1</v>
      </c>
      <c r="Y755" t="str">
        <f t="shared" si="11"/>
        <v>High</v>
      </c>
    </row>
    <row r="756" spans="1:25">
      <c r="A756" t="s">
        <v>869</v>
      </c>
      <c r="B756" s="1">
        <v>44935</v>
      </c>
      <c r="C756" s="2">
        <v>6.25E-2</v>
      </c>
      <c r="D756" t="s">
        <v>74</v>
      </c>
      <c r="E756" t="s">
        <v>98</v>
      </c>
      <c r="F756" t="s">
        <v>154</v>
      </c>
      <c r="G756" t="s">
        <v>203</v>
      </c>
      <c r="H756" s="2">
        <v>6.3194444444444442E-2</v>
      </c>
      <c r="I756" s="2">
        <v>8.7499999999999994E-2</v>
      </c>
      <c r="J756">
        <v>14</v>
      </c>
      <c r="K756">
        <v>19</v>
      </c>
      <c r="L756" t="s">
        <v>38</v>
      </c>
      <c r="M756">
        <v>24.1</v>
      </c>
      <c r="N756">
        <v>96</v>
      </c>
      <c r="O756">
        <v>51</v>
      </c>
      <c r="P756">
        <v>5.3</v>
      </c>
      <c r="Q756" t="s">
        <v>63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32</v>
      </c>
      <c r="X756">
        <v>1</v>
      </c>
      <c r="Y756" t="str">
        <f t="shared" si="11"/>
        <v>Low</v>
      </c>
    </row>
    <row r="757" spans="1:25">
      <c r="A757" t="s">
        <v>870</v>
      </c>
      <c r="B757" s="1">
        <v>44935</v>
      </c>
      <c r="C757" s="2">
        <v>7.2916666666666671E-2</v>
      </c>
      <c r="D757" t="s">
        <v>74</v>
      </c>
      <c r="E757" t="s">
        <v>104</v>
      </c>
      <c r="F757" t="s">
        <v>62</v>
      </c>
      <c r="G757" t="s">
        <v>128</v>
      </c>
      <c r="H757" s="2">
        <v>7.3611111111111113E-2</v>
      </c>
      <c r="I757" s="2">
        <v>0.11388888888888889</v>
      </c>
      <c r="J757">
        <v>10</v>
      </c>
      <c r="K757">
        <v>23</v>
      </c>
      <c r="L757" t="s">
        <v>45</v>
      </c>
      <c r="M757">
        <v>28.2</v>
      </c>
      <c r="N757">
        <v>48</v>
      </c>
      <c r="O757">
        <v>4</v>
      </c>
      <c r="P757">
        <v>17.8</v>
      </c>
      <c r="Q757" t="s">
        <v>31</v>
      </c>
      <c r="R757">
        <v>0</v>
      </c>
      <c r="S757">
        <v>50</v>
      </c>
      <c r="T757">
        <v>0</v>
      </c>
      <c r="U757">
        <v>0</v>
      </c>
      <c r="V757">
        <v>0</v>
      </c>
      <c r="W757" t="s">
        <v>72</v>
      </c>
      <c r="X757">
        <v>1</v>
      </c>
      <c r="Y757" t="str">
        <f t="shared" si="11"/>
        <v>Medium</v>
      </c>
    </row>
    <row r="758" spans="1:25">
      <c r="A758" t="s">
        <v>871</v>
      </c>
      <c r="B758" s="1">
        <v>44935</v>
      </c>
      <c r="C758" s="2">
        <v>8.3333333333333329E-2</v>
      </c>
      <c r="D758" t="s">
        <v>74</v>
      </c>
      <c r="E758" t="s">
        <v>93</v>
      </c>
      <c r="F758" t="s">
        <v>122</v>
      </c>
      <c r="G758" t="s">
        <v>91</v>
      </c>
      <c r="H758" s="2">
        <v>8.3333333333333329E-2</v>
      </c>
      <c r="I758" s="2">
        <v>0.12291666666666666</v>
      </c>
      <c r="J758">
        <v>16</v>
      </c>
      <c r="K758">
        <v>23</v>
      </c>
      <c r="L758" t="s">
        <v>45</v>
      </c>
      <c r="M758">
        <v>0</v>
      </c>
      <c r="N758">
        <v>96</v>
      </c>
      <c r="O758">
        <v>51</v>
      </c>
      <c r="P758">
        <v>1.4</v>
      </c>
      <c r="Q758" t="s">
        <v>31</v>
      </c>
      <c r="R758">
        <v>0</v>
      </c>
      <c r="S758">
        <v>97</v>
      </c>
      <c r="T758">
        <v>0</v>
      </c>
      <c r="U758">
        <v>0</v>
      </c>
      <c r="V758">
        <v>0</v>
      </c>
      <c r="W758" t="s">
        <v>72</v>
      </c>
      <c r="X758">
        <v>1</v>
      </c>
      <c r="Y758" t="str">
        <f t="shared" si="11"/>
        <v>High</v>
      </c>
    </row>
    <row r="759" spans="1:25">
      <c r="A759" t="s">
        <v>872</v>
      </c>
      <c r="B759" s="1">
        <v>44935</v>
      </c>
      <c r="C759" s="2">
        <v>9.375E-2</v>
      </c>
      <c r="D759" t="s">
        <v>26</v>
      </c>
      <c r="E759" t="s">
        <v>111</v>
      </c>
      <c r="F759" t="s">
        <v>118</v>
      </c>
      <c r="G759" t="s">
        <v>87</v>
      </c>
      <c r="H759" s="2">
        <v>9.375E-2</v>
      </c>
      <c r="I759" s="2">
        <v>0.12152777777777778</v>
      </c>
      <c r="J759">
        <v>9</v>
      </c>
      <c r="K759">
        <v>8</v>
      </c>
      <c r="L759" t="s">
        <v>77</v>
      </c>
      <c r="M759">
        <v>0.4</v>
      </c>
      <c r="N759">
        <v>65</v>
      </c>
      <c r="O759">
        <v>30</v>
      </c>
      <c r="P759">
        <v>16.7</v>
      </c>
      <c r="Q759" t="s">
        <v>31</v>
      </c>
      <c r="R759">
        <v>10000</v>
      </c>
      <c r="S759">
        <v>37</v>
      </c>
      <c r="T759">
        <v>0</v>
      </c>
      <c r="U759">
        <v>0</v>
      </c>
      <c r="V759">
        <v>0</v>
      </c>
      <c r="W759" t="s">
        <v>39</v>
      </c>
      <c r="X759">
        <v>1</v>
      </c>
      <c r="Y759" t="str">
        <f t="shared" si="11"/>
        <v>Medium</v>
      </c>
    </row>
    <row r="760" spans="1:25">
      <c r="A760" t="s">
        <v>873</v>
      </c>
      <c r="B760" s="1">
        <v>44935</v>
      </c>
      <c r="C760" s="2">
        <v>0.10416666666666667</v>
      </c>
      <c r="D760" t="s">
        <v>41</v>
      </c>
      <c r="E760" t="s">
        <v>157</v>
      </c>
      <c r="F760" t="s">
        <v>163</v>
      </c>
      <c r="G760" t="s">
        <v>66</v>
      </c>
      <c r="H760" s="2">
        <v>0.10625</v>
      </c>
      <c r="I760" s="2">
        <v>0.12361111111111112</v>
      </c>
      <c r="J760">
        <v>13</v>
      </c>
      <c r="K760">
        <v>23</v>
      </c>
      <c r="L760" t="s">
        <v>77</v>
      </c>
      <c r="M760">
        <v>27.9</v>
      </c>
      <c r="N760">
        <v>89</v>
      </c>
      <c r="O760">
        <v>36</v>
      </c>
      <c r="P760">
        <v>1.8</v>
      </c>
      <c r="Q760" t="s">
        <v>31</v>
      </c>
      <c r="R760">
        <v>0</v>
      </c>
      <c r="S760">
        <v>42</v>
      </c>
      <c r="T760">
        <v>0</v>
      </c>
      <c r="U760">
        <v>1</v>
      </c>
      <c r="V760">
        <v>0</v>
      </c>
      <c r="W760" t="s">
        <v>39</v>
      </c>
      <c r="X760">
        <v>1</v>
      </c>
      <c r="Y760" t="str">
        <f t="shared" si="11"/>
        <v>Medium</v>
      </c>
    </row>
    <row r="761" spans="1:25">
      <c r="A761" t="s">
        <v>874</v>
      </c>
      <c r="B761" s="1">
        <v>44935</v>
      </c>
      <c r="C761" s="2">
        <v>0.11458333333333333</v>
      </c>
      <c r="D761" t="s">
        <v>26</v>
      </c>
      <c r="E761" t="s">
        <v>52</v>
      </c>
      <c r="F761" t="s">
        <v>148</v>
      </c>
      <c r="G761" t="s">
        <v>142</v>
      </c>
      <c r="H761" s="2">
        <v>0.11597222222222223</v>
      </c>
      <c r="I761" s="2">
        <v>0.13680555555555557</v>
      </c>
      <c r="J761">
        <v>2</v>
      </c>
      <c r="K761">
        <v>29</v>
      </c>
      <c r="L761" t="s">
        <v>54</v>
      </c>
      <c r="M761">
        <v>31.9</v>
      </c>
      <c r="N761">
        <v>65</v>
      </c>
      <c r="O761">
        <v>19</v>
      </c>
      <c r="P761">
        <v>1.1000000000000001</v>
      </c>
      <c r="Q761" t="s">
        <v>31</v>
      </c>
      <c r="R761">
        <v>2000</v>
      </c>
      <c r="S761">
        <v>54</v>
      </c>
      <c r="T761">
        <v>0</v>
      </c>
      <c r="U761">
        <v>0</v>
      </c>
      <c r="V761">
        <v>0</v>
      </c>
      <c r="W761" t="s">
        <v>55</v>
      </c>
      <c r="X761">
        <v>1</v>
      </c>
      <c r="Y761" t="str">
        <f t="shared" si="11"/>
        <v>Medium</v>
      </c>
    </row>
    <row r="762" spans="1:25">
      <c r="A762" t="s">
        <v>875</v>
      </c>
      <c r="B762" s="1">
        <v>44935</v>
      </c>
      <c r="C762" s="2">
        <v>0.125</v>
      </c>
      <c r="D762" t="s">
        <v>34</v>
      </c>
      <c r="E762" t="s">
        <v>61</v>
      </c>
      <c r="F762" t="s">
        <v>168</v>
      </c>
      <c r="G762" t="s">
        <v>128</v>
      </c>
      <c r="H762" s="2">
        <v>0.12638888888888888</v>
      </c>
      <c r="I762" s="2">
        <v>0.14583333333333334</v>
      </c>
      <c r="J762">
        <v>13</v>
      </c>
      <c r="K762">
        <v>24</v>
      </c>
      <c r="L762" t="s">
        <v>45</v>
      </c>
      <c r="M762">
        <v>26.6</v>
      </c>
      <c r="N762">
        <v>40</v>
      </c>
      <c r="O762">
        <v>22</v>
      </c>
      <c r="P762">
        <v>7.3</v>
      </c>
      <c r="Q762" t="s">
        <v>31</v>
      </c>
      <c r="R762">
        <v>0</v>
      </c>
      <c r="S762">
        <v>56</v>
      </c>
      <c r="T762">
        <v>0</v>
      </c>
      <c r="U762">
        <v>0</v>
      </c>
      <c r="V762">
        <v>0</v>
      </c>
      <c r="W762" t="s">
        <v>39</v>
      </c>
      <c r="X762">
        <v>1</v>
      </c>
      <c r="Y762" t="str">
        <f t="shared" si="11"/>
        <v>Medium</v>
      </c>
    </row>
    <row r="763" spans="1:25">
      <c r="A763" t="s">
        <v>876</v>
      </c>
      <c r="B763" s="1">
        <v>44935</v>
      </c>
      <c r="C763" s="2">
        <v>0.13541666666666666</v>
      </c>
      <c r="D763" t="s">
        <v>74</v>
      </c>
      <c r="E763" t="s">
        <v>161</v>
      </c>
      <c r="F763" t="s">
        <v>105</v>
      </c>
      <c r="G763" t="s">
        <v>194</v>
      </c>
      <c r="H763" s="2">
        <v>0.13680555555555557</v>
      </c>
      <c r="I763" s="2">
        <v>0.15972222222222221</v>
      </c>
      <c r="J763">
        <v>3</v>
      </c>
      <c r="K763">
        <v>27</v>
      </c>
      <c r="L763" t="s">
        <v>54</v>
      </c>
      <c r="M763">
        <v>3</v>
      </c>
      <c r="N763">
        <v>80</v>
      </c>
      <c r="O763">
        <v>31</v>
      </c>
      <c r="P763">
        <v>19.100000000000001</v>
      </c>
      <c r="Q763" t="s">
        <v>63</v>
      </c>
      <c r="R763">
        <v>0</v>
      </c>
      <c r="S763">
        <v>52</v>
      </c>
      <c r="T763">
        <v>0</v>
      </c>
      <c r="U763">
        <v>0</v>
      </c>
      <c r="V763">
        <v>0</v>
      </c>
      <c r="W763" t="s">
        <v>72</v>
      </c>
      <c r="X763">
        <v>1</v>
      </c>
      <c r="Y763" t="str">
        <f t="shared" si="11"/>
        <v>Medium</v>
      </c>
    </row>
    <row r="764" spans="1:25">
      <c r="A764" t="s">
        <v>877</v>
      </c>
      <c r="B764" s="1">
        <v>44935</v>
      </c>
      <c r="C764" s="2">
        <v>0.14583333333333334</v>
      </c>
      <c r="D764" t="s">
        <v>41</v>
      </c>
      <c r="E764" t="s">
        <v>157</v>
      </c>
      <c r="F764" t="s">
        <v>109</v>
      </c>
      <c r="G764" t="s">
        <v>53</v>
      </c>
      <c r="H764" s="2">
        <v>0.14652777777777778</v>
      </c>
      <c r="I764" s="2">
        <v>0.1701388888888889</v>
      </c>
      <c r="J764">
        <v>8</v>
      </c>
      <c r="K764">
        <v>28</v>
      </c>
      <c r="L764" t="s">
        <v>54</v>
      </c>
      <c r="M764">
        <v>11.5</v>
      </c>
      <c r="N764">
        <v>84</v>
      </c>
      <c r="O764">
        <v>41</v>
      </c>
      <c r="P764">
        <v>19.7</v>
      </c>
      <c r="Q764" t="s">
        <v>31</v>
      </c>
      <c r="R764">
        <v>2000</v>
      </c>
      <c r="S764">
        <v>99</v>
      </c>
      <c r="T764">
        <v>0</v>
      </c>
      <c r="U764">
        <v>0</v>
      </c>
      <c r="V764">
        <v>0</v>
      </c>
      <c r="W764" t="s">
        <v>55</v>
      </c>
      <c r="X764">
        <v>1</v>
      </c>
      <c r="Y764" t="str">
        <f t="shared" si="11"/>
        <v>High</v>
      </c>
    </row>
    <row r="765" spans="1:25">
      <c r="A765" t="s">
        <v>878</v>
      </c>
      <c r="B765" s="1">
        <v>44935</v>
      </c>
      <c r="C765" s="2">
        <v>0.15625</v>
      </c>
      <c r="D765" t="s">
        <v>74</v>
      </c>
      <c r="E765" t="s">
        <v>130</v>
      </c>
      <c r="F765" t="s">
        <v>36</v>
      </c>
      <c r="G765" t="s">
        <v>194</v>
      </c>
      <c r="H765" s="2">
        <v>0.15694444444444444</v>
      </c>
      <c r="I765" s="2">
        <v>0.17083333333333334</v>
      </c>
      <c r="J765">
        <v>14</v>
      </c>
      <c r="K765">
        <v>16</v>
      </c>
      <c r="L765" t="s">
        <v>54</v>
      </c>
      <c r="M765">
        <v>19</v>
      </c>
      <c r="N765">
        <v>83</v>
      </c>
      <c r="O765">
        <v>16</v>
      </c>
      <c r="P765">
        <v>4</v>
      </c>
      <c r="Q765" t="s">
        <v>31</v>
      </c>
      <c r="R765">
        <v>0</v>
      </c>
      <c r="S765">
        <v>32</v>
      </c>
      <c r="T765">
        <v>0</v>
      </c>
      <c r="U765">
        <v>0</v>
      </c>
      <c r="V765">
        <v>0</v>
      </c>
      <c r="W765" t="s">
        <v>32</v>
      </c>
      <c r="X765">
        <v>1</v>
      </c>
      <c r="Y765" t="str">
        <f t="shared" si="11"/>
        <v>Low</v>
      </c>
    </row>
    <row r="766" spans="1:25">
      <c r="A766" t="s">
        <v>879</v>
      </c>
      <c r="B766" s="1">
        <v>44935</v>
      </c>
      <c r="C766" s="2">
        <v>0.16666666666666666</v>
      </c>
      <c r="D766" t="s">
        <v>41</v>
      </c>
      <c r="E766" t="s">
        <v>89</v>
      </c>
      <c r="F766" t="s">
        <v>168</v>
      </c>
      <c r="G766" t="s">
        <v>65</v>
      </c>
      <c r="H766" s="2">
        <v>0.16944444444444445</v>
      </c>
      <c r="I766" s="2">
        <v>0.18541666666666667</v>
      </c>
      <c r="J766">
        <v>11</v>
      </c>
      <c r="K766">
        <v>27</v>
      </c>
      <c r="L766" t="s">
        <v>54</v>
      </c>
      <c r="M766">
        <v>1.4</v>
      </c>
      <c r="N766">
        <v>46</v>
      </c>
      <c r="O766">
        <v>12</v>
      </c>
      <c r="P766">
        <v>3</v>
      </c>
      <c r="Q766" t="s">
        <v>31</v>
      </c>
      <c r="R766">
        <v>50000</v>
      </c>
      <c r="S766">
        <v>79</v>
      </c>
      <c r="T766">
        <v>0</v>
      </c>
      <c r="U766">
        <v>1</v>
      </c>
      <c r="V766">
        <v>0</v>
      </c>
      <c r="W766" t="s">
        <v>39</v>
      </c>
      <c r="X766">
        <v>1</v>
      </c>
      <c r="Y766" t="str">
        <f t="shared" si="11"/>
        <v>High</v>
      </c>
    </row>
    <row r="767" spans="1:25">
      <c r="A767" t="s">
        <v>880</v>
      </c>
      <c r="B767" s="1">
        <v>44935</v>
      </c>
      <c r="C767" s="2">
        <v>0.17708333333333334</v>
      </c>
      <c r="D767" t="s">
        <v>26</v>
      </c>
      <c r="E767" t="s">
        <v>52</v>
      </c>
      <c r="F767" t="s">
        <v>107</v>
      </c>
      <c r="G767" t="s">
        <v>118</v>
      </c>
      <c r="H767" s="2">
        <v>0.17777777777777778</v>
      </c>
      <c r="I767" s="2">
        <v>0.19930555555555557</v>
      </c>
      <c r="J767">
        <v>3</v>
      </c>
      <c r="K767">
        <v>27</v>
      </c>
      <c r="L767" t="s">
        <v>30</v>
      </c>
      <c r="M767">
        <v>3.4</v>
      </c>
      <c r="N767">
        <v>91</v>
      </c>
      <c r="O767">
        <v>48</v>
      </c>
      <c r="P767">
        <v>7.1</v>
      </c>
      <c r="Q767" t="s">
        <v>31</v>
      </c>
      <c r="R767">
        <v>0</v>
      </c>
      <c r="S767">
        <v>61</v>
      </c>
      <c r="T767">
        <v>0</v>
      </c>
      <c r="U767">
        <v>1</v>
      </c>
      <c r="V767">
        <v>0</v>
      </c>
      <c r="W767" t="s">
        <v>32</v>
      </c>
      <c r="X767">
        <v>1</v>
      </c>
      <c r="Y767" t="str">
        <f t="shared" si="11"/>
        <v>Medium</v>
      </c>
    </row>
    <row r="768" spans="1:25">
      <c r="A768" t="s">
        <v>881</v>
      </c>
      <c r="B768" s="1">
        <v>44935</v>
      </c>
      <c r="C768" s="2">
        <v>0.1875</v>
      </c>
      <c r="D768" t="s">
        <v>41</v>
      </c>
      <c r="E768" t="s">
        <v>161</v>
      </c>
      <c r="F768" t="s">
        <v>194</v>
      </c>
      <c r="G768" t="s">
        <v>90</v>
      </c>
      <c r="H768" s="2">
        <v>0.18819444444444444</v>
      </c>
      <c r="I768" s="2">
        <v>0.21249999999999999</v>
      </c>
      <c r="J768">
        <v>8</v>
      </c>
      <c r="K768">
        <v>18</v>
      </c>
      <c r="L768" t="s">
        <v>30</v>
      </c>
      <c r="M768">
        <v>6.3</v>
      </c>
      <c r="N768">
        <v>71</v>
      </c>
      <c r="O768">
        <v>49</v>
      </c>
      <c r="P768">
        <v>6.7</v>
      </c>
      <c r="Q768" t="s">
        <v>31</v>
      </c>
      <c r="R768">
        <v>0</v>
      </c>
      <c r="S768">
        <v>10</v>
      </c>
      <c r="T768">
        <v>0</v>
      </c>
      <c r="U768">
        <v>0</v>
      </c>
      <c r="V768">
        <v>0</v>
      </c>
      <c r="W768" t="s">
        <v>39</v>
      </c>
      <c r="X768">
        <v>1</v>
      </c>
      <c r="Y768" t="str">
        <f t="shared" si="11"/>
        <v>Low</v>
      </c>
    </row>
    <row r="769" spans="1:25">
      <c r="A769" t="s">
        <v>882</v>
      </c>
      <c r="B769" s="1">
        <v>44935</v>
      </c>
      <c r="C769" s="2">
        <v>0.19791666666666666</v>
      </c>
      <c r="D769" t="s">
        <v>34</v>
      </c>
      <c r="E769" t="s">
        <v>68</v>
      </c>
      <c r="F769" t="s">
        <v>36</v>
      </c>
      <c r="G769" t="s">
        <v>62</v>
      </c>
      <c r="H769" s="2">
        <v>0.1986111111111111</v>
      </c>
      <c r="I769" s="2">
        <v>0.23819444444444443</v>
      </c>
      <c r="J769">
        <v>9</v>
      </c>
      <c r="K769">
        <v>5</v>
      </c>
      <c r="L769" t="s">
        <v>45</v>
      </c>
      <c r="M769">
        <v>15.4</v>
      </c>
      <c r="N769">
        <v>53</v>
      </c>
      <c r="O769">
        <v>12</v>
      </c>
      <c r="P769">
        <v>15.2</v>
      </c>
      <c r="Q769" t="s">
        <v>71</v>
      </c>
      <c r="R769">
        <v>0</v>
      </c>
      <c r="S769">
        <v>71</v>
      </c>
      <c r="T769">
        <v>0</v>
      </c>
      <c r="U769">
        <v>0</v>
      </c>
      <c r="V769">
        <v>0</v>
      </c>
      <c r="W769" t="s">
        <v>72</v>
      </c>
      <c r="X769">
        <v>0</v>
      </c>
      <c r="Y769" t="str">
        <f t="shared" si="11"/>
        <v>High</v>
      </c>
    </row>
    <row r="770" spans="1:25">
      <c r="A770" t="s">
        <v>883</v>
      </c>
      <c r="B770" s="1">
        <v>44935</v>
      </c>
      <c r="C770" s="2">
        <v>0.20833333333333334</v>
      </c>
      <c r="D770" t="s">
        <v>34</v>
      </c>
      <c r="E770" t="s">
        <v>89</v>
      </c>
      <c r="F770" t="s">
        <v>66</v>
      </c>
      <c r="G770" t="s">
        <v>80</v>
      </c>
      <c r="H770" s="2">
        <v>0.21041666666666667</v>
      </c>
      <c r="I770" s="2">
        <v>0.23819444444444443</v>
      </c>
      <c r="J770">
        <v>10</v>
      </c>
      <c r="K770">
        <v>5</v>
      </c>
      <c r="L770" t="s">
        <v>30</v>
      </c>
      <c r="M770">
        <v>15.4</v>
      </c>
      <c r="N770">
        <v>46</v>
      </c>
      <c r="O770">
        <v>16</v>
      </c>
      <c r="P770">
        <v>8.9</v>
      </c>
      <c r="Q770" t="s">
        <v>63</v>
      </c>
      <c r="R770">
        <v>10000</v>
      </c>
      <c r="S770">
        <v>51</v>
      </c>
      <c r="T770">
        <v>1</v>
      </c>
      <c r="U770">
        <v>1</v>
      </c>
      <c r="V770">
        <v>0</v>
      </c>
      <c r="W770" t="s">
        <v>39</v>
      </c>
      <c r="X770">
        <v>0</v>
      </c>
      <c r="Y770" t="str">
        <f t="shared" ref="Y770:Y833" si="12">IF(S770&lt;=33,"Low",IF(S770&lt;=66,"Medium","High"))</f>
        <v>Medium</v>
      </c>
    </row>
    <row r="771" spans="1:25">
      <c r="A771" t="s">
        <v>884</v>
      </c>
      <c r="B771" s="1">
        <v>44935</v>
      </c>
      <c r="C771" s="2">
        <v>0.21875</v>
      </c>
      <c r="D771" t="s">
        <v>41</v>
      </c>
      <c r="E771" t="s">
        <v>104</v>
      </c>
      <c r="F771" t="s">
        <v>122</v>
      </c>
      <c r="G771" t="s">
        <v>36</v>
      </c>
      <c r="H771" s="2">
        <v>0.21944444444444444</v>
      </c>
      <c r="I771" s="2">
        <v>0.23402777777777778</v>
      </c>
      <c r="J771">
        <v>1</v>
      </c>
      <c r="K771">
        <v>11</v>
      </c>
      <c r="L771" t="s">
        <v>45</v>
      </c>
      <c r="M771">
        <v>27.6</v>
      </c>
      <c r="N771">
        <v>77</v>
      </c>
      <c r="O771">
        <v>59</v>
      </c>
      <c r="P771">
        <v>15.6</v>
      </c>
      <c r="Q771" t="s">
        <v>31</v>
      </c>
      <c r="R771">
        <v>50000</v>
      </c>
      <c r="S771">
        <v>0</v>
      </c>
      <c r="T771">
        <v>0</v>
      </c>
      <c r="U771">
        <v>1</v>
      </c>
      <c r="V771">
        <v>0</v>
      </c>
      <c r="W771" t="s">
        <v>72</v>
      </c>
      <c r="X771">
        <v>1</v>
      </c>
      <c r="Y771" t="str">
        <f t="shared" si="12"/>
        <v>Low</v>
      </c>
    </row>
    <row r="772" spans="1:25">
      <c r="A772" t="s">
        <v>885</v>
      </c>
      <c r="B772" s="1">
        <v>44935</v>
      </c>
      <c r="C772" s="2">
        <v>0.22916666666666666</v>
      </c>
      <c r="D772" t="s">
        <v>41</v>
      </c>
      <c r="E772" t="s">
        <v>157</v>
      </c>
      <c r="F772" t="s">
        <v>113</v>
      </c>
      <c r="G772" t="s">
        <v>70</v>
      </c>
      <c r="H772" s="2">
        <v>0.22916666666666666</v>
      </c>
      <c r="I772" s="2">
        <v>0.26319444444444445</v>
      </c>
      <c r="J772">
        <v>4</v>
      </c>
      <c r="K772">
        <v>9</v>
      </c>
      <c r="L772" t="s">
        <v>77</v>
      </c>
      <c r="M772">
        <v>25.1</v>
      </c>
      <c r="N772">
        <v>99</v>
      </c>
      <c r="O772">
        <v>14</v>
      </c>
      <c r="P772">
        <v>15</v>
      </c>
      <c r="Q772" t="s">
        <v>71</v>
      </c>
      <c r="R772">
        <v>0</v>
      </c>
      <c r="S772">
        <v>13</v>
      </c>
      <c r="T772">
        <v>0</v>
      </c>
      <c r="U772">
        <v>0</v>
      </c>
      <c r="V772">
        <v>0</v>
      </c>
      <c r="W772" t="s">
        <v>72</v>
      </c>
      <c r="X772">
        <v>1</v>
      </c>
      <c r="Y772" t="str">
        <f t="shared" si="12"/>
        <v>Low</v>
      </c>
    </row>
    <row r="773" spans="1:25">
      <c r="A773" t="s">
        <v>886</v>
      </c>
      <c r="B773" s="1">
        <v>44935</v>
      </c>
      <c r="C773" s="2">
        <v>0.23958333333333334</v>
      </c>
      <c r="D773" t="s">
        <v>41</v>
      </c>
      <c r="E773" t="s">
        <v>93</v>
      </c>
      <c r="F773" t="s">
        <v>109</v>
      </c>
      <c r="G773" t="s">
        <v>99</v>
      </c>
      <c r="H773" s="2">
        <v>0.23958333333333334</v>
      </c>
      <c r="I773" s="2">
        <v>0.26180555555555557</v>
      </c>
      <c r="J773">
        <v>-1</v>
      </c>
      <c r="K773">
        <v>18</v>
      </c>
      <c r="L773" t="s">
        <v>84</v>
      </c>
      <c r="M773">
        <v>31.5</v>
      </c>
      <c r="N773">
        <v>36</v>
      </c>
      <c r="O773">
        <v>25</v>
      </c>
      <c r="P773">
        <v>11.6</v>
      </c>
      <c r="Q773" t="s">
        <v>31</v>
      </c>
      <c r="R773">
        <v>0</v>
      </c>
      <c r="S773">
        <v>93</v>
      </c>
      <c r="T773">
        <v>0</v>
      </c>
      <c r="U773">
        <v>0</v>
      </c>
      <c r="V773">
        <v>0</v>
      </c>
      <c r="W773" t="s">
        <v>32</v>
      </c>
      <c r="X773">
        <v>1</v>
      </c>
      <c r="Y773" t="str">
        <f t="shared" si="12"/>
        <v>High</v>
      </c>
    </row>
    <row r="774" spans="1:25">
      <c r="A774" t="s">
        <v>887</v>
      </c>
      <c r="B774" s="1">
        <v>44935</v>
      </c>
      <c r="C774" s="2">
        <v>0.25</v>
      </c>
      <c r="D774" t="s">
        <v>41</v>
      </c>
      <c r="E774" t="s">
        <v>57</v>
      </c>
      <c r="F774" t="s">
        <v>76</v>
      </c>
      <c r="G774" t="s">
        <v>109</v>
      </c>
      <c r="H774" s="2">
        <v>0.25277777777777777</v>
      </c>
      <c r="I774" s="2">
        <v>0.27638888888888891</v>
      </c>
      <c r="J774">
        <v>3</v>
      </c>
      <c r="K774">
        <v>12</v>
      </c>
      <c r="L774" t="s">
        <v>38</v>
      </c>
      <c r="M774">
        <v>28.3</v>
      </c>
      <c r="N774">
        <v>43</v>
      </c>
      <c r="O774">
        <v>43</v>
      </c>
      <c r="P774">
        <v>16.7</v>
      </c>
      <c r="Q774" t="s">
        <v>71</v>
      </c>
      <c r="R774">
        <v>0</v>
      </c>
      <c r="S774">
        <v>84</v>
      </c>
      <c r="T774">
        <v>0</v>
      </c>
      <c r="U774">
        <v>1</v>
      </c>
      <c r="V774">
        <v>0</v>
      </c>
      <c r="W774" t="s">
        <v>39</v>
      </c>
      <c r="X774">
        <v>1</v>
      </c>
      <c r="Y774" t="str">
        <f t="shared" si="12"/>
        <v>High</v>
      </c>
    </row>
    <row r="775" spans="1:25">
      <c r="A775" t="s">
        <v>888</v>
      </c>
      <c r="B775" s="1">
        <v>44935</v>
      </c>
      <c r="C775" s="2">
        <v>0.26041666666666669</v>
      </c>
      <c r="D775" t="s">
        <v>34</v>
      </c>
      <c r="E775" t="s">
        <v>141</v>
      </c>
      <c r="F775" t="s">
        <v>122</v>
      </c>
      <c r="G775" t="s">
        <v>76</v>
      </c>
      <c r="H775" s="2">
        <v>0.26250000000000001</v>
      </c>
      <c r="I775" s="2">
        <v>0.27847222222222223</v>
      </c>
      <c r="J775">
        <v>3</v>
      </c>
      <c r="K775">
        <v>28</v>
      </c>
      <c r="L775" t="s">
        <v>30</v>
      </c>
      <c r="M775">
        <v>5.2</v>
      </c>
      <c r="N775">
        <v>40</v>
      </c>
      <c r="O775">
        <v>27</v>
      </c>
      <c r="P775">
        <v>3.9</v>
      </c>
      <c r="Q775" t="s">
        <v>31</v>
      </c>
      <c r="R775">
        <v>2000</v>
      </c>
      <c r="S775">
        <v>20</v>
      </c>
      <c r="T775">
        <v>0</v>
      </c>
      <c r="U775">
        <v>0</v>
      </c>
      <c r="V775">
        <v>0</v>
      </c>
      <c r="W775" t="s">
        <v>32</v>
      </c>
      <c r="X775">
        <v>1</v>
      </c>
      <c r="Y775" t="str">
        <f t="shared" si="12"/>
        <v>Low</v>
      </c>
    </row>
    <row r="776" spans="1:25">
      <c r="A776" t="s">
        <v>889</v>
      </c>
      <c r="B776" s="1">
        <v>44935</v>
      </c>
      <c r="C776" s="2">
        <v>0.27083333333333331</v>
      </c>
      <c r="D776" t="s">
        <v>74</v>
      </c>
      <c r="E776" t="s">
        <v>61</v>
      </c>
      <c r="F776" t="s">
        <v>66</v>
      </c>
      <c r="G776" t="s">
        <v>100</v>
      </c>
      <c r="H776" s="2">
        <v>0.27083333333333331</v>
      </c>
      <c r="I776" s="2">
        <v>0.2902777777777778</v>
      </c>
      <c r="J776">
        <v>15</v>
      </c>
      <c r="K776">
        <v>-2</v>
      </c>
      <c r="L776" t="s">
        <v>30</v>
      </c>
      <c r="M776">
        <v>8.3000000000000007</v>
      </c>
      <c r="N776">
        <v>41</v>
      </c>
      <c r="O776">
        <v>41</v>
      </c>
      <c r="P776">
        <v>3.2</v>
      </c>
      <c r="Q776" t="s">
        <v>31</v>
      </c>
      <c r="R776">
        <v>0</v>
      </c>
      <c r="S776">
        <v>33</v>
      </c>
      <c r="T776">
        <v>0</v>
      </c>
      <c r="U776">
        <v>0</v>
      </c>
      <c r="V776">
        <v>0</v>
      </c>
      <c r="W776" t="s">
        <v>72</v>
      </c>
      <c r="X776">
        <v>0</v>
      </c>
      <c r="Y776" t="str">
        <f t="shared" si="12"/>
        <v>Low</v>
      </c>
    </row>
    <row r="777" spans="1:25">
      <c r="A777" t="s">
        <v>890</v>
      </c>
      <c r="B777" s="1">
        <v>44935</v>
      </c>
      <c r="C777" s="2">
        <v>0.28125</v>
      </c>
      <c r="D777" t="s">
        <v>41</v>
      </c>
      <c r="E777" t="s">
        <v>35</v>
      </c>
      <c r="F777" t="s">
        <v>168</v>
      </c>
      <c r="G777" t="s">
        <v>203</v>
      </c>
      <c r="H777" s="2">
        <v>0.28333333333333333</v>
      </c>
      <c r="I777" s="2">
        <v>0.30763888888888891</v>
      </c>
      <c r="J777">
        <v>17</v>
      </c>
      <c r="K777">
        <v>22</v>
      </c>
      <c r="L777" t="s">
        <v>77</v>
      </c>
      <c r="M777">
        <v>15</v>
      </c>
      <c r="N777">
        <v>34</v>
      </c>
      <c r="O777">
        <v>44</v>
      </c>
      <c r="P777">
        <v>15</v>
      </c>
      <c r="Q777" t="s">
        <v>31</v>
      </c>
      <c r="R777">
        <v>0</v>
      </c>
      <c r="S777">
        <v>89</v>
      </c>
      <c r="T777">
        <v>0</v>
      </c>
      <c r="U777">
        <v>1</v>
      </c>
      <c r="V777">
        <v>0</v>
      </c>
      <c r="W777" t="s">
        <v>72</v>
      </c>
      <c r="X777">
        <v>1</v>
      </c>
      <c r="Y777" t="str">
        <f t="shared" si="12"/>
        <v>High</v>
      </c>
    </row>
    <row r="778" spans="1:25">
      <c r="A778" t="s">
        <v>891</v>
      </c>
      <c r="B778" s="1">
        <v>44935</v>
      </c>
      <c r="C778" s="2">
        <v>0.29166666666666669</v>
      </c>
      <c r="D778" t="s">
        <v>41</v>
      </c>
      <c r="E778" t="s">
        <v>52</v>
      </c>
      <c r="F778" t="s">
        <v>176</v>
      </c>
      <c r="G778" t="s">
        <v>176</v>
      </c>
      <c r="H778" s="2">
        <v>0.29375000000000001</v>
      </c>
      <c r="I778" s="2">
        <v>0.33263888888888887</v>
      </c>
      <c r="J778">
        <v>5</v>
      </c>
      <c r="K778">
        <v>10</v>
      </c>
      <c r="L778" t="s">
        <v>30</v>
      </c>
      <c r="M778">
        <v>-4.4000000000000004</v>
      </c>
      <c r="N778">
        <v>34</v>
      </c>
      <c r="O778">
        <v>29</v>
      </c>
      <c r="P778">
        <v>4.9000000000000004</v>
      </c>
      <c r="Q778" t="s">
        <v>31</v>
      </c>
      <c r="R778">
        <v>0</v>
      </c>
      <c r="S778">
        <v>13</v>
      </c>
      <c r="T778">
        <v>0</v>
      </c>
      <c r="U778">
        <v>1</v>
      </c>
      <c r="V778">
        <v>0</v>
      </c>
      <c r="W778" t="s">
        <v>72</v>
      </c>
      <c r="X778">
        <v>1</v>
      </c>
      <c r="Y778" t="str">
        <f t="shared" si="12"/>
        <v>Low</v>
      </c>
    </row>
    <row r="779" spans="1:25">
      <c r="A779" t="s">
        <v>892</v>
      </c>
      <c r="B779" s="1">
        <v>44935</v>
      </c>
      <c r="C779" s="2">
        <v>0.30208333333333331</v>
      </c>
      <c r="D779" t="s">
        <v>34</v>
      </c>
      <c r="E779" t="s">
        <v>68</v>
      </c>
      <c r="F779" t="s">
        <v>44</v>
      </c>
      <c r="G779" t="s">
        <v>86</v>
      </c>
      <c r="H779" s="2">
        <v>0.30486111111111114</v>
      </c>
      <c r="I779" s="2">
        <v>0.33055555555555555</v>
      </c>
      <c r="J779">
        <v>5</v>
      </c>
      <c r="K779">
        <v>4</v>
      </c>
      <c r="L779" t="s">
        <v>45</v>
      </c>
      <c r="M779">
        <v>31.2</v>
      </c>
      <c r="N779">
        <v>49</v>
      </c>
      <c r="O779">
        <v>42</v>
      </c>
      <c r="P779">
        <v>0.1</v>
      </c>
      <c r="Q779" t="s">
        <v>46</v>
      </c>
      <c r="R779">
        <v>2000</v>
      </c>
      <c r="S779">
        <v>39</v>
      </c>
      <c r="T779">
        <v>0</v>
      </c>
      <c r="U779">
        <v>0</v>
      </c>
      <c r="V779">
        <v>0</v>
      </c>
      <c r="W779" t="s">
        <v>72</v>
      </c>
      <c r="X779">
        <v>0</v>
      </c>
      <c r="Y779" t="str">
        <f t="shared" si="12"/>
        <v>Medium</v>
      </c>
    </row>
    <row r="780" spans="1:25">
      <c r="A780" t="s">
        <v>893</v>
      </c>
      <c r="B780" s="1">
        <v>44935</v>
      </c>
      <c r="C780" s="2">
        <v>0.3125</v>
      </c>
      <c r="D780" t="s">
        <v>34</v>
      </c>
      <c r="E780" t="s">
        <v>52</v>
      </c>
      <c r="F780" t="s">
        <v>37</v>
      </c>
      <c r="G780" t="s">
        <v>36</v>
      </c>
      <c r="H780" s="2">
        <v>0.31458333333333333</v>
      </c>
      <c r="I780" s="2">
        <v>0.33819444444444446</v>
      </c>
      <c r="J780">
        <v>5</v>
      </c>
      <c r="K780">
        <v>17</v>
      </c>
      <c r="L780" t="s">
        <v>45</v>
      </c>
      <c r="M780">
        <v>-3.2</v>
      </c>
      <c r="N780">
        <v>83</v>
      </c>
      <c r="O780">
        <v>34</v>
      </c>
      <c r="P780">
        <v>18.2</v>
      </c>
      <c r="Q780" t="s">
        <v>31</v>
      </c>
      <c r="R780">
        <v>0</v>
      </c>
      <c r="S780">
        <v>34</v>
      </c>
      <c r="T780">
        <v>0</v>
      </c>
      <c r="U780">
        <v>0</v>
      </c>
      <c r="V780">
        <v>0</v>
      </c>
      <c r="W780" t="s">
        <v>55</v>
      </c>
      <c r="X780">
        <v>1</v>
      </c>
      <c r="Y780" t="str">
        <f t="shared" si="12"/>
        <v>Medium</v>
      </c>
    </row>
    <row r="781" spans="1:25">
      <c r="A781" t="s">
        <v>894</v>
      </c>
      <c r="B781" s="1">
        <v>44935</v>
      </c>
      <c r="C781" s="2">
        <v>0.32291666666666669</v>
      </c>
      <c r="D781" t="s">
        <v>26</v>
      </c>
      <c r="E781" t="s">
        <v>79</v>
      </c>
      <c r="F781" t="s">
        <v>37</v>
      </c>
      <c r="G781" t="s">
        <v>148</v>
      </c>
      <c r="H781" s="2">
        <v>0.32361111111111113</v>
      </c>
      <c r="I781" s="2">
        <v>0.35208333333333336</v>
      </c>
      <c r="J781">
        <v>5</v>
      </c>
      <c r="K781">
        <v>24</v>
      </c>
      <c r="L781" t="s">
        <v>84</v>
      </c>
      <c r="M781">
        <v>7.9</v>
      </c>
      <c r="N781">
        <v>84</v>
      </c>
      <c r="O781">
        <v>21</v>
      </c>
      <c r="P781">
        <v>12.5</v>
      </c>
      <c r="Q781" t="s">
        <v>31</v>
      </c>
      <c r="R781">
        <v>2000</v>
      </c>
      <c r="S781">
        <v>41</v>
      </c>
      <c r="T781">
        <v>0</v>
      </c>
      <c r="U781">
        <v>0</v>
      </c>
      <c r="V781">
        <v>0</v>
      </c>
      <c r="W781" t="s">
        <v>72</v>
      </c>
      <c r="X781">
        <v>1</v>
      </c>
      <c r="Y781" t="str">
        <f t="shared" si="12"/>
        <v>Medium</v>
      </c>
    </row>
    <row r="782" spans="1:25">
      <c r="A782" t="s">
        <v>895</v>
      </c>
      <c r="B782" s="1">
        <v>44935</v>
      </c>
      <c r="C782" s="2">
        <v>0.33333333333333331</v>
      </c>
      <c r="D782" t="s">
        <v>41</v>
      </c>
      <c r="E782" t="s">
        <v>130</v>
      </c>
      <c r="F782" t="s">
        <v>29</v>
      </c>
      <c r="G782" t="s">
        <v>83</v>
      </c>
      <c r="H782" s="2">
        <v>0.33541666666666664</v>
      </c>
      <c r="I782" s="2">
        <v>0.34791666666666665</v>
      </c>
      <c r="J782">
        <v>-2</v>
      </c>
      <c r="K782">
        <v>2</v>
      </c>
      <c r="L782" t="s">
        <v>84</v>
      </c>
      <c r="M782">
        <v>17.8</v>
      </c>
      <c r="N782">
        <v>87</v>
      </c>
      <c r="O782">
        <v>9</v>
      </c>
      <c r="P782">
        <v>8.9</v>
      </c>
      <c r="Q782" t="s">
        <v>101</v>
      </c>
      <c r="R782">
        <v>2000</v>
      </c>
      <c r="S782">
        <v>81</v>
      </c>
      <c r="T782">
        <v>0</v>
      </c>
      <c r="U782">
        <v>1</v>
      </c>
      <c r="V782">
        <v>0</v>
      </c>
      <c r="W782" t="s">
        <v>39</v>
      </c>
      <c r="X782">
        <v>0</v>
      </c>
      <c r="Y782" t="str">
        <f t="shared" si="12"/>
        <v>High</v>
      </c>
    </row>
    <row r="783" spans="1:25">
      <c r="A783" t="s">
        <v>896</v>
      </c>
      <c r="B783" s="1">
        <v>44935</v>
      </c>
      <c r="C783" s="2">
        <v>0.34375</v>
      </c>
      <c r="D783" t="s">
        <v>26</v>
      </c>
      <c r="E783" t="s">
        <v>35</v>
      </c>
      <c r="F783" t="s">
        <v>87</v>
      </c>
      <c r="G783" t="s">
        <v>135</v>
      </c>
      <c r="H783" s="2">
        <v>0.34652777777777777</v>
      </c>
      <c r="I783" s="2">
        <v>0.36458333333333331</v>
      </c>
      <c r="J783">
        <v>-1</v>
      </c>
      <c r="K783">
        <v>16</v>
      </c>
      <c r="L783" t="s">
        <v>84</v>
      </c>
      <c r="M783">
        <v>15.7</v>
      </c>
      <c r="N783">
        <v>59</v>
      </c>
      <c r="O783">
        <v>10</v>
      </c>
      <c r="P783">
        <v>14.5</v>
      </c>
      <c r="Q783" t="s">
        <v>31</v>
      </c>
      <c r="R783">
        <v>0</v>
      </c>
      <c r="S783">
        <v>19</v>
      </c>
      <c r="T783">
        <v>0</v>
      </c>
      <c r="U783">
        <v>1</v>
      </c>
      <c r="V783">
        <v>0</v>
      </c>
      <c r="W783" t="s">
        <v>72</v>
      </c>
      <c r="X783">
        <v>1</v>
      </c>
      <c r="Y783" t="str">
        <f t="shared" si="12"/>
        <v>Low</v>
      </c>
    </row>
    <row r="784" spans="1:25">
      <c r="A784" t="s">
        <v>897</v>
      </c>
      <c r="B784" s="1">
        <v>44935</v>
      </c>
      <c r="C784" s="2">
        <v>0.35416666666666669</v>
      </c>
      <c r="D784" t="s">
        <v>34</v>
      </c>
      <c r="E784" t="s">
        <v>130</v>
      </c>
      <c r="F784" t="s">
        <v>65</v>
      </c>
      <c r="G784" t="s">
        <v>148</v>
      </c>
      <c r="H784" s="2">
        <v>0.35694444444444445</v>
      </c>
      <c r="I784" s="2">
        <v>0.3888888888888889</v>
      </c>
      <c r="J784">
        <v>9</v>
      </c>
      <c r="K784">
        <v>27</v>
      </c>
      <c r="L784" t="s">
        <v>45</v>
      </c>
      <c r="M784">
        <v>21.2</v>
      </c>
      <c r="N784">
        <v>53</v>
      </c>
      <c r="O784">
        <v>37</v>
      </c>
      <c r="P784">
        <v>6.7</v>
      </c>
      <c r="Q784" t="s">
        <v>46</v>
      </c>
      <c r="R784">
        <v>0</v>
      </c>
      <c r="S784">
        <v>59</v>
      </c>
      <c r="T784">
        <v>0</v>
      </c>
      <c r="U784">
        <v>1</v>
      </c>
      <c r="V784">
        <v>0</v>
      </c>
      <c r="W784" t="s">
        <v>55</v>
      </c>
      <c r="X784">
        <v>1</v>
      </c>
      <c r="Y784" t="str">
        <f t="shared" si="12"/>
        <v>Medium</v>
      </c>
    </row>
    <row r="785" spans="1:25">
      <c r="A785" t="s">
        <v>898</v>
      </c>
      <c r="B785" s="1">
        <v>44935</v>
      </c>
      <c r="C785" s="2">
        <v>0.36458333333333331</v>
      </c>
      <c r="D785" t="s">
        <v>34</v>
      </c>
      <c r="E785" t="s">
        <v>68</v>
      </c>
      <c r="F785" t="s">
        <v>69</v>
      </c>
      <c r="G785" t="s">
        <v>69</v>
      </c>
      <c r="H785" s="2">
        <v>0.36736111111111114</v>
      </c>
      <c r="I785" s="2">
        <v>0.40069444444444446</v>
      </c>
      <c r="J785">
        <v>12</v>
      </c>
      <c r="K785">
        <v>29</v>
      </c>
      <c r="L785" t="s">
        <v>54</v>
      </c>
      <c r="M785">
        <v>16.100000000000001</v>
      </c>
      <c r="N785">
        <v>32</v>
      </c>
      <c r="O785">
        <v>32</v>
      </c>
      <c r="P785">
        <v>19.100000000000001</v>
      </c>
      <c r="Q785" t="s">
        <v>31</v>
      </c>
      <c r="R785">
        <v>500</v>
      </c>
      <c r="S785">
        <v>8</v>
      </c>
      <c r="T785">
        <v>0</v>
      </c>
      <c r="U785">
        <v>0</v>
      </c>
      <c r="V785">
        <v>0</v>
      </c>
      <c r="W785" t="s">
        <v>39</v>
      </c>
      <c r="X785">
        <v>1</v>
      </c>
      <c r="Y785" t="str">
        <f t="shared" si="12"/>
        <v>Low</v>
      </c>
    </row>
    <row r="786" spans="1:25">
      <c r="A786" t="s">
        <v>899</v>
      </c>
      <c r="B786" s="1">
        <v>44935</v>
      </c>
      <c r="C786" s="2">
        <v>0.375</v>
      </c>
      <c r="D786" t="s">
        <v>74</v>
      </c>
      <c r="E786" t="s">
        <v>141</v>
      </c>
      <c r="F786" t="s">
        <v>76</v>
      </c>
      <c r="G786" t="s">
        <v>49</v>
      </c>
      <c r="H786" s="2">
        <v>0.375</v>
      </c>
      <c r="I786" s="2">
        <v>0.39791666666666664</v>
      </c>
      <c r="J786">
        <v>1</v>
      </c>
      <c r="K786">
        <v>3</v>
      </c>
      <c r="L786" t="s">
        <v>54</v>
      </c>
      <c r="M786">
        <v>4.2</v>
      </c>
      <c r="N786">
        <v>77</v>
      </c>
      <c r="O786">
        <v>5</v>
      </c>
      <c r="P786">
        <v>1.4</v>
      </c>
      <c r="Q786" t="s">
        <v>31</v>
      </c>
      <c r="R786">
        <v>0</v>
      </c>
      <c r="S786">
        <v>32</v>
      </c>
      <c r="T786">
        <v>0</v>
      </c>
      <c r="U786">
        <v>0</v>
      </c>
      <c r="V786">
        <v>0</v>
      </c>
      <c r="W786" t="s">
        <v>55</v>
      </c>
      <c r="X786">
        <v>0</v>
      </c>
      <c r="Y786" t="str">
        <f t="shared" si="12"/>
        <v>Low</v>
      </c>
    </row>
    <row r="787" spans="1:25">
      <c r="A787" t="s">
        <v>900</v>
      </c>
      <c r="B787" s="1">
        <v>44935</v>
      </c>
      <c r="C787" s="2">
        <v>0.38541666666666669</v>
      </c>
      <c r="D787" t="s">
        <v>41</v>
      </c>
      <c r="E787" t="s">
        <v>35</v>
      </c>
      <c r="F787" t="s">
        <v>83</v>
      </c>
      <c r="G787" t="s">
        <v>176</v>
      </c>
      <c r="H787" s="2">
        <v>0.38611111111111113</v>
      </c>
      <c r="I787" s="2">
        <v>0.40972222222222221</v>
      </c>
      <c r="J787">
        <v>0</v>
      </c>
      <c r="K787">
        <v>4</v>
      </c>
      <c r="L787" t="s">
        <v>84</v>
      </c>
      <c r="M787">
        <v>3</v>
      </c>
      <c r="N787">
        <v>51</v>
      </c>
      <c r="O787">
        <v>36</v>
      </c>
      <c r="P787">
        <v>12.8</v>
      </c>
      <c r="Q787" t="s">
        <v>31</v>
      </c>
      <c r="R787">
        <v>0</v>
      </c>
      <c r="S787">
        <v>48</v>
      </c>
      <c r="T787">
        <v>0</v>
      </c>
      <c r="U787">
        <v>0</v>
      </c>
      <c r="V787">
        <v>0</v>
      </c>
      <c r="W787" t="s">
        <v>55</v>
      </c>
      <c r="X787">
        <v>0</v>
      </c>
      <c r="Y787" t="str">
        <f t="shared" si="12"/>
        <v>Medium</v>
      </c>
    </row>
    <row r="788" spans="1:25">
      <c r="A788" t="s">
        <v>901</v>
      </c>
      <c r="B788" s="1">
        <v>44935</v>
      </c>
      <c r="C788" s="2">
        <v>0.39583333333333331</v>
      </c>
      <c r="D788" t="s">
        <v>26</v>
      </c>
      <c r="E788" t="s">
        <v>141</v>
      </c>
      <c r="F788" t="s">
        <v>116</v>
      </c>
      <c r="G788" t="s">
        <v>87</v>
      </c>
      <c r="H788" s="2">
        <v>0.39583333333333331</v>
      </c>
      <c r="I788" s="2">
        <v>0.41666666666666669</v>
      </c>
      <c r="J788">
        <v>11</v>
      </c>
      <c r="K788">
        <v>5</v>
      </c>
      <c r="L788" t="s">
        <v>84</v>
      </c>
      <c r="M788">
        <v>31.3</v>
      </c>
      <c r="N788">
        <v>43</v>
      </c>
      <c r="O788">
        <v>6</v>
      </c>
      <c r="P788">
        <v>15.5</v>
      </c>
      <c r="Q788" t="s">
        <v>31</v>
      </c>
      <c r="R788">
        <v>2000</v>
      </c>
      <c r="S788">
        <v>67</v>
      </c>
      <c r="T788">
        <v>0</v>
      </c>
      <c r="U788">
        <v>0</v>
      </c>
      <c r="V788">
        <v>0</v>
      </c>
      <c r="W788" t="s">
        <v>39</v>
      </c>
      <c r="X788">
        <v>0</v>
      </c>
      <c r="Y788" t="str">
        <f t="shared" si="12"/>
        <v>High</v>
      </c>
    </row>
    <row r="789" spans="1:25">
      <c r="A789" t="s">
        <v>902</v>
      </c>
      <c r="B789" s="1">
        <v>44935</v>
      </c>
      <c r="C789" s="2">
        <v>0.40625</v>
      </c>
      <c r="D789" t="s">
        <v>34</v>
      </c>
      <c r="E789" t="s">
        <v>68</v>
      </c>
      <c r="F789" t="s">
        <v>83</v>
      </c>
      <c r="G789" t="s">
        <v>142</v>
      </c>
      <c r="H789" s="2">
        <v>0.40763888888888888</v>
      </c>
      <c r="I789" s="2">
        <v>0.44236111111111109</v>
      </c>
      <c r="J789">
        <v>19</v>
      </c>
      <c r="K789">
        <v>-2</v>
      </c>
      <c r="L789" t="s">
        <v>45</v>
      </c>
      <c r="M789">
        <v>5.6</v>
      </c>
      <c r="N789">
        <v>77</v>
      </c>
      <c r="O789">
        <v>53</v>
      </c>
      <c r="P789">
        <v>9.4</v>
      </c>
      <c r="Q789" t="s">
        <v>31</v>
      </c>
      <c r="R789">
        <v>50000</v>
      </c>
      <c r="S789">
        <v>3</v>
      </c>
      <c r="T789">
        <v>0</v>
      </c>
      <c r="U789">
        <v>0</v>
      </c>
      <c r="V789">
        <v>0</v>
      </c>
      <c r="W789" t="s">
        <v>55</v>
      </c>
      <c r="X789">
        <v>0</v>
      </c>
      <c r="Y789" t="str">
        <f t="shared" si="12"/>
        <v>Low</v>
      </c>
    </row>
    <row r="790" spans="1:25">
      <c r="A790" t="s">
        <v>903</v>
      </c>
      <c r="B790" s="1">
        <v>44935</v>
      </c>
      <c r="C790" s="2">
        <v>0.41666666666666669</v>
      </c>
      <c r="D790" t="s">
        <v>34</v>
      </c>
      <c r="E790" t="s">
        <v>57</v>
      </c>
      <c r="F790" t="s">
        <v>123</v>
      </c>
      <c r="G790" t="s">
        <v>90</v>
      </c>
      <c r="H790" s="2">
        <v>0.41736111111111113</v>
      </c>
      <c r="I790" s="2">
        <v>0.43472222222222223</v>
      </c>
      <c r="J790">
        <v>5</v>
      </c>
      <c r="K790">
        <v>13</v>
      </c>
      <c r="L790" t="s">
        <v>77</v>
      </c>
      <c r="M790">
        <v>6.2</v>
      </c>
      <c r="N790">
        <v>58</v>
      </c>
      <c r="O790">
        <v>43</v>
      </c>
      <c r="P790">
        <v>15.1</v>
      </c>
      <c r="Q790" t="s">
        <v>46</v>
      </c>
      <c r="R790">
        <v>50000</v>
      </c>
      <c r="S790">
        <v>47</v>
      </c>
      <c r="T790">
        <v>0</v>
      </c>
      <c r="U790">
        <v>0</v>
      </c>
      <c r="V790">
        <v>0</v>
      </c>
      <c r="W790" t="s">
        <v>72</v>
      </c>
      <c r="X790">
        <v>1</v>
      </c>
      <c r="Y790" t="str">
        <f t="shared" si="12"/>
        <v>Medium</v>
      </c>
    </row>
    <row r="791" spans="1:25">
      <c r="A791" t="s">
        <v>904</v>
      </c>
      <c r="B791" s="1">
        <v>44935</v>
      </c>
      <c r="C791" s="2">
        <v>0.42708333333333331</v>
      </c>
      <c r="D791" t="s">
        <v>26</v>
      </c>
      <c r="E791" t="s">
        <v>130</v>
      </c>
      <c r="F791" t="s">
        <v>154</v>
      </c>
      <c r="G791" t="s">
        <v>122</v>
      </c>
      <c r="H791" s="2">
        <v>0.42916666666666664</v>
      </c>
      <c r="I791" s="2">
        <v>0.46180555555555558</v>
      </c>
      <c r="J791">
        <v>10</v>
      </c>
      <c r="K791">
        <v>13</v>
      </c>
      <c r="L791" t="s">
        <v>30</v>
      </c>
      <c r="M791">
        <v>11.5</v>
      </c>
      <c r="N791">
        <v>79</v>
      </c>
      <c r="O791">
        <v>11</v>
      </c>
      <c r="P791">
        <v>18.5</v>
      </c>
      <c r="Q791" t="s">
        <v>46</v>
      </c>
      <c r="R791">
        <v>2000</v>
      </c>
      <c r="S791">
        <v>15</v>
      </c>
      <c r="T791">
        <v>0</v>
      </c>
      <c r="U791">
        <v>0</v>
      </c>
      <c r="V791">
        <v>0</v>
      </c>
      <c r="W791" t="s">
        <v>32</v>
      </c>
      <c r="X791">
        <v>1</v>
      </c>
      <c r="Y791" t="str">
        <f t="shared" si="12"/>
        <v>Low</v>
      </c>
    </row>
    <row r="792" spans="1:25">
      <c r="A792" t="s">
        <v>905</v>
      </c>
      <c r="B792" s="1">
        <v>44935</v>
      </c>
      <c r="C792" s="2">
        <v>0.4375</v>
      </c>
      <c r="D792" t="s">
        <v>74</v>
      </c>
      <c r="E792" t="s">
        <v>141</v>
      </c>
      <c r="F792" t="s">
        <v>148</v>
      </c>
      <c r="G792" t="s">
        <v>75</v>
      </c>
      <c r="H792" s="2">
        <v>0.44027777777777777</v>
      </c>
      <c r="I792" s="2">
        <v>0.46041666666666664</v>
      </c>
      <c r="J792">
        <v>16</v>
      </c>
      <c r="K792">
        <v>26</v>
      </c>
      <c r="L792" t="s">
        <v>38</v>
      </c>
      <c r="M792">
        <v>0.6</v>
      </c>
      <c r="N792">
        <v>39</v>
      </c>
      <c r="O792">
        <v>6</v>
      </c>
      <c r="P792">
        <v>14.9</v>
      </c>
      <c r="Q792" t="s">
        <v>71</v>
      </c>
      <c r="R792">
        <v>0</v>
      </c>
      <c r="S792">
        <v>46</v>
      </c>
      <c r="T792">
        <v>0</v>
      </c>
      <c r="U792">
        <v>1</v>
      </c>
      <c r="V792">
        <v>0</v>
      </c>
      <c r="W792" t="s">
        <v>32</v>
      </c>
      <c r="X792">
        <v>1</v>
      </c>
      <c r="Y792" t="str">
        <f t="shared" si="12"/>
        <v>Medium</v>
      </c>
    </row>
    <row r="793" spans="1:25">
      <c r="A793" t="s">
        <v>906</v>
      </c>
      <c r="B793" s="1">
        <v>44935</v>
      </c>
      <c r="C793" s="2">
        <v>0.44791666666666669</v>
      </c>
      <c r="D793" t="s">
        <v>34</v>
      </c>
      <c r="E793" t="s">
        <v>126</v>
      </c>
      <c r="F793" t="s">
        <v>105</v>
      </c>
      <c r="G793" t="s">
        <v>100</v>
      </c>
      <c r="H793" s="2">
        <v>0.44930555555555557</v>
      </c>
      <c r="I793" s="2">
        <v>0.48055555555555557</v>
      </c>
      <c r="J793">
        <v>19</v>
      </c>
      <c r="K793">
        <v>2</v>
      </c>
      <c r="L793" t="s">
        <v>54</v>
      </c>
      <c r="M793">
        <v>15.3</v>
      </c>
      <c r="N793">
        <v>56</v>
      </c>
      <c r="O793">
        <v>1</v>
      </c>
      <c r="P793">
        <v>6.2</v>
      </c>
      <c r="Q793" t="s">
        <v>101</v>
      </c>
      <c r="R793">
        <v>0</v>
      </c>
      <c r="S793">
        <v>25</v>
      </c>
      <c r="T793">
        <v>0</v>
      </c>
      <c r="U793">
        <v>0</v>
      </c>
      <c r="V793">
        <v>0</v>
      </c>
      <c r="W793" t="s">
        <v>32</v>
      </c>
      <c r="X793">
        <v>0</v>
      </c>
      <c r="Y793" t="str">
        <f t="shared" si="12"/>
        <v>Low</v>
      </c>
    </row>
    <row r="794" spans="1:25">
      <c r="A794" t="s">
        <v>907</v>
      </c>
      <c r="B794" s="1">
        <v>44935</v>
      </c>
      <c r="C794" s="2">
        <v>0.45833333333333331</v>
      </c>
      <c r="D794" t="s">
        <v>41</v>
      </c>
      <c r="E794" t="s">
        <v>52</v>
      </c>
      <c r="F794" t="s">
        <v>151</v>
      </c>
      <c r="G794" t="s">
        <v>29</v>
      </c>
      <c r="H794" s="2">
        <v>0.45902777777777776</v>
      </c>
      <c r="I794" s="2">
        <v>0.4826388888888889</v>
      </c>
      <c r="J794">
        <v>2</v>
      </c>
      <c r="K794">
        <v>0</v>
      </c>
      <c r="L794" t="s">
        <v>54</v>
      </c>
      <c r="M794">
        <v>21.6</v>
      </c>
      <c r="N794">
        <v>57</v>
      </c>
      <c r="O794">
        <v>59</v>
      </c>
      <c r="P794">
        <v>11.2</v>
      </c>
      <c r="Q794" t="s">
        <v>101</v>
      </c>
      <c r="R794">
        <v>0</v>
      </c>
      <c r="S794">
        <v>69</v>
      </c>
      <c r="T794">
        <v>0</v>
      </c>
      <c r="U794">
        <v>1</v>
      </c>
      <c r="V794">
        <v>0</v>
      </c>
      <c r="W794" t="s">
        <v>39</v>
      </c>
      <c r="X794">
        <v>0</v>
      </c>
      <c r="Y794" t="str">
        <f t="shared" si="12"/>
        <v>High</v>
      </c>
    </row>
    <row r="795" spans="1:25">
      <c r="A795" t="s">
        <v>908</v>
      </c>
      <c r="B795" s="1">
        <v>44935</v>
      </c>
      <c r="C795" s="2">
        <v>0.46875</v>
      </c>
      <c r="D795" t="s">
        <v>34</v>
      </c>
      <c r="E795" t="s">
        <v>35</v>
      </c>
      <c r="F795" t="s">
        <v>53</v>
      </c>
      <c r="G795" t="s">
        <v>151</v>
      </c>
      <c r="H795" s="2">
        <v>0.46875</v>
      </c>
      <c r="I795" s="2">
        <v>0.49513888888888891</v>
      </c>
      <c r="J795">
        <v>10</v>
      </c>
      <c r="K795">
        <v>5</v>
      </c>
      <c r="L795" t="s">
        <v>45</v>
      </c>
      <c r="M795">
        <v>26.4</v>
      </c>
      <c r="N795">
        <v>38</v>
      </c>
      <c r="O795">
        <v>0</v>
      </c>
      <c r="P795">
        <v>18.2</v>
      </c>
      <c r="Q795" t="s">
        <v>31</v>
      </c>
      <c r="R795">
        <v>0</v>
      </c>
      <c r="S795">
        <v>36</v>
      </c>
      <c r="T795">
        <v>0</v>
      </c>
      <c r="U795">
        <v>0</v>
      </c>
      <c r="V795">
        <v>0</v>
      </c>
      <c r="W795" t="s">
        <v>39</v>
      </c>
      <c r="X795">
        <v>0</v>
      </c>
      <c r="Y795" t="str">
        <f t="shared" si="12"/>
        <v>Medium</v>
      </c>
    </row>
    <row r="796" spans="1:25">
      <c r="A796" t="s">
        <v>909</v>
      </c>
      <c r="B796" s="1">
        <v>44935</v>
      </c>
      <c r="C796" s="2">
        <v>0.47916666666666669</v>
      </c>
      <c r="D796" t="s">
        <v>41</v>
      </c>
      <c r="E796" t="s">
        <v>157</v>
      </c>
      <c r="F796" t="s">
        <v>107</v>
      </c>
      <c r="G796" t="s">
        <v>95</v>
      </c>
      <c r="H796" s="2">
        <v>0.48194444444444445</v>
      </c>
      <c r="I796" s="2">
        <v>0.50416666666666665</v>
      </c>
      <c r="J796">
        <v>17</v>
      </c>
      <c r="K796">
        <v>2</v>
      </c>
      <c r="L796" t="s">
        <v>45</v>
      </c>
      <c r="M796">
        <v>23.5</v>
      </c>
      <c r="N796">
        <v>55</v>
      </c>
      <c r="O796">
        <v>22</v>
      </c>
      <c r="P796">
        <v>9</v>
      </c>
      <c r="Q796" t="s">
        <v>71</v>
      </c>
      <c r="R796">
        <v>0</v>
      </c>
      <c r="S796">
        <v>21</v>
      </c>
      <c r="T796">
        <v>0</v>
      </c>
      <c r="U796">
        <v>1</v>
      </c>
      <c r="V796">
        <v>0</v>
      </c>
      <c r="W796" t="s">
        <v>39</v>
      </c>
      <c r="X796">
        <v>0</v>
      </c>
      <c r="Y796" t="str">
        <f t="shared" si="12"/>
        <v>Low</v>
      </c>
    </row>
    <row r="797" spans="1:25">
      <c r="A797" t="s">
        <v>910</v>
      </c>
      <c r="B797" s="1">
        <v>44935</v>
      </c>
      <c r="C797" s="2">
        <v>0.48958333333333331</v>
      </c>
      <c r="D797" t="s">
        <v>26</v>
      </c>
      <c r="E797" t="s">
        <v>61</v>
      </c>
      <c r="F797" t="s">
        <v>43</v>
      </c>
      <c r="G797" t="s">
        <v>100</v>
      </c>
      <c r="H797" s="2">
        <v>0.48958333333333331</v>
      </c>
      <c r="I797" s="2">
        <v>0.52083333333333337</v>
      </c>
      <c r="J797">
        <v>-2</v>
      </c>
      <c r="K797">
        <v>9</v>
      </c>
      <c r="L797" t="s">
        <v>38</v>
      </c>
      <c r="M797">
        <v>0.9</v>
      </c>
      <c r="N797">
        <v>37</v>
      </c>
      <c r="O797">
        <v>24</v>
      </c>
      <c r="P797">
        <v>13.6</v>
      </c>
      <c r="Q797" t="s">
        <v>31</v>
      </c>
      <c r="R797">
        <v>0</v>
      </c>
      <c r="S797">
        <v>6</v>
      </c>
      <c r="T797">
        <v>0</v>
      </c>
      <c r="U797">
        <v>0</v>
      </c>
      <c r="V797">
        <v>0</v>
      </c>
      <c r="W797" t="s">
        <v>32</v>
      </c>
      <c r="X797">
        <v>1</v>
      </c>
      <c r="Y797" t="str">
        <f t="shared" si="12"/>
        <v>Low</v>
      </c>
    </row>
    <row r="798" spans="1:25">
      <c r="A798" t="s">
        <v>911</v>
      </c>
      <c r="B798" s="1">
        <v>44935</v>
      </c>
      <c r="C798" s="2">
        <v>0.5</v>
      </c>
      <c r="D798" t="s">
        <v>41</v>
      </c>
      <c r="E798" t="s">
        <v>93</v>
      </c>
      <c r="F798" t="s">
        <v>66</v>
      </c>
      <c r="G798" t="s">
        <v>148</v>
      </c>
      <c r="H798" s="2">
        <v>0.50069444444444444</v>
      </c>
      <c r="I798" s="2">
        <v>0.51736111111111116</v>
      </c>
      <c r="J798">
        <v>13</v>
      </c>
      <c r="K798">
        <v>18</v>
      </c>
      <c r="L798" t="s">
        <v>38</v>
      </c>
      <c r="M798">
        <v>13.2</v>
      </c>
      <c r="N798">
        <v>31</v>
      </c>
      <c r="O798">
        <v>17</v>
      </c>
      <c r="P798">
        <v>9.3000000000000007</v>
      </c>
      <c r="Q798" t="s">
        <v>59</v>
      </c>
      <c r="R798">
        <v>10000</v>
      </c>
      <c r="S798">
        <v>41</v>
      </c>
      <c r="T798">
        <v>0</v>
      </c>
      <c r="U798">
        <v>0</v>
      </c>
      <c r="V798">
        <v>0</v>
      </c>
      <c r="W798" t="s">
        <v>32</v>
      </c>
      <c r="X798">
        <v>1</v>
      </c>
      <c r="Y798" t="str">
        <f t="shared" si="12"/>
        <v>Medium</v>
      </c>
    </row>
    <row r="799" spans="1:25">
      <c r="A799" t="s">
        <v>912</v>
      </c>
      <c r="B799" s="1">
        <v>44935</v>
      </c>
      <c r="C799" s="2">
        <v>0.51041666666666663</v>
      </c>
      <c r="D799" t="s">
        <v>26</v>
      </c>
      <c r="E799" t="s">
        <v>27</v>
      </c>
      <c r="F799" t="s">
        <v>116</v>
      </c>
      <c r="G799" t="s">
        <v>50</v>
      </c>
      <c r="H799" s="2">
        <v>0.51111111111111107</v>
      </c>
      <c r="I799" s="2">
        <v>0.52986111111111112</v>
      </c>
      <c r="J799">
        <v>-1</v>
      </c>
      <c r="K799">
        <v>24</v>
      </c>
      <c r="L799" t="s">
        <v>84</v>
      </c>
      <c r="M799">
        <v>-3.5</v>
      </c>
      <c r="N799">
        <v>86</v>
      </c>
      <c r="O799">
        <v>43</v>
      </c>
      <c r="P799">
        <v>2.4</v>
      </c>
      <c r="Q799" t="s">
        <v>59</v>
      </c>
      <c r="R799">
        <v>50000</v>
      </c>
      <c r="S799">
        <v>29</v>
      </c>
      <c r="T799">
        <v>0</v>
      </c>
      <c r="U799">
        <v>0</v>
      </c>
      <c r="V799">
        <v>0</v>
      </c>
      <c r="W799" t="s">
        <v>39</v>
      </c>
      <c r="X799">
        <v>1</v>
      </c>
      <c r="Y799" t="str">
        <f t="shared" si="12"/>
        <v>Low</v>
      </c>
    </row>
    <row r="800" spans="1:25">
      <c r="A800" t="s">
        <v>913</v>
      </c>
      <c r="B800" s="1">
        <v>44935</v>
      </c>
      <c r="C800" s="2">
        <v>0.52083333333333337</v>
      </c>
      <c r="D800" t="s">
        <v>41</v>
      </c>
      <c r="E800" t="s">
        <v>42</v>
      </c>
      <c r="F800" t="s">
        <v>49</v>
      </c>
      <c r="G800" t="s">
        <v>128</v>
      </c>
      <c r="H800" s="2">
        <v>0.52222222222222225</v>
      </c>
      <c r="I800" s="2">
        <v>0.54583333333333328</v>
      </c>
      <c r="J800">
        <v>4</v>
      </c>
      <c r="K800">
        <v>26</v>
      </c>
      <c r="L800" t="s">
        <v>38</v>
      </c>
      <c r="M800">
        <v>-4.3</v>
      </c>
      <c r="N800">
        <v>81</v>
      </c>
      <c r="O800">
        <v>6</v>
      </c>
      <c r="P800">
        <v>1.2</v>
      </c>
      <c r="Q800" t="s">
        <v>31</v>
      </c>
      <c r="R800">
        <v>50000</v>
      </c>
      <c r="S800">
        <v>73</v>
      </c>
      <c r="T800">
        <v>0</v>
      </c>
      <c r="U800">
        <v>0</v>
      </c>
      <c r="V800">
        <v>0</v>
      </c>
      <c r="W800" t="s">
        <v>32</v>
      </c>
      <c r="X800">
        <v>1</v>
      </c>
      <c r="Y800" t="str">
        <f t="shared" si="12"/>
        <v>High</v>
      </c>
    </row>
    <row r="801" spans="1:25">
      <c r="A801" t="s">
        <v>914</v>
      </c>
      <c r="B801" s="1">
        <v>44935</v>
      </c>
      <c r="C801" s="2">
        <v>0.53125</v>
      </c>
      <c r="D801" t="s">
        <v>26</v>
      </c>
      <c r="E801" t="s">
        <v>98</v>
      </c>
      <c r="F801" t="s">
        <v>113</v>
      </c>
      <c r="G801" t="s">
        <v>100</v>
      </c>
      <c r="H801" s="2">
        <v>0.53333333333333333</v>
      </c>
      <c r="I801" s="2">
        <v>0.56597222222222221</v>
      </c>
      <c r="J801">
        <v>3</v>
      </c>
      <c r="K801">
        <v>-2</v>
      </c>
      <c r="L801" t="s">
        <v>30</v>
      </c>
      <c r="M801">
        <v>12.6</v>
      </c>
      <c r="N801">
        <v>87</v>
      </c>
      <c r="O801">
        <v>50</v>
      </c>
      <c r="P801">
        <v>19</v>
      </c>
      <c r="Q801" t="s">
        <v>31</v>
      </c>
      <c r="R801">
        <v>0</v>
      </c>
      <c r="S801">
        <v>78</v>
      </c>
      <c r="T801">
        <v>0</v>
      </c>
      <c r="U801">
        <v>0</v>
      </c>
      <c r="V801">
        <v>0</v>
      </c>
      <c r="W801" t="s">
        <v>55</v>
      </c>
      <c r="X801">
        <v>0</v>
      </c>
      <c r="Y801" t="str">
        <f t="shared" si="12"/>
        <v>High</v>
      </c>
    </row>
    <row r="802" spans="1:25">
      <c r="A802" t="s">
        <v>915</v>
      </c>
      <c r="B802" s="1">
        <v>44935</v>
      </c>
      <c r="C802" s="2">
        <v>0.54166666666666663</v>
      </c>
      <c r="D802" t="s">
        <v>41</v>
      </c>
      <c r="E802" t="s">
        <v>42</v>
      </c>
      <c r="F802" t="s">
        <v>105</v>
      </c>
      <c r="G802" t="s">
        <v>142</v>
      </c>
      <c r="H802" s="2">
        <v>0.54166666666666663</v>
      </c>
      <c r="I802" s="2">
        <v>0.56319444444444444</v>
      </c>
      <c r="J802">
        <v>2</v>
      </c>
      <c r="K802">
        <v>4</v>
      </c>
      <c r="L802" t="s">
        <v>30</v>
      </c>
      <c r="M802">
        <v>5.0999999999999996</v>
      </c>
      <c r="N802">
        <v>32</v>
      </c>
      <c r="O802">
        <v>53</v>
      </c>
      <c r="P802">
        <v>12.3</v>
      </c>
      <c r="Q802" t="s">
        <v>101</v>
      </c>
      <c r="R802">
        <v>50000</v>
      </c>
      <c r="S802">
        <v>5</v>
      </c>
      <c r="T802">
        <v>0</v>
      </c>
      <c r="U802">
        <v>1</v>
      </c>
      <c r="V802">
        <v>0</v>
      </c>
      <c r="W802" t="s">
        <v>55</v>
      </c>
      <c r="X802">
        <v>0</v>
      </c>
      <c r="Y802" t="str">
        <f t="shared" si="12"/>
        <v>Low</v>
      </c>
    </row>
    <row r="803" spans="1:25">
      <c r="A803" t="s">
        <v>916</v>
      </c>
      <c r="B803" s="1">
        <v>44935</v>
      </c>
      <c r="C803" s="2">
        <v>0.55208333333333337</v>
      </c>
      <c r="D803" t="s">
        <v>74</v>
      </c>
      <c r="E803" t="s">
        <v>35</v>
      </c>
      <c r="F803" t="s">
        <v>69</v>
      </c>
      <c r="G803" t="s">
        <v>105</v>
      </c>
      <c r="H803" s="2">
        <v>0.55347222222222225</v>
      </c>
      <c r="I803" s="2">
        <v>0.58125000000000004</v>
      </c>
      <c r="J803">
        <v>1</v>
      </c>
      <c r="K803">
        <v>5</v>
      </c>
      <c r="L803" t="s">
        <v>54</v>
      </c>
      <c r="M803">
        <v>22.3</v>
      </c>
      <c r="N803">
        <v>37</v>
      </c>
      <c r="O803">
        <v>2</v>
      </c>
      <c r="P803">
        <v>2.1</v>
      </c>
      <c r="Q803" t="s">
        <v>31</v>
      </c>
      <c r="R803">
        <v>0</v>
      </c>
      <c r="S803">
        <v>23</v>
      </c>
      <c r="T803">
        <v>0</v>
      </c>
      <c r="U803">
        <v>0</v>
      </c>
      <c r="V803">
        <v>0</v>
      </c>
      <c r="W803" t="s">
        <v>32</v>
      </c>
      <c r="X803">
        <v>0</v>
      </c>
      <c r="Y803" t="str">
        <f t="shared" si="12"/>
        <v>Low</v>
      </c>
    </row>
    <row r="804" spans="1:25">
      <c r="A804" t="s">
        <v>917</v>
      </c>
      <c r="B804" s="1">
        <v>44935</v>
      </c>
      <c r="C804" s="2">
        <v>0.5625</v>
      </c>
      <c r="D804" t="s">
        <v>41</v>
      </c>
      <c r="E804" t="s">
        <v>57</v>
      </c>
      <c r="F804" t="s">
        <v>100</v>
      </c>
      <c r="G804" t="s">
        <v>50</v>
      </c>
      <c r="H804" s="2">
        <v>0.56527777777777777</v>
      </c>
      <c r="I804" s="2">
        <v>0.57916666666666672</v>
      </c>
      <c r="J804">
        <v>-1</v>
      </c>
      <c r="K804">
        <v>-3</v>
      </c>
      <c r="L804" t="s">
        <v>30</v>
      </c>
      <c r="M804">
        <v>24</v>
      </c>
      <c r="N804">
        <v>88</v>
      </c>
      <c r="O804">
        <v>28</v>
      </c>
      <c r="P804">
        <v>17.100000000000001</v>
      </c>
      <c r="Q804" t="s">
        <v>31</v>
      </c>
      <c r="R804">
        <v>0</v>
      </c>
      <c r="S804">
        <v>65</v>
      </c>
      <c r="T804">
        <v>0</v>
      </c>
      <c r="U804">
        <v>0</v>
      </c>
      <c r="V804">
        <v>0</v>
      </c>
      <c r="W804" t="s">
        <v>39</v>
      </c>
      <c r="X804">
        <v>0</v>
      </c>
      <c r="Y804" t="str">
        <f t="shared" si="12"/>
        <v>Medium</v>
      </c>
    </row>
    <row r="805" spans="1:25">
      <c r="A805" t="s">
        <v>918</v>
      </c>
      <c r="B805" s="1">
        <v>44935</v>
      </c>
      <c r="C805" s="2">
        <v>0.57291666666666663</v>
      </c>
      <c r="D805" t="s">
        <v>41</v>
      </c>
      <c r="E805" t="s">
        <v>42</v>
      </c>
      <c r="F805" t="s">
        <v>90</v>
      </c>
      <c r="G805" t="s">
        <v>105</v>
      </c>
      <c r="H805" s="2">
        <v>0.57499999999999996</v>
      </c>
      <c r="I805" s="2">
        <v>0.61111111111111116</v>
      </c>
      <c r="J805">
        <v>7</v>
      </c>
      <c r="K805">
        <v>9</v>
      </c>
      <c r="L805" t="s">
        <v>30</v>
      </c>
      <c r="M805">
        <v>30.8</v>
      </c>
      <c r="N805">
        <v>31</v>
      </c>
      <c r="O805">
        <v>9</v>
      </c>
      <c r="P805">
        <v>10.5</v>
      </c>
      <c r="Q805" t="s">
        <v>31</v>
      </c>
      <c r="R805">
        <v>500</v>
      </c>
      <c r="S805">
        <v>39</v>
      </c>
      <c r="T805">
        <v>0</v>
      </c>
      <c r="U805">
        <v>0</v>
      </c>
      <c r="V805">
        <v>0</v>
      </c>
      <c r="W805" t="s">
        <v>72</v>
      </c>
      <c r="X805">
        <v>1</v>
      </c>
      <c r="Y805" t="str">
        <f t="shared" si="12"/>
        <v>Medium</v>
      </c>
    </row>
    <row r="806" spans="1:25">
      <c r="A806" t="s">
        <v>919</v>
      </c>
      <c r="B806" s="1">
        <v>44935</v>
      </c>
      <c r="C806" s="2">
        <v>0.58333333333333337</v>
      </c>
      <c r="D806" t="s">
        <v>74</v>
      </c>
      <c r="E806" t="s">
        <v>35</v>
      </c>
      <c r="F806" t="s">
        <v>44</v>
      </c>
      <c r="G806" t="s">
        <v>116</v>
      </c>
      <c r="H806" s="2">
        <v>0.58472222222222225</v>
      </c>
      <c r="I806" s="2">
        <v>0.62152777777777779</v>
      </c>
      <c r="J806">
        <v>19</v>
      </c>
      <c r="K806">
        <v>11</v>
      </c>
      <c r="L806" t="s">
        <v>30</v>
      </c>
      <c r="M806">
        <v>25.4</v>
      </c>
      <c r="N806">
        <v>91</v>
      </c>
      <c r="O806">
        <v>58</v>
      </c>
      <c r="P806">
        <v>15.4</v>
      </c>
      <c r="Q806" t="s">
        <v>31</v>
      </c>
      <c r="R806">
        <v>0</v>
      </c>
      <c r="S806">
        <v>14</v>
      </c>
      <c r="T806">
        <v>0</v>
      </c>
      <c r="U806">
        <v>0</v>
      </c>
      <c r="V806">
        <v>0</v>
      </c>
      <c r="W806" t="s">
        <v>72</v>
      </c>
      <c r="X806">
        <v>1</v>
      </c>
      <c r="Y806" t="str">
        <f t="shared" si="12"/>
        <v>Low</v>
      </c>
    </row>
    <row r="807" spans="1:25">
      <c r="A807" t="s">
        <v>920</v>
      </c>
      <c r="B807" s="1">
        <v>44935</v>
      </c>
      <c r="C807" s="2">
        <v>0.59375</v>
      </c>
      <c r="D807" t="s">
        <v>34</v>
      </c>
      <c r="E807" t="s">
        <v>52</v>
      </c>
      <c r="F807" t="s">
        <v>83</v>
      </c>
      <c r="G807" t="s">
        <v>37</v>
      </c>
      <c r="H807" s="2">
        <v>0.59375</v>
      </c>
      <c r="I807" s="2">
        <v>0.60902777777777772</v>
      </c>
      <c r="J807">
        <v>2</v>
      </c>
      <c r="K807">
        <v>28</v>
      </c>
      <c r="L807" t="s">
        <v>84</v>
      </c>
      <c r="M807">
        <v>-3.1</v>
      </c>
      <c r="N807">
        <v>78</v>
      </c>
      <c r="O807">
        <v>58</v>
      </c>
      <c r="P807">
        <v>2.5</v>
      </c>
      <c r="Q807" t="s">
        <v>31</v>
      </c>
      <c r="R807">
        <v>50000</v>
      </c>
      <c r="S807">
        <v>52</v>
      </c>
      <c r="T807">
        <v>0</v>
      </c>
      <c r="U807">
        <v>1</v>
      </c>
      <c r="V807">
        <v>0</v>
      </c>
      <c r="W807" t="s">
        <v>32</v>
      </c>
      <c r="X807">
        <v>1</v>
      </c>
      <c r="Y807" t="str">
        <f t="shared" si="12"/>
        <v>Medium</v>
      </c>
    </row>
    <row r="808" spans="1:25">
      <c r="A808" t="s">
        <v>921</v>
      </c>
      <c r="B808" s="1">
        <v>44935</v>
      </c>
      <c r="C808" s="2">
        <v>0.60416666666666663</v>
      </c>
      <c r="D808" t="s">
        <v>34</v>
      </c>
      <c r="E808" t="s">
        <v>126</v>
      </c>
      <c r="F808" t="s">
        <v>81</v>
      </c>
      <c r="G808" t="s">
        <v>151</v>
      </c>
      <c r="H808" s="2">
        <v>0.60486111111111107</v>
      </c>
      <c r="I808" s="2">
        <v>0.63402777777777775</v>
      </c>
      <c r="J808">
        <v>15</v>
      </c>
      <c r="K808">
        <v>27</v>
      </c>
      <c r="L808" t="s">
        <v>54</v>
      </c>
      <c r="M808">
        <v>9.9</v>
      </c>
      <c r="N808">
        <v>49</v>
      </c>
      <c r="O808">
        <v>42</v>
      </c>
      <c r="P808">
        <v>18.100000000000001</v>
      </c>
      <c r="Q808" t="s">
        <v>31</v>
      </c>
      <c r="R808">
        <v>0</v>
      </c>
      <c r="S808">
        <v>84</v>
      </c>
      <c r="T808">
        <v>0</v>
      </c>
      <c r="U808">
        <v>0</v>
      </c>
      <c r="V808">
        <v>0</v>
      </c>
      <c r="W808" t="s">
        <v>72</v>
      </c>
      <c r="X808">
        <v>1</v>
      </c>
      <c r="Y808" t="str">
        <f t="shared" si="12"/>
        <v>High</v>
      </c>
    </row>
    <row r="809" spans="1:25">
      <c r="A809" t="s">
        <v>922</v>
      </c>
      <c r="B809" s="1">
        <v>44935</v>
      </c>
      <c r="C809" s="2">
        <v>0.61458333333333337</v>
      </c>
      <c r="D809" t="s">
        <v>41</v>
      </c>
      <c r="E809" t="s">
        <v>130</v>
      </c>
      <c r="F809" t="s">
        <v>168</v>
      </c>
      <c r="G809" t="s">
        <v>66</v>
      </c>
      <c r="H809" s="2">
        <v>0.61736111111111114</v>
      </c>
      <c r="I809" s="2">
        <v>0.63958333333333328</v>
      </c>
      <c r="J809">
        <v>7</v>
      </c>
      <c r="K809">
        <v>10</v>
      </c>
      <c r="L809" t="s">
        <v>45</v>
      </c>
      <c r="M809">
        <v>5.9</v>
      </c>
      <c r="N809">
        <v>58</v>
      </c>
      <c r="O809">
        <v>4</v>
      </c>
      <c r="P809">
        <v>11.8</v>
      </c>
      <c r="Q809" t="s">
        <v>31</v>
      </c>
      <c r="R809">
        <v>0</v>
      </c>
      <c r="S809">
        <v>81</v>
      </c>
      <c r="T809">
        <v>0</v>
      </c>
      <c r="U809">
        <v>0</v>
      </c>
      <c r="V809">
        <v>0</v>
      </c>
      <c r="W809" t="s">
        <v>39</v>
      </c>
      <c r="X809">
        <v>1</v>
      </c>
      <c r="Y809" t="str">
        <f t="shared" si="12"/>
        <v>High</v>
      </c>
    </row>
    <row r="810" spans="1:25">
      <c r="A810" t="s">
        <v>923</v>
      </c>
      <c r="B810" s="1">
        <v>44935</v>
      </c>
      <c r="C810" s="2">
        <v>0.625</v>
      </c>
      <c r="D810" t="s">
        <v>74</v>
      </c>
      <c r="E810" t="s">
        <v>42</v>
      </c>
      <c r="F810" t="s">
        <v>58</v>
      </c>
      <c r="G810" t="s">
        <v>58</v>
      </c>
      <c r="H810" s="2">
        <v>0.625</v>
      </c>
      <c r="I810" s="2">
        <v>0.66527777777777775</v>
      </c>
      <c r="J810">
        <v>19</v>
      </c>
      <c r="K810">
        <v>10</v>
      </c>
      <c r="L810" t="s">
        <v>54</v>
      </c>
      <c r="M810">
        <v>10.4</v>
      </c>
      <c r="N810">
        <v>46</v>
      </c>
      <c r="O810">
        <v>33</v>
      </c>
      <c r="P810">
        <v>14.8</v>
      </c>
      <c r="Q810" t="s">
        <v>101</v>
      </c>
      <c r="R810">
        <v>0</v>
      </c>
      <c r="S810">
        <v>4</v>
      </c>
      <c r="T810">
        <v>0</v>
      </c>
      <c r="U810">
        <v>1</v>
      </c>
      <c r="V810">
        <v>0</v>
      </c>
      <c r="W810" t="s">
        <v>55</v>
      </c>
      <c r="X810">
        <v>1</v>
      </c>
      <c r="Y810" t="str">
        <f t="shared" si="12"/>
        <v>Low</v>
      </c>
    </row>
    <row r="811" spans="1:25">
      <c r="A811" t="s">
        <v>924</v>
      </c>
      <c r="B811" s="1">
        <v>44935</v>
      </c>
      <c r="C811" s="2">
        <v>0.63541666666666663</v>
      </c>
      <c r="D811" t="s">
        <v>41</v>
      </c>
      <c r="E811" t="s">
        <v>93</v>
      </c>
      <c r="F811" t="s">
        <v>185</v>
      </c>
      <c r="G811" t="s">
        <v>37</v>
      </c>
      <c r="H811" s="2">
        <v>0.63749999999999996</v>
      </c>
      <c r="I811" s="2">
        <v>0.66666666666666663</v>
      </c>
      <c r="J811">
        <v>12</v>
      </c>
      <c r="K811">
        <v>25</v>
      </c>
      <c r="L811" t="s">
        <v>54</v>
      </c>
      <c r="M811">
        <v>1.4</v>
      </c>
      <c r="N811">
        <v>51</v>
      </c>
      <c r="O811">
        <v>7</v>
      </c>
      <c r="P811">
        <v>0.6</v>
      </c>
      <c r="Q811" t="s">
        <v>31</v>
      </c>
      <c r="R811">
        <v>10000</v>
      </c>
      <c r="S811">
        <v>88</v>
      </c>
      <c r="T811">
        <v>1</v>
      </c>
      <c r="U811">
        <v>0</v>
      </c>
      <c r="V811">
        <v>0</v>
      </c>
      <c r="W811" t="s">
        <v>55</v>
      </c>
      <c r="X811">
        <v>1</v>
      </c>
      <c r="Y811" t="str">
        <f t="shared" si="12"/>
        <v>High</v>
      </c>
    </row>
    <row r="812" spans="1:25">
      <c r="A812" t="s">
        <v>925</v>
      </c>
      <c r="B812" s="1">
        <v>44935</v>
      </c>
      <c r="C812" s="2">
        <v>0.64583333333333337</v>
      </c>
      <c r="D812" t="s">
        <v>26</v>
      </c>
      <c r="E812" t="s">
        <v>48</v>
      </c>
      <c r="F812" t="s">
        <v>36</v>
      </c>
      <c r="G812" t="s">
        <v>81</v>
      </c>
      <c r="H812" s="2">
        <v>0.6479166666666667</v>
      </c>
      <c r="I812" s="2">
        <v>0.66180555555555554</v>
      </c>
      <c r="J812">
        <v>6</v>
      </c>
      <c r="K812">
        <v>15</v>
      </c>
      <c r="L812" t="s">
        <v>54</v>
      </c>
      <c r="M812">
        <v>-1.1000000000000001</v>
      </c>
      <c r="N812">
        <v>35</v>
      </c>
      <c r="O812">
        <v>13</v>
      </c>
      <c r="P812">
        <v>6.3</v>
      </c>
      <c r="Q812" t="s">
        <v>31</v>
      </c>
      <c r="R812">
        <v>0</v>
      </c>
      <c r="S812">
        <v>35</v>
      </c>
      <c r="T812">
        <v>0</v>
      </c>
      <c r="U812">
        <v>1</v>
      </c>
      <c r="V812">
        <v>0</v>
      </c>
      <c r="W812" t="s">
        <v>39</v>
      </c>
      <c r="X812">
        <v>1</v>
      </c>
      <c r="Y812" t="str">
        <f t="shared" si="12"/>
        <v>Medium</v>
      </c>
    </row>
    <row r="813" spans="1:25">
      <c r="A813" t="s">
        <v>926</v>
      </c>
      <c r="B813" s="1">
        <v>44935</v>
      </c>
      <c r="C813" s="2">
        <v>0.65625</v>
      </c>
      <c r="D813" t="s">
        <v>26</v>
      </c>
      <c r="E813" t="s">
        <v>52</v>
      </c>
      <c r="F813" t="s">
        <v>75</v>
      </c>
      <c r="G813" t="s">
        <v>105</v>
      </c>
      <c r="H813" s="2">
        <v>0.65694444444444444</v>
      </c>
      <c r="I813" s="2">
        <v>0.67777777777777781</v>
      </c>
      <c r="J813">
        <v>8</v>
      </c>
      <c r="K813">
        <v>23</v>
      </c>
      <c r="L813" t="s">
        <v>38</v>
      </c>
      <c r="M813">
        <v>15.8</v>
      </c>
      <c r="N813">
        <v>91</v>
      </c>
      <c r="O813">
        <v>39</v>
      </c>
      <c r="P813">
        <v>5.3</v>
      </c>
      <c r="Q813" t="s">
        <v>31</v>
      </c>
      <c r="R813">
        <v>2000</v>
      </c>
      <c r="S813">
        <v>73</v>
      </c>
      <c r="T813">
        <v>0</v>
      </c>
      <c r="U813">
        <v>0</v>
      </c>
      <c r="V813">
        <v>0</v>
      </c>
      <c r="W813" t="s">
        <v>72</v>
      </c>
      <c r="X813">
        <v>1</v>
      </c>
      <c r="Y813" t="str">
        <f t="shared" si="12"/>
        <v>High</v>
      </c>
    </row>
    <row r="814" spans="1:25">
      <c r="A814" t="s">
        <v>927</v>
      </c>
      <c r="B814" s="1">
        <v>44935</v>
      </c>
      <c r="C814" s="2">
        <v>0.66666666666666663</v>
      </c>
      <c r="D814" t="s">
        <v>41</v>
      </c>
      <c r="E814" t="s">
        <v>61</v>
      </c>
      <c r="F814" t="s">
        <v>151</v>
      </c>
      <c r="G814" t="s">
        <v>144</v>
      </c>
      <c r="H814" s="2">
        <v>0.66736111111111107</v>
      </c>
      <c r="I814" s="2">
        <v>0.68055555555555558</v>
      </c>
      <c r="J814">
        <v>18</v>
      </c>
      <c r="K814">
        <v>5</v>
      </c>
      <c r="L814" t="s">
        <v>45</v>
      </c>
      <c r="M814">
        <v>23.8</v>
      </c>
      <c r="N814">
        <v>60</v>
      </c>
      <c r="O814">
        <v>54</v>
      </c>
      <c r="P814">
        <v>19</v>
      </c>
      <c r="Q814" t="s">
        <v>31</v>
      </c>
      <c r="R814">
        <v>500</v>
      </c>
      <c r="S814">
        <v>45</v>
      </c>
      <c r="T814">
        <v>0</v>
      </c>
      <c r="U814">
        <v>0</v>
      </c>
      <c r="V814">
        <v>0</v>
      </c>
      <c r="W814" t="s">
        <v>32</v>
      </c>
      <c r="X814">
        <v>0</v>
      </c>
      <c r="Y814" t="str">
        <f t="shared" si="12"/>
        <v>Medium</v>
      </c>
    </row>
    <row r="815" spans="1:25">
      <c r="A815" t="s">
        <v>928</v>
      </c>
      <c r="B815" s="1">
        <v>44935</v>
      </c>
      <c r="C815" s="2">
        <v>0.67708333333333337</v>
      </c>
      <c r="D815" t="s">
        <v>34</v>
      </c>
      <c r="E815" t="s">
        <v>126</v>
      </c>
      <c r="F815" t="s">
        <v>37</v>
      </c>
      <c r="G815" t="s">
        <v>107</v>
      </c>
      <c r="H815" s="2">
        <v>0.67986111111111114</v>
      </c>
      <c r="I815" s="2">
        <v>0.70486111111111116</v>
      </c>
      <c r="J815">
        <v>14</v>
      </c>
      <c r="K815">
        <v>24</v>
      </c>
      <c r="L815" t="s">
        <v>38</v>
      </c>
      <c r="M815">
        <v>23.1</v>
      </c>
      <c r="N815">
        <v>91</v>
      </c>
      <c r="O815">
        <v>5</v>
      </c>
      <c r="P815">
        <v>3.7</v>
      </c>
      <c r="Q815" t="s">
        <v>63</v>
      </c>
      <c r="R815">
        <v>500</v>
      </c>
      <c r="S815">
        <v>22</v>
      </c>
      <c r="T815">
        <v>0</v>
      </c>
      <c r="U815">
        <v>0</v>
      </c>
      <c r="V815">
        <v>0</v>
      </c>
      <c r="W815" t="s">
        <v>55</v>
      </c>
      <c r="X815">
        <v>1</v>
      </c>
      <c r="Y815" t="str">
        <f t="shared" si="12"/>
        <v>Low</v>
      </c>
    </row>
    <row r="816" spans="1:25">
      <c r="A816" t="s">
        <v>929</v>
      </c>
      <c r="B816" s="1">
        <v>44935</v>
      </c>
      <c r="C816" s="2">
        <v>0.6875</v>
      </c>
      <c r="D816" t="s">
        <v>34</v>
      </c>
      <c r="E816" t="s">
        <v>52</v>
      </c>
      <c r="F816" t="s">
        <v>151</v>
      </c>
      <c r="G816" t="s">
        <v>176</v>
      </c>
      <c r="H816" s="2">
        <v>0.69027777777777777</v>
      </c>
      <c r="I816" s="2">
        <v>0.71388888888888891</v>
      </c>
      <c r="J816">
        <v>18</v>
      </c>
      <c r="K816">
        <v>20</v>
      </c>
      <c r="L816" t="s">
        <v>84</v>
      </c>
      <c r="M816">
        <v>13</v>
      </c>
      <c r="N816">
        <v>41</v>
      </c>
      <c r="O816">
        <v>0</v>
      </c>
      <c r="P816">
        <v>14.1</v>
      </c>
      <c r="Q816" t="s">
        <v>59</v>
      </c>
      <c r="R816">
        <v>0</v>
      </c>
      <c r="S816">
        <v>87</v>
      </c>
      <c r="T816">
        <v>1</v>
      </c>
      <c r="U816">
        <v>0</v>
      </c>
      <c r="V816">
        <v>0</v>
      </c>
      <c r="W816" t="s">
        <v>72</v>
      </c>
      <c r="X816">
        <v>1</v>
      </c>
      <c r="Y816" t="str">
        <f t="shared" si="12"/>
        <v>High</v>
      </c>
    </row>
    <row r="817" spans="1:25">
      <c r="A817" t="s">
        <v>930</v>
      </c>
      <c r="B817" s="1">
        <v>44935</v>
      </c>
      <c r="C817" s="2">
        <v>0.69791666666666663</v>
      </c>
      <c r="D817" t="s">
        <v>41</v>
      </c>
      <c r="E817" t="s">
        <v>35</v>
      </c>
      <c r="F817" t="s">
        <v>144</v>
      </c>
      <c r="G817" t="s">
        <v>118</v>
      </c>
      <c r="H817" s="2">
        <v>0.69861111111111107</v>
      </c>
      <c r="I817" s="2">
        <v>0.72569444444444442</v>
      </c>
      <c r="J817">
        <v>6</v>
      </c>
      <c r="K817">
        <v>24</v>
      </c>
      <c r="L817" t="s">
        <v>84</v>
      </c>
      <c r="M817">
        <v>15.9</v>
      </c>
      <c r="N817">
        <v>41</v>
      </c>
      <c r="O817">
        <v>55</v>
      </c>
      <c r="P817">
        <v>0.9</v>
      </c>
      <c r="Q817" t="s">
        <v>31</v>
      </c>
      <c r="R817">
        <v>0</v>
      </c>
      <c r="S817">
        <v>44</v>
      </c>
      <c r="T817">
        <v>0</v>
      </c>
      <c r="U817">
        <v>1</v>
      </c>
      <c r="V817">
        <v>0</v>
      </c>
      <c r="W817" t="s">
        <v>72</v>
      </c>
      <c r="X817">
        <v>1</v>
      </c>
      <c r="Y817" t="str">
        <f t="shared" si="12"/>
        <v>Medium</v>
      </c>
    </row>
    <row r="818" spans="1:25">
      <c r="A818" t="s">
        <v>931</v>
      </c>
      <c r="B818" s="1">
        <v>44935</v>
      </c>
      <c r="C818" s="2">
        <v>0.70833333333333337</v>
      </c>
      <c r="D818" t="s">
        <v>41</v>
      </c>
      <c r="E818" t="s">
        <v>161</v>
      </c>
      <c r="F818" t="s">
        <v>176</v>
      </c>
      <c r="G818" t="s">
        <v>87</v>
      </c>
      <c r="H818" s="2">
        <v>0.70902777777777781</v>
      </c>
      <c r="I818" s="2">
        <v>0.73402777777777772</v>
      </c>
      <c r="J818">
        <v>13</v>
      </c>
      <c r="K818">
        <v>14</v>
      </c>
      <c r="L818" t="s">
        <v>77</v>
      </c>
      <c r="M818">
        <v>15.7</v>
      </c>
      <c r="N818">
        <v>92</v>
      </c>
      <c r="O818">
        <v>32</v>
      </c>
      <c r="P818">
        <v>4</v>
      </c>
      <c r="Q818" t="s">
        <v>31</v>
      </c>
      <c r="R818">
        <v>500</v>
      </c>
      <c r="S818">
        <v>9</v>
      </c>
      <c r="T818">
        <v>0</v>
      </c>
      <c r="U818">
        <v>0</v>
      </c>
      <c r="V818">
        <v>0</v>
      </c>
      <c r="W818" t="s">
        <v>55</v>
      </c>
      <c r="X818">
        <v>1</v>
      </c>
      <c r="Y818" t="str">
        <f t="shared" si="12"/>
        <v>Low</v>
      </c>
    </row>
    <row r="819" spans="1:25">
      <c r="A819" t="s">
        <v>932</v>
      </c>
      <c r="B819" s="1">
        <v>44935</v>
      </c>
      <c r="C819" s="2">
        <v>0.71875</v>
      </c>
      <c r="D819" t="s">
        <v>26</v>
      </c>
      <c r="E819" t="s">
        <v>126</v>
      </c>
      <c r="F819" t="s">
        <v>95</v>
      </c>
      <c r="G819" t="s">
        <v>91</v>
      </c>
      <c r="H819" s="2">
        <v>0.72083333333333333</v>
      </c>
      <c r="I819" s="2">
        <v>0.73402777777777772</v>
      </c>
      <c r="J819">
        <v>3</v>
      </c>
      <c r="K819">
        <v>21</v>
      </c>
      <c r="L819" t="s">
        <v>77</v>
      </c>
      <c r="M819">
        <v>22.7</v>
      </c>
      <c r="N819">
        <v>45</v>
      </c>
      <c r="O819">
        <v>39</v>
      </c>
      <c r="P819">
        <v>6.8</v>
      </c>
      <c r="Q819" t="s">
        <v>71</v>
      </c>
      <c r="R819">
        <v>50000</v>
      </c>
      <c r="S819">
        <v>53</v>
      </c>
      <c r="T819">
        <v>1</v>
      </c>
      <c r="U819">
        <v>0</v>
      </c>
      <c r="V819">
        <v>0</v>
      </c>
      <c r="W819" t="s">
        <v>55</v>
      </c>
      <c r="X819">
        <v>1</v>
      </c>
      <c r="Y819" t="str">
        <f t="shared" si="12"/>
        <v>Medium</v>
      </c>
    </row>
    <row r="820" spans="1:25">
      <c r="A820" t="s">
        <v>933</v>
      </c>
      <c r="B820" s="1">
        <v>44935</v>
      </c>
      <c r="C820" s="2">
        <v>0.72916666666666663</v>
      </c>
      <c r="D820" t="s">
        <v>34</v>
      </c>
      <c r="E820" t="s">
        <v>68</v>
      </c>
      <c r="F820" t="s">
        <v>100</v>
      </c>
      <c r="G820" t="s">
        <v>49</v>
      </c>
      <c r="H820" s="2">
        <v>0.72986111111111107</v>
      </c>
      <c r="I820" s="2">
        <v>0.76458333333333328</v>
      </c>
      <c r="J820">
        <v>19</v>
      </c>
      <c r="K820">
        <v>0</v>
      </c>
      <c r="L820" t="s">
        <v>84</v>
      </c>
      <c r="M820">
        <v>-3.1</v>
      </c>
      <c r="N820">
        <v>54</v>
      </c>
      <c r="O820">
        <v>10</v>
      </c>
      <c r="P820">
        <v>15.9</v>
      </c>
      <c r="Q820" t="s">
        <v>31</v>
      </c>
      <c r="R820">
        <v>10000</v>
      </c>
      <c r="S820">
        <v>69</v>
      </c>
      <c r="T820">
        <v>0</v>
      </c>
      <c r="U820">
        <v>0</v>
      </c>
      <c r="V820">
        <v>0</v>
      </c>
      <c r="W820" t="s">
        <v>32</v>
      </c>
      <c r="X820">
        <v>0</v>
      </c>
      <c r="Y820" t="str">
        <f t="shared" si="12"/>
        <v>High</v>
      </c>
    </row>
    <row r="821" spans="1:25">
      <c r="A821" t="s">
        <v>934</v>
      </c>
      <c r="B821" s="1">
        <v>44935</v>
      </c>
      <c r="C821" s="2">
        <v>0.73958333333333337</v>
      </c>
      <c r="D821" t="s">
        <v>41</v>
      </c>
      <c r="E821" t="s">
        <v>79</v>
      </c>
      <c r="F821" t="s">
        <v>87</v>
      </c>
      <c r="G821" t="s">
        <v>86</v>
      </c>
      <c r="H821" s="2">
        <v>0.74097222222222225</v>
      </c>
      <c r="I821" s="2">
        <v>0.75972222222222219</v>
      </c>
      <c r="J821">
        <v>8</v>
      </c>
      <c r="K821">
        <v>10</v>
      </c>
      <c r="L821" t="s">
        <v>84</v>
      </c>
      <c r="M821">
        <v>23.4</v>
      </c>
      <c r="N821">
        <v>51</v>
      </c>
      <c r="O821">
        <v>49</v>
      </c>
      <c r="P821">
        <v>15.8</v>
      </c>
      <c r="Q821" t="s">
        <v>31</v>
      </c>
      <c r="R821">
        <v>0</v>
      </c>
      <c r="S821">
        <v>76</v>
      </c>
      <c r="T821">
        <v>0</v>
      </c>
      <c r="U821">
        <v>0</v>
      </c>
      <c r="V821">
        <v>0</v>
      </c>
      <c r="W821" t="s">
        <v>39</v>
      </c>
      <c r="X821">
        <v>1</v>
      </c>
      <c r="Y821" t="str">
        <f t="shared" si="12"/>
        <v>High</v>
      </c>
    </row>
    <row r="822" spans="1:25">
      <c r="A822" t="s">
        <v>935</v>
      </c>
      <c r="B822" s="1">
        <v>44935</v>
      </c>
      <c r="C822" s="2">
        <v>0.75</v>
      </c>
      <c r="D822" t="s">
        <v>26</v>
      </c>
      <c r="E822" t="s">
        <v>52</v>
      </c>
      <c r="F822" t="s">
        <v>118</v>
      </c>
      <c r="G822" t="s">
        <v>29</v>
      </c>
      <c r="H822" s="2">
        <v>0.75</v>
      </c>
      <c r="I822" s="2">
        <v>0.79097222222222219</v>
      </c>
      <c r="J822">
        <v>14</v>
      </c>
      <c r="K822">
        <v>22</v>
      </c>
      <c r="L822" t="s">
        <v>38</v>
      </c>
      <c r="M822">
        <v>18.3</v>
      </c>
      <c r="N822">
        <v>47</v>
      </c>
      <c r="O822">
        <v>23</v>
      </c>
      <c r="P822">
        <v>19.100000000000001</v>
      </c>
      <c r="Q822" t="s">
        <v>31</v>
      </c>
      <c r="R822">
        <v>0</v>
      </c>
      <c r="S822">
        <v>84</v>
      </c>
      <c r="T822">
        <v>0</v>
      </c>
      <c r="U822">
        <v>1</v>
      </c>
      <c r="V822">
        <v>0</v>
      </c>
      <c r="W822" t="s">
        <v>72</v>
      </c>
      <c r="X822">
        <v>1</v>
      </c>
      <c r="Y822" t="str">
        <f t="shared" si="12"/>
        <v>High</v>
      </c>
    </row>
    <row r="823" spans="1:25">
      <c r="A823" t="s">
        <v>936</v>
      </c>
      <c r="B823" s="1">
        <v>44935</v>
      </c>
      <c r="C823" s="2">
        <v>0.76041666666666663</v>
      </c>
      <c r="D823" t="s">
        <v>34</v>
      </c>
      <c r="E823" t="s">
        <v>104</v>
      </c>
      <c r="F823" t="s">
        <v>58</v>
      </c>
      <c r="G823" t="s">
        <v>203</v>
      </c>
      <c r="H823" s="2">
        <v>0.76111111111111107</v>
      </c>
      <c r="I823" s="2">
        <v>0.78402777777777777</v>
      </c>
      <c r="J823">
        <v>1</v>
      </c>
      <c r="K823">
        <v>4</v>
      </c>
      <c r="L823" t="s">
        <v>84</v>
      </c>
      <c r="M823">
        <v>2.9</v>
      </c>
      <c r="N823">
        <v>74</v>
      </c>
      <c r="O823">
        <v>9</v>
      </c>
      <c r="P823">
        <v>18.3</v>
      </c>
      <c r="Q823" t="s">
        <v>63</v>
      </c>
      <c r="R823">
        <v>0</v>
      </c>
      <c r="S823">
        <v>31</v>
      </c>
      <c r="T823">
        <v>0</v>
      </c>
      <c r="U823">
        <v>0</v>
      </c>
      <c r="V823">
        <v>0</v>
      </c>
      <c r="W823" t="s">
        <v>32</v>
      </c>
      <c r="X823">
        <v>0</v>
      </c>
      <c r="Y823" t="str">
        <f t="shared" si="12"/>
        <v>Low</v>
      </c>
    </row>
    <row r="824" spans="1:25">
      <c r="A824" t="s">
        <v>937</v>
      </c>
      <c r="B824" s="1">
        <v>44935</v>
      </c>
      <c r="C824" s="2">
        <v>0.77083333333333337</v>
      </c>
      <c r="D824" t="s">
        <v>74</v>
      </c>
      <c r="E824" t="s">
        <v>161</v>
      </c>
      <c r="F824" t="s">
        <v>96</v>
      </c>
      <c r="G824" t="s">
        <v>80</v>
      </c>
      <c r="H824" s="2">
        <v>0.77361111111111114</v>
      </c>
      <c r="I824" s="2">
        <v>0.78749999999999998</v>
      </c>
      <c r="J824">
        <v>12</v>
      </c>
      <c r="K824">
        <v>20</v>
      </c>
      <c r="L824" t="s">
        <v>45</v>
      </c>
      <c r="M824">
        <v>-3</v>
      </c>
      <c r="N824">
        <v>97</v>
      </c>
      <c r="O824">
        <v>43</v>
      </c>
      <c r="P824">
        <v>1.6</v>
      </c>
      <c r="Q824" t="s">
        <v>31</v>
      </c>
      <c r="R824">
        <v>2000</v>
      </c>
      <c r="S824">
        <v>42</v>
      </c>
      <c r="T824">
        <v>1</v>
      </c>
      <c r="U824">
        <v>1</v>
      </c>
      <c r="V824">
        <v>0</v>
      </c>
      <c r="W824" t="s">
        <v>55</v>
      </c>
      <c r="X824">
        <v>1</v>
      </c>
      <c r="Y824" t="str">
        <f t="shared" si="12"/>
        <v>Medium</v>
      </c>
    </row>
    <row r="825" spans="1:25">
      <c r="A825" t="s">
        <v>938</v>
      </c>
      <c r="B825" s="1">
        <v>44935</v>
      </c>
      <c r="C825" s="2">
        <v>0.78125</v>
      </c>
      <c r="D825" t="s">
        <v>26</v>
      </c>
      <c r="E825" t="s">
        <v>42</v>
      </c>
      <c r="F825" t="s">
        <v>83</v>
      </c>
      <c r="G825" t="s">
        <v>87</v>
      </c>
      <c r="H825" s="2">
        <v>0.78263888888888888</v>
      </c>
      <c r="I825" s="2">
        <v>0.79722222222222228</v>
      </c>
      <c r="J825">
        <v>-2</v>
      </c>
      <c r="K825">
        <v>12</v>
      </c>
      <c r="L825" t="s">
        <v>38</v>
      </c>
      <c r="M825">
        <v>-0.7</v>
      </c>
      <c r="N825">
        <v>41</v>
      </c>
      <c r="O825">
        <v>51</v>
      </c>
      <c r="P825">
        <v>16.600000000000001</v>
      </c>
      <c r="Q825" t="s">
        <v>31</v>
      </c>
      <c r="R825">
        <v>0</v>
      </c>
      <c r="S825">
        <v>14</v>
      </c>
      <c r="T825">
        <v>0</v>
      </c>
      <c r="U825">
        <v>1</v>
      </c>
      <c r="V825">
        <v>0</v>
      </c>
      <c r="W825" t="s">
        <v>39</v>
      </c>
      <c r="X825">
        <v>1</v>
      </c>
      <c r="Y825" t="str">
        <f t="shared" si="12"/>
        <v>Low</v>
      </c>
    </row>
    <row r="826" spans="1:25">
      <c r="A826" t="s">
        <v>939</v>
      </c>
      <c r="B826" s="1">
        <v>44935</v>
      </c>
      <c r="C826" s="2">
        <v>0.79166666666666663</v>
      </c>
      <c r="D826" t="s">
        <v>34</v>
      </c>
      <c r="E826" t="s">
        <v>35</v>
      </c>
      <c r="F826" t="s">
        <v>91</v>
      </c>
      <c r="G826" t="s">
        <v>185</v>
      </c>
      <c r="H826" s="2">
        <v>0.7944444444444444</v>
      </c>
      <c r="I826" s="2">
        <v>0.82430555555555551</v>
      </c>
      <c r="J826">
        <v>19</v>
      </c>
      <c r="K826">
        <v>16</v>
      </c>
      <c r="L826" t="s">
        <v>84</v>
      </c>
      <c r="M826">
        <v>16</v>
      </c>
      <c r="N826">
        <v>78</v>
      </c>
      <c r="O826">
        <v>22</v>
      </c>
      <c r="P826">
        <v>9</v>
      </c>
      <c r="Q826" t="s">
        <v>31</v>
      </c>
      <c r="R826">
        <v>2000</v>
      </c>
      <c r="S826">
        <v>65</v>
      </c>
      <c r="T826">
        <v>0</v>
      </c>
      <c r="U826">
        <v>0</v>
      </c>
      <c r="V826">
        <v>0</v>
      </c>
      <c r="W826" t="s">
        <v>39</v>
      </c>
      <c r="X826">
        <v>1</v>
      </c>
      <c r="Y826" t="str">
        <f t="shared" si="12"/>
        <v>Medium</v>
      </c>
    </row>
    <row r="827" spans="1:25">
      <c r="A827" t="s">
        <v>940</v>
      </c>
      <c r="B827" s="1">
        <v>44935</v>
      </c>
      <c r="C827" s="2">
        <v>0.80208333333333337</v>
      </c>
      <c r="D827" t="s">
        <v>34</v>
      </c>
      <c r="E827" t="s">
        <v>68</v>
      </c>
      <c r="F827" t="s">
        <v>144</v>
      </c>
      <c r="G827" t="s">
        <v>163</v>
      </c>
      <c r="H827" s="2">
        <v>0.80347222222222225</v>
      </c>
      <c r="I827" s="2">
        <v>0.81805555555555554</v>
      </c>
      <c r="J827">
        <v>17</v>
      </c>
      <c r="K827">
        <v>11</v>
      </c>
      <c r="L827" t="s">
        <v>38</v>
      </c>
      <c r="M827">
        <v>25.3</v>
      </c>
      <c r="N827">
        <v>62</v>
      </c>
      <c r="O827">
        <v>15</v>
      </c>
      <c r="P827">
        <v>17.3</v>
      </c>
      <c r="Q827" t="s">
        <v>31</v>
      </c>
      <c r="R827">
        <v>50000</v>
      </c>
      <c r="S827">
        <v>14</v>
      </c>
      <c r="T827">
        <v>1</v>
      </c>
      <c r="U827">
        <v>1</v>
      </c>
      <c r="V827">
        <v>0</v>
      </c>
      <c r="W827" t="s">
        <v>72</v>
      </c>
      <c r="X827">
        <v>1</v>
      </c>
      <c r="Y827" t="str">
        <f t="shared" si="12"/>
        <v>Low</v>
      </c>
    </row>
    <row r="828" spans="1:25">
      <c r="A828" t="s">
        <v>941</v>
      </c>
      <c r="B828" s="1">
        <v>44935</v>
      </c>
      <c r="C828" s="2">
        <v>0.8125</v>
      </c>
      <c r="D828" t="s">
        <v>26</v>
      </c>
      <c r="E828" t="s">
        <v>126</v>
      </c>
      <c r="F828" t="s">
        <v>96</v>
      </c>
      <c r="G828" t="s">
        <v>168</v>
      </c>
      <c r="H828" s="2">
        <v>0.81319444444444444</v>
      </c>
      <c r="I828" s="2">
        <v>0.83611111111111114</v>
      </c>
      <c r="J828">
        <v>-2</v>
      </c>
      <c r="K828">
        <v>3</v>
      </c>
      <c r="L828" t="s">
        <v>38</v>
      </c>
      <c r="M828">
        <v>8.4</v>
      </c>
      <c r="N828">
        <v>92</v>
      </c>
      <c r="O828">
        <v>36</v>
      </c>
      <c r="P828">
        <v>1.8</v>
      </c>
      <c r="Q828" t="s">
        <v>31</v>
      </c>
      <c r="R828">
        <v>0</v>
      </c>
      <c r="S828">
        <v>80</v>
      </c>
      <c r="T828">
        <v>0</v>
      </c>
      <c r="U828">
        <v>0</v>
      </c>
      <c r="V828">
        <v>0</v>
      </c>
      <c r="W828" t="s">
        <v>39</v>
      </c>
      <c r="X828">
        <v>0</v>
      </c>
      <c r="Y828" t="str">
        <f t="shared" si="12"/>
        <v>High</v>
      </c>
    </row>
    <row r="829" spans="1:25">
      <c r="A829" t="s">
        <v>942</v>
      </c>
      <c r="B829" s="1">
        <v>44935</v>
      </c>
      <c r="C829" s="2">
        <v>0.82291666666666663</v>
      </c>
      <c r="D829" t="s">
        <v>74</v>
      </c>
      <c r="E829" t="s">
        <v>141</v>
      </c>
      <c r="F829" t="s">
        <v>203</v>
      </c>
      <c r="G829" t="s">
        <v>128</v>
      </c>
      <c r="H829" s="2">
        <v>0.82291666666666663</v>
      </c>
      <c r="I829" s="2">
        <v>0.84791666666666665</v>
      </c>
      <c r="J829">
        <v>6</v>
      </c>
      <c r="K829">
        <v>13</v>
      </c>
      <c r="L829" t="s">
        <v>30</v>
      </c>
      <c r="M829">
        <v>10.199999999999999</v>
      </c>
      <c r="N829">
        <v>47</v>
      </c>
      <c r="O829">
        <v>15</v>
      </c>
      <c r="P829">
        <v>16.5</v>
      </c>
      <c r="Q829" t="s">
        <v>31</v>
      </c>
      <c r="R829">
        <v>0</v>
      </c>
      <c r="S829">
        <v>19</v>
      </c>
      <c r="T829">
        <v>0</v>
      </c>
      <c r="U829">
        <v>0</v>
      </c>
      <c r="V829">
        <v>0</v>
      </c>
      <c r="W829" t="s">
        <v>55</v>
      </c>
      <c r="X829">
        <v>1</v>
      </c>
      <c r="Y829" t="str">
        <f t="shared" si="12"/>
        <v>Low</v>
      </c>
    </row>
    <row r="830" spans="1:25">
      <c r="A830" t="s">
        <v>943</v>
      </c>
      <c r="B830" s="1">
        <v>44935</v>
      </c>
      <c r="C830" s="2">
        <v>0.83333333333333337</v>
      </c>
      <c r="D830" t="s">
        <v>26</v>
      </c>
      <c r="E830" t="s">
        <v>111</v>
      </c>
      <c r="F830" t="s">
        <v>50</v>
      </c>
      <c r="G830" t="s">
        <v>95</v>
      </c>
      <c r="H830" s="2">
        <v>0.83611111111111114</v>
      </c>
      <c r="I830" s="2">
        <v>0.84861111111111109</v>
      </c>
      <c r="J830">
        <v>9</v>
      </c>
      <c r="K830">
        <v>18</v>
      </c>
      <c r="L830" t="s">
        <v>77</v>
      </c>
      <c r="M830">
        <v>32.4</v>
      </c>
      <c r="N830">
        <v>83</v>
      </c>
      <c r="O830">
        <v>55</v>
      </c>
      <c r="P830">
        <v>3.2</v>
      </c>
      <c r="Q830" t="s">
        <v>101</v>
      </c>
      <c r="R830">
        <v>50000</v>
      </c>
      <c r="S830">
        <v>49</v>
      </c>
      <c r="T830">
        <v>0</v>
      </c>
      <c r="U830">
        <v>0</v>
      </c>
      <c r="V830">
        <v>0</v>
      </c>
      <c r="W830" t="s">
        <v>55</v>
      </c>
      <c r="X830">
        <v>1</v>
      </c>
      <c r="Y830" t="str">
        <f t="shared" si="12"/>
        <v>Medium</v>
      </c>
    </row>
    <row r="831" spans="1:25">
      <c r="A831" t="s">
        <v>944</v>
      </c>
      <c r="B831" s="1">
        <v>44935</v>
      </c>
      <c r="C831" s="2">
        <v>0.84375</v>
      </c>
      <c r="D831" t="s">
        <v>34</v>
      </c>
      <c r="E831" t="s">
        <v>157</v>
      </c>
      <c r="F831" t="s">
        <v>163</v>
      </c>
      <c r="G831" t="s">
        <v>148</v>
      </c>
      <c r="H831" s="2">
        <v>0.84513888888888888</v>
      </c>
      <c r="I831" s="2">
        <v>0.86388888888888893</v>
      </c>
      <c r="J831">
        <v>1</v>
      </c>
      <c r="K831">
        <v>18</v>
      </c>
      <c r="L831" t="s">
        <v>38</v>
      </c>
      <c r="M831">
        <v>3.5</v>
      </c>
      <c r="N831">
        <v>56</v>
      </c>
      <c r="O831">
        <v>43</v>
      </c>
      <c r="P831">
        <v>6.7</v>
      </c>
      <c r="Q831" t="s">
        <v>31</v>
      </c>
      <c r="R831">
        <v>0</v>
      </c>
      <c r="S831">
        <v>5</v>
      </c>
      <c r="T831">
        <v>0</v>
      </c>
      <c r="U831">
        <v>0</v>
      </c>
      <c r="V831">
        <v>0</v>
      </c>
      <c r="W831" t="s">
        <v>55</v>
      </c>
      <c r="X831">
        <v>1</v>
      </c>
      <c r="Y831" t="str">
        <f t="shared" si="12"/>
        <v>Low</v>
      </c>
    </row>
    <row r="832" spans="1:25">
      <c r="A832" t="s">
        <v>945</v>
      </c>
      <c r="B832" s="1">
        <v>44935</v>
      </c>
      <c r="C832" s="2">
        <v>0.85416666666666663</v>
      </c>
      <c r="D832" t="s">
        <v>41</v>
      </c>
      <c r="E832" t="s">
        <v>161</v>
      </c>
      <c r="F832" t="s">
        <v>87</v>
      </c>
      <c r="G832" t="s">
        <v>81</v>
      </c>
      <c r="H832" s="2">
        <v>0.85624999999999996</v>
      </c>
      <c r="I832" s="2">
        <v>0.8833333333333333</v>
      </c>
      <c r="J832">
        <v>19</v>
      </c>
      <c r="K832">
        <v>8</v>
      </c>
      <c r="L832" t="s">
        <v>54</v>
      </c>
      <c r="M832">
        <v>-0.9</v>
      </c>
      <c r="N832">
        <v>54</v>
      </c>
      <c r="O832">
        <v>30</v>
      </c>
      <c r="P832">
        <v>0.6</v>
      </c>
      <c r="Q832" t="s">
        <v>31</v>
      </c>
      <c r="R832">
        <v>0</v>
      </c>
      <c r="S832">
        <v>78</v>
      </c>
      <c r="T832">
        <v>1</v>
      </c>
      <c r="U832">
        <v>1</v>
      </c>
      <c r="V832">
        <v>0</v>
      </c>
      <c r="W832" t="s">
        <v>32</v>
      </c>
      <c r="X832">
        <v>1</v>
      </c>
      <c r="Y832" t="str">
        <f t="shared" si="12"/>
        <v>High</v>
      </c>
    </row>
    <row r="833" spans="1:25">
      <c r="A833" t="s">
        <v>946</v>
      </c>
      <c r="B833" s="1">
        <v>44935</v>
      </c>
      <c r="C833" s="2">
        <v>0.86458333333333337</v>
      </c>
      <c r="D833" t="s">
        <v>41</v>
      </c>
      <c r="E833" t="s">
        <v>79</v>
      </c>
      <c r="F833" t="s">
        <v>76</v>
      </c>
      <c r="G833" t="s">
        <v>50</v>
      </c>
      <c r="H833" s="2">
        <v>0.86527777777777781</v>
      </c>
      <c r="I833" s="2">
        <v>0.89027777777777772</v>
      </c>
      <c r="J833">
        <v>10</v>
      </c>
      <c r="K833">
        <v>14</v>
      </c>
      <c r="L833" t="s">
        <v>38</v>
      </c>
      <c r="M833">
        <v>8.6999999999999993</v>
      </c>
      <c r="N833">
        <v>63</v>
      </c>
      <c r="O833">
        <v>5</v>
      </c>
      <c r="P833">
        <v>2.5</v>
      </c>
      <c r="Q833" t="s">
        <v>31</v>
      </c>
      <c r="R833">
        <v>0</v>
      </c>
      <c r="S833">
        <v>16</v>
      </c>
      <c r="T833">
        <v>0</v>
      </c>
      <c r="U833">
        <v>0</v>
      </c>
      <c r="V833">
        <v>0</v>
      </c>
      <c r="W833" t="s">
        <v>55</v>
      </c>
      <c r="X833">
        <v>1</v>
      </c>
      <c r="Y833" t="str">
        <f t="shared" si="12"/>
        <v>Low</v>
      </c>
    </row>
    <row r="834" spans="1:25">
      <c r="A834" t="s">
        <v>947</v>
      </c>
      <c r="B834" s="1">
        <v>44935</v>
      </c>
      <c r="C834" s="2">
        <v>0.875</v>
      </c>
      <c r="D834" t="s">
        <v>26</v>
      </c>
      <c r="E834" t="s">
        <v>93</v>
      </c>
      <c r="F834" t="s">
        <v>50</v>
      </c>
      <c r="G834" t="s">
        <v>151</v>
      </c>
      <c r="H834" s="2">
        <v>0.875</v>
      </c>
      <c r="I834" s="2">
        <v>0.88888888888888884</v>
      </c>
      <c r="J834">
        <v>4</v>
      </c>
      <c r="K834">
        <v>11</v>
      </c>
      <c r="L834" t="s">
        <v>54</v>
      </c>
      <c r="M834">
        <v>24.8</v>
      </c>
      <c r="N834">
        <v>89</v>
      </c>
      <c r="O834">
        <v>29</v>
      </c>
      <c r="P834">
        <v>8.9</v>
      </c>
      <c r="Q834" t="s">
        <v>46</v>
      </c>
      <c r="R834">
        <v>0</v>
      </c>
      <c r="S834">
        <v>25</v>
      </c>
      <c r="T834">
        <v>0</v>
      </c>
      <c r="U834">
        <v>0</v>
      </c>
      <c r="V834">
        <v>0</v>
      </c>
      <c r="W834" t="s">
        <v>32</v>
      </c>
      <c r="X834">
        <v>1</v>
      </c>
      <c r="Y834" t="str">
        <f t="shared" ref="Y834:Y897" si="13">IF(S834&lt;=33,"Low",IF(S834&lt;=66,"Medium","High"))</f>
        <v>Low</v>
      </c>
    </row>
    <row r="835" spans="1:25">
      <c r="A835" t="s">
        <v>948</v>
      </c>
      <c r="B835" s="1">
        <v>44935</v>
      </c>
      <c r="C835" s="2">
        <v>0.88541666666666663</v>
      </c>
      <c r="D835" t="s">
        <v>34</v>
      </c>
      <c r="E835" t="s">
        <v>141</v>
      </c>
      <c r="F835" t="s">
        <v>65</v>
      </c>
      <c r="G835" t="s">
        <v>50</v>
      </c>
      <c r="H835" s="2">
        <v>0.88611111111111107</v>
      </c>
      <c r="I835" s="2">
        <v>0.92291666666666672</v>
      </c>
      <c r="J835">
        <v>5</v>
      </c>
      <c r="K835">
        <v>12</v>
      </c>
      <c r="L835" t="s">
        <v>30</v>
      </c>
      <c r="M835">
        <v>20</v>
      </c>
      <c r="N835">
        <v>83</v>
      </c>
      <c r="O835">
        <v>36</v>
      </c>
      <c r="P835">
        <v>16.399999999999999</v>
      </c>
      <c r="Q835" t="s">
        <v>31</v>
      </c>
      <c r="R835">
        <v>500</v>
      </c>
      <c r="S835">
        <v>21</v>
      </c>
      <c r="T835">
        <v>0</v>
      </c>
      <c r="U835">
        <v>0</v>
      </c>
      <c r="V835">
        <v>0</v>
      </c>
      <c r="W835" t="s">
        <v>55</v>
      </c>
      <c r="X835">
        <v>1</v>
      </c>
      <c r="Y835" t="str">
        <f t="shared" si="13"/>
        <v>Low</v>
      </c>
    </row>
    <row r="836" spans="1:25">
      <c r="A836" t="s">
        <v>949</v>
      </c>
      <c r="B836" s="1">
        <v>44935</v>
      </c>
      <c r="C836" s="2">
        <v>0.89583333333333337</v>
      </c>
      <c r="D836" t="s">
        <v>41</v>
      </c>
      <c r="E836" t="s">
        <v>89</v>
      </c>
      <c r="F836" t="s">
        <v>113</v>
      </c>
      <c r="G836" t="s">
        <v>197</v>
      </c>
      <c r="H836" s="2">
        <v>0.8979166666666667</v>
      </c>
      <c r="I836" s="2">
        <v>0.93055555555555558</v>
      </c>
      <c r="J836">
        <v>10</v>
      </c>
      <c r="K836">
        <v>1</v>
      </c>
      <c r="L836" t="s">
        <v>84</v>
      </c>
      <c r="M836">
        <v>11.6</v>
      </c>
      <c r="N836">
        <v>34</v>
      </c>
      <c r="O836">
        <v>0</v>
      </c>
      <c r="P836">
        <v>15.5</v>
      </c>
      <c r="Q836" t="s">
        <v>31</v>
      </c>
      <c r="R836">
        <v>0</v>
      </c>
      <c r="S836">
        <v>72</v>
      </c>
      <c r="T836">
        <v>0</v>
      </c>
      <c r="U836">
        <v>0</v>
      </c>
      <c r="V836">
        <v>0</v>
      </c>
      <c r="W836" t="s">
        <v>55</v>
      </c>
      <c r="X836">
        <v>0</v>
      </c>
      <c r="Y836" t="str">
        <f t="shared" si="13"/>
        <v>High</v>
      </c>
    </row>
    <row r="837" spans="1:25">
      <c r="A837" t="s">
        <v>950</v>
      </c>
      <c r="B837" s="1">
        <v>44935</v>
      </c>
      <c r="C837" s="2">
        <v>0.90625</v>
      </c>
      <c r="D837" t="s">
        <v>34</v>
      </c>
      <c r="E837" t="s">
        <v>141</v>
      </c>
      <c r="F837" t="s">
        <v>122</v>
      </c>
      <c r="G837" t="s">
        <v>76</v>
      </c>
      <c r="H837" s="2">
        <v>0.90625</v>
      </c>
      <c r="I837" s="2">
        <v>0.92013888888888884</v>
      </c>
      <c r="J837">
        <v>8</v>
      </c>
      <c r="K837">
        <v>-2</v>
      </c>
      <c r="L837" t="s">
        <v>38</v>
      </c>
      <c r="M837">
        <v>33.6</v>
      </c>
      <c r="N837">
        <v>65</v>
      </c>
      <c r="O837">
        <v>50</v>
      </c>
      <c r="P837">
        <v>4.7</v>
      </c>
      <c r="Q837" t="s">
        <v>46</v>
      </c>
      <c r="R837">
        <v>0</v>
      </c>
      <c r="S837">
        <v>63</v>
      </c>
      <c r="T837">
        <v>0</v>
      </c>
      <c r="U837">
        <v>0</v>
      </c>
      <c r="V837">
        <v>0</v>
      </c>
      <c r="W837" t="s">
        <v>39</v>
      </c>
      <c r="X837">
        <v>0</v>
      </c>
      <c r="Y837" t="str">
        <f t="shared" si="13"/>
        <v>Medium</v>
      </c>
    </row>
    <row r="838" spans="1:25">
      <c r="A838" t="s">
        <v>951</v>
      </c>
      <c r="B838" s="1">
        <v>44935</v>
      </c>
      <c r="C838" s="2">
        <v>0.91666666666666663</v>
      </c>
      <c r="D838" t="s">
        <v>26</v>
      </c>
      <c r="E838" t="s">
        <v>89</v>
      </c>
      <c r="F838" t="s">
        <v>128</v>
      </c>
      <c r="G838" t="s">
        <v>168</v>
      </c>
      <c r="H838" s="2">
        <v>0.91874999999999996</v>
      </c>
      <c r="I838" s="2">
        <v>0.93194444444444446</v>
      </c>
      <c r="J838">
        <v>6</v>
      </c>
      <c r="K838">
        <v>24</v>
      </c>
      <c r="L838" t="s">
        <v>30</v>
      </c>
      <c r="M838">
        <v>24.4</v>
      </c>
      <c r="N838">
        <v>83</v>
      </c>
      <c r="O838">
        <v>41</v>
      </c>
      <c r="P838">
        <v>3</v>
      </c>
      <c r="Q838" t="s">
        <v>31</v>
      </c>
      <c r="R838">
        <v>2000</v>
      </c>
      <c r="S838">
        <v>75</v>
      </c>
      <c r="T838">
        <v>0</v>
      </c>
      <c r="U838">
        <v>1</v>
      </c>
      <c r="V838">
        <v>0</v>
      </c>
      <c r="W838" t="s">
        <v>72</v>
      </c>
      <c r="X838">
        <v>1</v>
      </c>
      <c r="Y838" t="str">
        <f t="shared" si="13"/>
        <v>High</v>
      </c>
    </row>
    <row r="839" spans="1:25">
      <c r="A839" t="s">
        <v>952</v>
      </c>
      <c r="B839" s="1">
        <v>44935</v>
      </c>
      <c r="C839" s="2">
        <v>0.92708333333333337</v>
      </c>
      <c r="D839" t="s">
        <v>41</v>
      </c>
      <c r="E839" t="s">
        <v>161</v>
      </c>
      <c r="F839" t="s">
        <v>176</v>
      </c>
      <c r="G839" t="s">
        <v>83</v>
      </c>
      <c r="H839" s="2">
        <v>0.92777777777777781</v>
      </c>
      <c r="I839" s="2">
        <v>0.94236111111111109</v>
      </c>
      <c r="J839">
        <v>13</v>
      </c>
      <c r="K839">
        <v>23</v>
      </c>
      <c r="L839" t="s">
        <v>45</v>
      </c>
      <c r="M839">
        <v>-2.5</v>
      </c>
      <c r="N839">
        <v>65</v>
      </c>
      <c r="O839">
        <v>24</v>
      </c>
      <c r="P839">
        <v>7.8</v>
      </c>
      <c r="Q839" t="s">
        <v>101</v>
      </c>
      <c r="R839">
        <v>0</v>
      </c>
      <c r="S839">
        <v>85</v>
      </c>
      <c r="T839">
        <v>0</v>
      </c>
      <c r="U839">
        <v>0</v>
      </c>
      <c r="V839">
        <v>0</v>
      </c>
      <c r="W839" t="s">
        <v>55</v>
      </c>
      <c r="X839">
        <v>1</v>
      </c>
      <c r="Y839" t="str">
        <f t="shared" si="13"/>
        <v>High</v>
      </c>
    </row>
    <row r="840" spans="1:25">
      <c r="A840" t="s">
        <v>953</v>
      </c>
      <c r="B840" s="1">
        <v>44935</v>
      </c>
      <c r="C840" s="2">
        <v>0.9375</v>
      </c>
      <c r="D840" t="s">
        <v>34</v>
      </c>
      <c r="E840" t="s">
        <v>147</v>
      </c>
      <c r="F840" t="s">
        <v>91</v>
      </c>
      <c r="G840" t="s">
        <v>151</v>
      </c>
      <c r="H840" s="2">
        <v>0.93888888888888888</v>
      </c>
      <c r="I840" s="2">
        <v>0.97638888888888886</v>
      </c>
      <c r="J840">
        <v>7</v>
      </c>
      <c r="K840">
        <v>27</v>
      </c>
      <c r="L840" t="s">
        <v>30</v>
      </c>
      <c r="M840">
        <v>24.8</v>
      </c>
      <c r="N840">
        <v>98</v>
      </c>
      <c r="O840">
        <v>45</v>
      </c>
      <c r="P840">
        <v>17.7</v>
      </c>
      <c r="Q840" t="s">
        <v>31</v>
      </c>
      <c r="R840">
        <v>0</v>
      </c>
      <c r="S840">
        <v>57</v>
      </c>
      <c r="T840">
        <v>0</v>
      </c>
      <c r="U840">
        <v>1</v>
      </c>
      <c r="V840">
        <v>0</v>
      </c>
      <c r="W840" t="s">
        <v>39</v>
      </c>
      <c r="X840">
        <v>1</v>
      </c>
      <c r="Y840" t="str">
        <f t="shared" si="13"/>
        <v>Medium</v>
      </c>
    </row>
    <row r="841" spans="1:25">
      <c r="A841" t="s">
        <v>954</v>
      </c>
      <c r="B841" s="1">
        <v>44935</v>
      </c>
      <c r="C841" s="2">
        <v>0.94791666666666663</v>
      </c>
      <c r="D841" t="s">
        <v>41</v>
      </c>
      <c r="E841" t="s">
        <v>130</v>
      </c>
      <c r="F841" t="s">
        <v>76</v>
      </c>
      <c r="G841" t="s">
        <v>135</v>
      </c>
      <c r="H841" s="2">
        <v>0.94861111111111107</v>
      </c>
      <c r="I841" s="2">
        <v>0.97430555555555554</v>
      </c>
      <c r="J841">
        <v>8</v>
      </c>
      <c r="K841">
        <v>-3</v>
      </c>
      <c r="L841" t="s">
        <v>77</v>
      </c>
      <c r="M841">
        <v>-4</v>
      </c>
      <c r="N841">
        <v>68</v>
      </c>
      <c r="O841">
        <v>56</v>
      </c>
      <c r="P841">
        <v>1.8</v>
      </c>
      <c r="Q841" t="s">
        <v>31</v>
      </c>
      <c r="R841">
        <v>500</v>
      </c>
      <c r="S841">
        <v>86</v>
      </c>
      <c r="T841">
        <v>0</v>
      </c>
      <c r="U841">
        <v>1</v>
      </c>
      <c r="V841">
        <v>0</v>
      </c>
      <c r="W841" t="s">
        <v>39</v>
      </c>
      <c r="X841">
        <v>0</v>
      </c>
      <c r="Y841" t="str">
        <f t="shared" si="13"/>
        <v>High</v>
      </c>
    </row>
    <row r="842" spans="1:25">
      <c r="A842" t="s">
        <v>955</v>
      </c>
      <c r="B842" s="1">
        <v>44935</v>
      </c>
      <c r="C842" s="2">
        <v>0.95833333333333337</v>
      </c>
      <c r="D842" t="s">
        <v>26</v>
      </c>
      <c r="E842" t="s">
        <v>126</v>
      </c>
      <c r="F842" t="s">
        <v>65</v>
      </c>
      <c r="G842" t="s">
        <v>151</v>
      </c>
      <c r="H842" s="2">
        <v>0.95902777777777781</v>
      </c>
      <c r="I842" s="2">
        <v>0.9916666666666667</v>
      </c>
      <c r="J842">
        <v>9</v>
      </c>
      <c r="K842">
        <v>25</v>
      </c>
      <c r="L842" t="s">
        <v>77</v>
      </c>
      <c r="M842">
        <v>21</v>
      </c>
      <c r="N842">
        <v>99</v>
      </c>
      <c r="O842">
        <v>20</v>
      </c>
      <c r="P842">
        <v>10.9</v>
      </c>
      <c r="Q842" t="s">
        <v>31</v>
      </c>
      <c r="R842">
        <v>10000</v>
      </c>
      <c r="S842">
        <v>36</v>
      </c>
      <c r="T842">
        <v>0</v>
      </c>
      <c r="U842">
        <v>0</v>
      </c>
      <c r="V842">
        <v>0</v>
      </c>
      <c r="W842" t="s">
        <v>72</v>
      </c>
      <c r="X842">
        <v>1</v>
      </c>
      <c r="Y842" t="str">
        <f t="shared" si="13"/>
        <v>Medium</v>
      </c>
    </row>
    <row r="843" spans="1:25">
      <c r="A843" t="s">
        <v>956</v>
      </c>
      <c r="B843" s="1">
        <v>44935</v>
      </c>
      <c r="C843" s="2">
        <v>0.96875</v>
      </c>
      <c r="D843" t="s">
        <v>34</v>
      </c>
      <c r="E843" t="s">
        <v>157</v>
      </c>
      <c r="F843" t="s">
        <v>109</v>
      </c>
      <c r="G843" t="s">
        <v>128</v>
      </c>
      <c r="H843" s="2">
        <v>0.96944444444444444</v>
      </c>
      <c r="I843" s="2">
        <v>0.99930555555555556</v>
      </c>
      <c r="J843">
        <v>11</v>
      </c>
      <c r="K843">
        <v>-3</v>
      </c>
      <c r="L843" t="s">
        <v>84</v>
      </c>
      <c r="M843">
        <v>3.4</v>
      </c>
      <c r="N843">
        <v>33</v>
      </c>
      <c r="O843">
        <v>34</v>
      </c>
      <c r="P843">
        <v>1.8</v>
      </c>
      <c r="Q843" t="s">
        <v>31</v>
      </c>
      <c r="R843">
        <v>0</v>
      </c>
      <c r="S843">
        <v>77</v>
      </c>
      <c r="T843">
        <v>0</v>
      </c>
      <c r="U843">
        <v>0</v>
      </c>
      <c r="V843">
        <v>0</v>
      </c>
      <c r="W843" t="s">
        <v>39</v>
      </c>
      <c r="X843">
        <v>0</v>
      </c>
      <c r="Y843" t="str">
        <f t="shared" si="13"/>
        <v>High</v>
      </c>
    </row>
    <row r="844" spans="1:25">
      <c r="A844" t="s">
        <v>957</v>
      </c>
      <c r="B844" s="1">
        <v>44935</v>
      </c>
      <c r="C844" s="2">
        <v>0.97916666666666663</v>
      </c>
      <c r="D844" t="s">
        <v>41</v>
      </c>
      <c r="E844" t="s">
        <v>79</v>
      </c>
      <c r="F844" t="s">
        <v>116</v>
      </c>
      <c r="G844" t="s">
        <v>83</v>
      </c>
      <c r="H844" s="2">
        <v>0.9819444444444444</v>
      </c>
      <c r="I844" s="2">
        <v>1.5277777777777777E-2</v>
      </c>
      <c r="J844">
        <v>16</v>
      </c>
      <c r="K844">
        <v>4</v>
      </c>
      <c r="L844" t="s">
        <v>54</v>
      </c>
      <c r="M844">
        <v>22.9</v>
      </c>
      <c r="N844">
        <v>94</v>
      </c>
      <c r="O844">
        <v>37</v>
      </c>
      <c r="P844">
        <v>9.4</v>
      </c>
      <c r="Q844" t="s">
        <v>71</v>
      </c>
      <c r="R844">
        <v>0</v>
      </c>
      <c r="S844">
        <v>87</v>
      </c>
      <c r="T844">
        <v>0</v>
      </c>
      <c r="U844">
        <v>0</v>
      </c>
      <c r="V844">
        <v>0</v>
      </c>
      <c r="W844" t="s">
        <v>39</v>
      </c>
      <c r="X844">
        <v>0</v>
      </c>
      <c r="Y844" t="str">
        <f t="shared" si="13"/>
        <v>High</v>
      </c>
    </row>
    <row r="845" spans="1:25">
      <c r="A845" t="s">
        <v>958</v>
      </c>
      <c r="B845" s="1">
        <v>44935</v>
      </c>
      <c r="C845" s="2">
        <v>0.98958333333333337</v>
      </c>
      <c r="D845" t="s">
        <v>26</v>
      </c>
      <c r="E845" t="s">
        <v>68</v>
      </c>
      <c r="F845" t="s">
        <v>176</v>
      </c>
      <c r="G845" t="s">
        <v>151</v>
      </c>
      <c r="H845" s="2">
        <v>0.9916666666666667</v>
      </c>
      <c r="I845" s="2">
        <v>2.7777777777777776E-2</v>
      </c>
      <c r="J845">
        <v>9</v>
      </c>
      <c r="K845">
        <v>12</v>
      </c>
      <c r="L845" t="s">
        <v>84</v>
      </c>
      <c r="M845">
        <v>7.4</v>
      </c>
      <c r="N845">
        <v>69</v>
      </c>
      <c r="O845">
        <v>4</v>
      </c>
      <c r="P845">
        <v>2.5</v>
      </c>
      <c r="Q845" t="s">
        <v>31</v>
      </c>
      <c r="R845">
        <v>500</v>
      </c>
      <c r="S845">
        <v>71</v>
      </c>
      <c r="T845">
        <v>0</v>
      </c>
      <c r="U845">
        <v>1</v>
      </c>
      <c r="V845">
        <v>0</v>
      </c>
      <c r="W845" t="s">
        <v>72</v>
      </c>
      <c r="X845">
        <v>1</v>
      </c>
      <c r="Y845" t="str">
        <f t="shared" si="13"/>
        <v>High</v>
      </c>
    </row>
    <row r="846" spans="1:25">
      <c r="A846" t="s">
        <v>959</v>
      </c>
      <c r="B846" s="1">
        <v>44936</v>
      </c>
      <c r="C846" s="2">
        <v>0</v>
      </c>
      <c r="D846" t="s">
        <v>41</v>
      </c>
      <c r="E846" t="s">
        <v>130</v>
      </c>
      <c r="F846" t="s">
        <v>86</v>
      </c>
      <c r="G846" t="s">
        <v>96</v>
      </c>
      <c r="H846" s="2">
        <v>2.0833333333333333E-3</v>
      </c>
      <c r="I846" s="2">
        <v>3.3333333333333333E-2</v>
      </c>
      <c r="J846">
        <v>15</v>
      </c>
      <c r="K846">
        <v>24</v>
      </c>
      <c r="L846" t="s">
        <v>54</v>
      </c>
      <c r="M846">
        <v>29.9</v>
      </c>
      <c r="N846">
        <v>66</v>
      </c>
      <c r="O846">
        <v>48</v>
      </c>
      <c r="P846">
        <v>1.6</v>
      </c>
      <c r="Q846" t="s">
        <v>31</v>
      </c>
      <c r="R846">
        <v>500</v>
      </c>
      <c r="S846">
        <v>89</v>
      </c>
      <c r="T846">
        <v>1</v>
      </c>
      <c r="U846">
        <v>0</v>
      </c>
      <c r="V846">
        <v>1</v>
      </c>
      <c r="W846" t="s">
        <v>32</v>
      </c>
      <c r="X846">
        <v>1</v>
      </c>
      <c r="Y846" t="str">
        <f t="shared" si="13"/>
        <v>High</v>
      </c>
    </row>
    <row r="847" spans="1:25">
      <c r="A847" t="s">
        <v>960</v>
      </c>
      <c r="B847" s="1">
        <v>44936</v>
      </c>
      <c r="C847" s="2">
        <v>1.0416666666666666E-2</v>
      </c>
      <c r="D847" t="s">
        <v>41</v>
      </c>
      <c r="E847" t="s">
        <v>147</v>
      </c>
      <c r="F847" t="s">
        <v>176</v>
      </c>
      <c r="G847" t="s">
        <v>113</v>
      </c>
      <c r="H847" s="2">
        <v>1.2500000000000001E-2</v>
      </c>
      <c r="I847" s="2">
        <v>4.1666666666666664E-2</v>
      </c>
      <c r="J847">
        <v>18</v>
      </c>
      <c r="K847">
        <v>18</v>
      </c>
      <c r="L847" t="s">
        <v>54</v>
      </c>
      <c r="M847">
        <v>8.5</v>
      </c>
      <c r="N847">
        <v>96</v>
      </c>
      <c r="O847">
        <v>49</v>
      </c>
      <c r="P847">
        <v>3.8</v>
      </c>
      <c r="Q847" t="s">
        <v>101</v>
      </c>
      <c r="R847">
        <v>0</v>
      </c>
      <c r="S847">
        <v>95</v>
      </c>
      <c r="T847">
        <v>0</v>
      </c>
      <c r="U847">
        <v>0</v>
      </c>
      <c r="V847">
        <v>1</v>
      </c>
      <c r="W847" t="s">
        <v>72</v>
      </c>
      <c r="X847">
        <v>1</v>
      </c>
      <c r="Y847" t="str">
        <f t="shared" si="13"/>
        <v>High</v>
      </c>
    </row>
    <row r="848" spans="1:25">
      <c r="A848" t="s">
        <v>961</v>
      </c>
      <c r="B848" s="1">
        <v>44936</v>
      </c>
      <c r="C848" s="2">
        <v>2.0833333333333332E-2</v>
      </c>
      <c r="D848" t="s">
        <v>74</v>
      </c>
      <c r="E848" t="s">
        <v>27</v>
      </c>
      <c r="F848" t="s">
        <v>44</v>
      </c>
      <c r="G848" t="s">
        <v>123</v>
      </c>
      <c r="H848" s="2">
        <v>2.361111111111111E-2</v>
      </c>
      <c r="I848" s="2">
        <v>3.6805555555555557E-2</v>
      </c>
      <c r="J848">
        <v>14</v>
      </c>
      <c r="K848">
        <v>14</v>
      </c>
      <c r="L848" t="s">
        <v>54</v>
      </c>
      <c r="M848">
        <v>19.8</v>
      </c>
      <c r="N848">
        <v>60</v>
      </c>
      <c r="O848">
        <v>11</v>
      </c>
      <c r="P848">
        <v>5.0999999999999996</v>
      </c>
      <c r="Q848" t="s">
        <v>71</v>
      </c>
      <c r="R848">
        <v>0</v>
      </c>
      <c r="S848">
        <v>27</v>
      </c>
      <c r="T848">
        <v>0</v>
      </c>
      <c r="U848">
        <v>0</v>
      </c>
      <c r="V848">
        <v>1</v>
      </c>
      <c r="W848" t="s">
        <v>72</v>
      </c>
      <c r="X848">
        <v>1</v>
      </c>
      <c r="Y848" t="str">
        <f t="shared" si="13"/>
        <v>Low</v>
      </c>
    </row>
    <row r="849" spans="1:25">
      <c r="A849" t="s">
        <v>962</v>
      </c>
      <c r="B849" s="1">
        <v>44936</v>
      </c>
      <c r="C849" s="2">
        <v>3.125E-2</v>
      </c>
      <c r="D849" t="s">
        <v>74</v>
      </c>
      <c r="E849" t="s">
        <v>61</v>
      </c>
      <c r="F849" t="s">
        <v>69</v>
      </c>
      <c r="G849" t="s">
        <v>185</v>
      </c>
      <c r="H849" s="2">
        <v>3.2638888888888891E-2</v>
      </c>
      <c r="I849" s="2">
        <v>5.4166666666666669E-2</v>
      </c>
      <c r="J849">
        <v>0</v>
      </c>
      <c r="K849">
        <v>18</v>
      </c>
      <c r="L849" t="s">
        <v>54</v>
      </c>
      <c r="M849">
        <v>6.4</v>
      </c>
      <c r="N849">
        <v>76</v>
      </c>
      <c r="O849">
        <v>4</v>
      </c>
      <c r="P849">
        <v>5.5</v>
      </c>
      <c r="Q849" t="s">
        <v>31</v>
      </c>
      <c r="R849">
        <v>0</v>
      </c>
      <c r="S849">
        <v>95</v>
      </c>
      <c r="T849">
        <v>0</v>
      </c>
      <c r="U849">
        <v>0</v>
      </c>
      <c r="V849">
        <v>1</v>
      </c>
      <c r="W849" t="s">
        <v>55</v>
      </c>
      <c r="X849">
        <v>1</v>
      </c>
      <c r="Y849" t="str">
        <f t="shared" si="13"/>
        <v>High</v>
      </c>
    </row>
    <row r="850" spans="1:25">
      <c r="A850" t="s">
        <v>963</v>
      </c>
      <c r="B850" s="1">
        <v>44936</v>
      </c>
      <c r="C850" s="2">
        <v>4.1666666666666664E-2</v>
      </c>
      <c r="D850" t="s">
        <v>26</v>
      </c>
      <c r="E850" t="s">
        <v>126</v>
      </c>
      <c r="F850" t="s">
        <v>66</v>
      </c>
      <c r="G850" t="s">
        <v>49</v>
      </c>
      <c r="H850" s="2">
        <v>4.2361111111111113E-2</v>
      </c>
      <c r="I850" s="2">
        <v>7.3611111111111113E-2</v>
      </c>
      <c r="J850">
        <v>-2</v>
      </c>
      <c r="K850">
        <v>8</v>
      </c>
      <c r="L850" t="s">
        <v>77</v>
      </c>
      <c r="M850">
        <v>31.7</v>
      </c>
      <c r="N850">
        <v>56</v>
      </c>
      <c r="O850">
        <v>8</v>
      </c>
      <c r="P850">
        <v>12.9</v>
      </c>
      <c r="Q850" t="s">
        <v>31</v>
      </c>
      <c r="R850">
        <v>2000</v>
      </c>
      <c r="S850">
        <v>85</v>
      </c>
      <c r="T850">
        <v>1</v>
      </c>
      <c r="U850">
        <v>0</v>
      </c>
      <c r="V850">
        <v>1</v>
      </c>
      <c r="W850" t="s">
        <v>55</v>
      </c>
      <c r="X850">
        <v>1</v>
      </c>
      <c r="Y850" t="str">
        <f t="shared" si="13"/>
        <v>High</v>
      </c>
    </row>
    <row r="851" spans="1:25">
      <c r="A851" t="s">
        <v>964</v>
      </c>
      <c r="B851" s="1">
        <v>44936</v>
      </c>
      <c r="C851" s="2">
        <v>5.2083333333333336E-2</v>
      </c>
      <c r="D851" t="s">
        <v>74</v>
      </c>
      <c r="E851" t="s">
        <v>98</v>
      </c>
      <c r="F851" t="s">
        <v>29</v>
      </c>
      <c r="G851" t="s">
        <v>176</v>
      </c>
      <c r="H851" s="2">
        <v>5.347222222222222E-2</v>
      </c>
      <c r="I851" s="2">
        <v>8.819444444444445E-2</v>
      </c>
      <c r="J851">
        <v>16</v>
      </c>
      <c r="K851">
        <v>15</v>
      </c>
      <c r="L851" t="s">
        <v>77</v>
      </c>
      <c r="M851">
        <v>26.2</v>
      </c>
      <c r="N851">
        <v>80</v>
      </c>
      <c r="O851">
        <v>43</v>
      </c>
      <c r="P851">
        <v>1.1000000000000001</v>
      </c>
      <c r="Q851" t="s">
        <v>31</v>
      </c>
      <c r="R851">
        <v>0</v>
      </c>
      <c r="S851">
        <v>48</v>
      </c>
      <c r="T851">
        <v>0</v>
      </c>
      <c r="U851">
        <v>0</v>
      </c>
      <c r="V851">
        <v>1</v>
      </c>
      <c r="W851" t="s">
        <v>32</v>
      </c>
      <c r="X851">
        <v>1</v>
      </c>
      <c r="Y851" t="str">
        <f t="shared" si="13"/>
        <v>Medium</v>
      </c>
    </row>
    <row r="852" spans="1:25">
      <c r="A852" t="s">
        <v>965</v>
      </c>
      <c r="B852" s="1">
        <v>44936</v>
      </c>
      <c r="C852" s="2">
        <v>6.25E-2</v>
      </c>
      <c r="D852" t="s">
        <v>26</v>
      </c>
      <c r="E852" t="s">
        <v>35</v>
      </c>
      <c r="F852" t="s">
        <v>100</v>
      </c>
      <c r="G852" t="s">
        <v>142</v>
      </c>
      <c r="H852" s="2">
        <v>6.5277777777777782E-2</v>
      </c>
      <c r="I852" s="2">
        <v>9.0972222222222218E-2</v>
      </c>
      <c r="J852">
        <v>1</v>
      </c>
      <c r="K852">
        <v>21</v>
      </c>
      <c r="L852" t="s">
        <v>38</v>
      </c>
      <c r="M852">
        <v>4.7</v>
      </c>
      <c r="N852">
        <v>49</v>
      </c>
      <c r="O852">
        <v>51</v>
      </c>
      <c r="P852">
        <v>1.6</v>
      </c>
      <c r="Q852" t="s">
        <v>46</v>
      </c>
      <c r="R852">
        <v>10000</v>
      </c>
      <c r="S852">
        <v>72</v>
      </c>
      <c r="T852">
        <v>0</v>
      </c>
      <c r="U852">
        <v>0</v>
      </c>
      <c r="V852">
        <v>1</v>
      </c>
      <c r="W852" t="s">
        <v>72</v>
      </c>
      <c r="X852">
        <v>1</v>
      </c>
      <c r="Y852" t="str">
        <f t="shared" si="13"/>
        <v>High</v>
      </c>
    </row>
    <row r="853" spans="1:25">
      <c r="A853" t="s">
        <v>966</v>
      </c>
      <c r="B853" s="1">
        <v>44936</v>
      </c>
      <c r="C853" s="2">
        <v>7.2916666666666671E-2</v>
      </c>
      <c r="D853" t="s">
        <v>74</v>
      </c>
      <c r="E853" t="s">
        <v>27</v>
      </c>
      <c r="F853" t="s">
        <v>148</v>
      </c>
      <c r="G853" t="s">
        <v>168</v>
      </c>
      <c r="H853" s="2">
        <v>7.4999999999999997E-2</v>
      </c>
      <c r="I853" s="2">
        <v>8.819444444444445E-2</v>
      </c>
      <c r="J853">
        <v>13</v>
      </c>
      <c r="K853">
        <v>1</v>
      </c>
      <c r="L853" t="s">
        <v>77</v>
      </c>
      <c r="M853">
        <v>33</v>
      </c>
      <c r="N853">
        <v>42</v>
      </c>
      <c r="O853">
        <v>8</v>
      </c>
      <c r="P853">
        <v>3.8</v>
      </c>
      <c r="Q853" t="s">
        <v>59</v>
      </c>
      <c r="R853">
        <v>0</v>
      </c>
      <c r="S853">
        <v>66</v>
      </c>
      <c r="T853">
        <v>0</v>
      </c>
      <c r="U853">
        <v>0</v>
      </c>
      <c r="V853">
        <v>1</v>
      </c>
      <c r="W853" t="s">
        <v>72</v>
      </c>
      <c r="X853">
        <v>0</v>
      </c>
      <c r="Y853" t="str">
        <f t="shared" si="13"/>
        <v>Medium</v>
      </c>
    </row>
    <row r="854" spans="1:25">
      <c r="A854" t="s">
        <v>967</v>
      </c>
      <c r="B854" s="1">
        <v>44936</v>
      </c>
      <c r="C854" s="2">
        <v>8.3333333333333329E-2</v>
      </c>
      <c r="D854" t="s">
        <v>41</v>
      </c>
      <c r="E854" t="s">
        <v>57</v>
      </c>
      <c r="F854" t="s">
        <v>185</v>
      </c>
      <c r="G854" t="s">
        <v>99</v>
      </c>
      <c r="H854" s="2">
        <v>8.4027777777777785E-2</v>
      </c>
      <c r="I854" s="2">
        <v>0.1125</v>
      </c>
      <c r="J854">
        <v>9</v>
      </c>
      <c r="K854">
        <v>6</v>
      </c>
      <c r="L854" t="s">
        <v>84</v>
      </c>
      <c r="M854">
        <v>9.3000000000000007</v>
      </c>
      <c r="N854">
        <v>92</v>
      </c>
      <c r="O854">
        <v>34</v>
      </c>
      <c r="P854">
        <v>17.399999999999999</v>
      </c>
      <c r="Q854" t="s">
        <v>31</v>
      </c>
      <c r="R854">
        <v>500</v>
      </c>
      <c r="S854">
        <v>88</v>
      </c>
      <c r="T854">
        <v>0</v>
      </c>
      <c r="U854">
        <v>0</v>
      </c>
      <c r="V854">
        <v>1</v>
      </c>
      <c r="W854" t="s">
        <v>32</v>
      </c>
      <c r="X854">
        <v>1</v>
      </c>
      <c r="Y854" t="str">
        <f t="shared" si="13"/>
        <v>High</v>
      </c>
    </row>
    <row r="855" spans="1:25">
      <c r="A855" t="s">
        <v>968</v>
      </c>
      <c r="B855" s="1">
        <v>44936</v>
      </c>
      <c r="C855" s="2">
        <v>9.375E-2</v>
      </c>
      <c r="D855" t="s">
        <v>26</v>
      </c>
      <c r="E855" t="s">
        <v>98</v>
      </c>
      <c r="F855" t="s">
        <v>36</v>
      </c>
      <c r="G855" t="s">
        <v>80</v>
      </c>
      <c r="H855" s="2">
        <v>9.375E-2</v>
      </c>
      <c r="I855" s="2">
        <v>0.12152777777777778</v>
      </c>
      <c r="J855">
        <v>18</v>
      </c>
      <c r="K855">
        <v>3</v>
      </c>
      <c r="L855" t="s">
        <v>77</v>
      </c>
      <c r="M855">
        <v>21.1</v>
      </c>
      <c r="N855">
        <v>73</v>
      </c>
      <c r="O855">
        <v>0</v>
      </c>
      <c r="P855">
        <v>12.6</v>
      </c>
      <c r="Q855" t="s">
        <v>31</v>
      </c>
      <c r="R855">
        <v>50000</v>
      </c>
      <c r="S855">
        <v>75</v>
      </c>
      <c r="T855">
        <v>0</v>
      </c>
      <c r="U855">
        <v>0</v>
      </c>
      <c r="V855">
        <v>1</v>
      </c>
      <c r="W855" t="s">
        <v>55</v>
      </c>
      <c r="X855">
        <v>0</v>
      </c>
      <c r="Y855" t="str">
        <f t="shared" si="13"/>
        <v>High</v>
      </c>
    </row>
    <row r="856" spans="1:25">
      <c r="A856" t="s">
        <v>969</v>
      </c>
      <c r="B856" s="1">
        <v>44936</v>
      </c>
      <c r="C856" s="2">
        <v>0.10416666666666667</v>
      </c>
      <c r="D856" t="s">
        <v>26</v>
      </c>
      <c r="E856" t="s">
        <v>68</v>
      </c>
      <c r="F856" t="s">
        <v>105</v>
      </c>
      <c r="G856" t="s">
        <v>90</v>
      </c>
      <c r="H856" s="2">
        <v>0.10416666666666667</v>
      </c>
      <c r="I856" s="2">
        <v>0.13333333333333333</v>
      </c>
      <c r="J856">
        <v>18</v>
      </c>
      <c r="K856">
        <v>11</v>
      </c>
      <c r="L856" t="s">
        <v>84</v>
      </c>
      <c r="M856">
        <v>24.7</v>
      </c>
      <c r="N856">
        <v>53</v>
      </c>
      <c r="O856">
        <v>53</v>
      </c>
      <c r="P856">
        <v>14.6</v>
      </c>
      <c r="Q856" t="s">
        <v>31</v>
      </c>
      <c r="R856">
        <v>0</v>
      </c>
      <c r="S856">
        <v>92</v>
      </c>
      <c r="T856">
        <v>0</v>
      </c>
      <c r="U856">
        <v>1</v>
      </c>
      <c r="V856">
        <v>1</v>
      </c>
      <c r="W856" t="s">
        <v>72</v>
      </c>
      <c r="X856">
        <v>1</v>
      </c>
      <c r="Y856" t="str">
        <f t="shared" si="13"/>
        <v>High</v>
      </c>
    </row>
    <row r="857" spans="1:25">
      <c r="A857" t="s">
        <v>970</v>
      </c>
      <c r="B857" s="1">
        <v>44936</v>
      </c>
      <c r="C857" s="2">
        <v>0.11458333333333333</v>
      </c>
      <c r="D857" t="s">
        <v>41</v>
      </c>
      <c r="E857" t="s">
        <v>79</v>
      </c>
      <c r="F857" t="s">
        <v>144</v>
      </c>
      <c r="G857" t="s">
        <v>109</v>
      </c>
      <c r="H857" s="2">
        <v>0.11597222222222223</v>
      </c>
      <c r="I857" s="2">
        <v>0.13055555555555556</v>
      </c>
      <c r="J857">
        <v>10</v>
      </c>
      <c r="K857">
        <v>20</v>
      </c>
      <c r="L857" t="s">
        <v>45</v>
      </c>
      <c r="M857">
        <v>-4.0999999999999996</v>
      </c>
      <c r="N857">
        <v>32</v>
      </c>
      <c r="O857">
        <v>46</v>
      </c>
      <c r="P857">
        <v>7.4</v>
      </c>
      <c r="Q857" t="s">
        <v>31</v>
      </c>
      <c r="R857">
        <v>0</v>
      </c>
      <c r="S857">
        <v>66</v>
      </c>
      <c r="T857">
        <v>0</v>
      </c>
      <c r="U857">
        <v>0</v>
      </c>
      <c r="V857">
        <v>1</v>
      </c>
      <c r="W857" t="s">
        <v>32</v>
      </c>
      <c r="X857">
        <v>1</v>
      </c>
      <c r="Y857" t="str">
        <f t="shared" si="13"/>
        <v>Medium</v>
      </c>
    </row>
    <row r="858" spans="1:25">
      <c r="A858" t="s">
        <v>971</v>
      </c>
      <c r="B858" s="1">
        <v>44936</v>
      </c>
      <c r="C858" s="2">
        <v>0.125</v>
      </c>
      <c r="D858" t="s">
        <v>26</v>
      </c>
      <c r="E858" t="s">
        <v>93</v>
      </c>
      <c r="F858" t="s">
        <v>70</v>
      </c>
      <c r="G858" t="s">
        <v>100</v>
      </c>
      <c r="H858" s="2">
        <v>0.12708333333333333</v>
      </c>
      <c r="I858" s="2">
        <v>0.15277777777777779</v>
      </c>
      <c r="J858">
        <v>14</v>
      </c>
      <c r="K858">
        <v>22</v>
      </c>
      <c r="L858" t="s">
        <v>77</v>
      </c>
      <c r="M858">
        <v>33.4</v>
      </c>
      <c r="N858">
        <v>39</v>
      </c>
      <c r="O858">
        <v>9</v>
      </c>
      <c r="P858">
        <v>4.3</v>
      </c>
      <c r="Q858" t="s">
        <v>46</v>
      </c>
      <c r="R858">
        <v>0</v>
      </c>
      <c r="S858">
        <v>40</v>
      </c>
      <c r="T858">
        <v>0</v>
      </c>
      <c r="U858">
        <v>0</v>
      </c>
      <c r="V858">
        <v>1</v>
      </c>
      <c r="W858" t="s">
        <v>55</v>
      </c>
      <c r="X858">
        <v>1</v>
      </c>
      <c r="Y858" t="str">
        <f t="shared" si="13"/>
        <v>Medium</v>
      </c>
    </row>
    <row r="859" spans="1:25">
      <c r="A859" t="s">
        <v>972</v>
      </c>
      <c r="B859" s="1">
        <v>44936</v>
      </c>
      <c r="C859" s="2">
        <v>0.13541666666666666</v>
      </c>
      <c r="D859" t="s">
        <v>26</v>
      </c>
      <c r="E859" t="s">
        <v>130</v>
      </c>
      <c r="F859" t="s">
        <v>66</v>
      </c>
      <c r="G859" t="s">
        <v>62</v>
      </c>
      <c r="H859" s="2">
        <v>0.13541666666666666</v>
      </c>
      <c r="I859" s="2">
        <v>0.17430555555555555</v>
      </c>
      <c r="J859">
        <v>5</v>
      </c>
      <c r="K859">
        <v>22</v>
      </c>
      <c r="L859" t="s">
        <v>84</v>
      </c>
      <c r="M859">
        <v>8.8000000000000007</v>
      </c>
      <c r="N859">
        <v>94</v>
      </c>
      <c r="O859">
        <v>45</v>
      </c>
      <c r="P859">
        <v>0.8</v>
      </c>
      <c r="Q859" t="s">
        <v>31</v>
      </c>
      <c r="R859">
        <v>0</v>
      </c>
      <c r="S859">
        <v>45</v>
      </c>
      <c r="T859">
        <v>0</v>
      </c>
      <c r="U859">
        <v>0</v>
      </c>
      <c r="V859">
        <v>1</v>
      </c>
      <c r="W859" t="s">
        <v>39</v>
      </c>
      <c r="X859">
        <v>1</v>
      </c>
      <c r="Y859" t="str">
        <f t="shared" si="13"/>
        <v>Medium</v>
      </c>
    </row>
    <row r="860" spans="1:25">
      <c r="A860" t="s">
        <v>973</v>
      </c>
      <c r="B860" s="1">
        <v>44936</v>
      </c>
      <c r="C860" s="2">
        <v>0.14583333333333334</v>
      </c>
      <c r="D860" t="s">
        <v>74</v>
      </c>
      <c r="E860" t="s">
        <v>98</v>
      </c>
      <c r="F860" t="s">
        <v>50</v>
      </c>
      <c r="G860" t="s">
        <v>75</v>
      </c>
      <c r="H860" s="2">
        <v>0.14722222222222223</v>
      </c>
      <c r="I860" s="2">
        <v>0.18055555555555555</v>
      </c>
      <c r="J860">
        <v>10</v>
      </c>
      <c r="K860">
        <v>22</v>
      </c>
      <c r="L860" t="s">
        <v>54</v>
      </c>
      <c r="M860">
        <v>2.6</v>
      </c>
      <c r="N860">
        <v>78</v>
      </c>
      <c r="O860">
        <v>38</v>
      </c>
      <c r="P860">
        <v>9.8000000000000007</v>
      </c>
      <c r="Q860" t="s">
        <v>31</v>
      </c>
      <c r="R860">
        <v>0</v>
      </c>
      <c r="S860">
        <v>86</v>
      </c>
      <c r="T860">
        <v>0</v>
      </c>
      <c r="U860">
        <v>0</v>
      </c>
      <c r="V860">
        <v>1</v>
      </c>
      <c r="W860" t="s">
        <v>32</v>
      </c>
      <c r="X860">
        <v>1</v>
      </c>
      <c r="Y860" t="str">
        <f t="shared" si="13"/>
        <v>High</v>
      </c>
    </row>
    <row r="861" spans="1:25">
      <c r="A861" t="s">
        <v>974</v>
      </c>
      <c r="B861" s="1">
        <v>44936</v>
      </c>
      <c r="C861" s="2">
        <v>0.15625</v>
      </c>
      <c r="D861" t="s">
        <v>26</v>
      </c>
      <c r="E861" t="s">
        <v>111</v>
      </c>
      <c r="F861" t="s">
        <v>154</v>
      </c>
      <c r="G861" t="s">
        <v>113</v>
      </c>
      <c r="H861" s="2">
        <v>0.15902777777777777</v>
      </c>
      <c r="I861" s="2">
        <v>0.18402777777777779</v>
      </c>
      <c r="J861">
        <v>17</v>
      </c>
      <c r="K861">
        <v>6</v>
      </c>
      <c r="L861" t="s">
        <v>30</v>
      </c>
      <c r="M861">
        <v>29</v>
      </c>
      <c r="N861">
        <v>87</v>
      </c>
      <c r="O861">
        <v>35</v>
      </c>
      <c r="P861">
        <v>11.5</v>
      </c>
      <c r="Q861" t="s">
        <v>31</v>
      </c>
      <c r="R861">
        <v>0</v>
      </c>
      <c r="S861">
        <v>86</v>
      </c>
      <c r="T861">
        <v>0</v>
      </c>
      <c r="U861">
        <v>0</v>
      </c>
      <c r="V861">
        <v>1</v>
      </c>
      <c r="W861" t="s">
        <v>32</v>
      </c>
      <c r="X861">
        <v>1</v>
      </c>
      <c r="Y861" t="str">
        <f t="shared" si="13"/>
        <v>High</v>
      </c>
    </row>
    <row r="862" spans="1:25">
      <c r="A862" t="s">
        <v>975</v>
      </c>
      <c r="B862" s="1">
        <v>44936</v>
      </c>
      <c r="C862" s="2">
        <v>0.16666666666666666</v>
      </c>
      <c r="D862" t="s">
        <v>34</v>
      </c>
      <c r="E862" t="s">
        <v>68</v>
      </c>
      <c r="F862" t="s">
        <v>197</v>
      </c>
      <c r="G862" t="s">
        <v>50</v>
      </c>
      <c r="H862" s="2">
        <v>0.16805555555555557</v>
      </c>
      <c r="I862" s="2">
        <v>0.19791666666666666</v>
      </c>
      <c r="J862">
        <v>2</v>
      </c>
      <c r="K862">
        <v>13</v>
      </c>
      <c r="L862" t="s">
        <v>54</v>
      </c>
      <c r="M862">
        <v>23.1</v>
      </c>
      <c r="N862">
        <v>31</v>
      </c>
      <c r="O862">
        <v>57</v>
      </c>
      <c r="P862">
        <v>17.899999999999999</v>
      </c>
      <c r="Q862" t="s">
        <v>31</v>
      </c>
      <c r="R862">
        <v>50000</v>
      </c>
      <c r="S862">
        <v>54</v>
      </c>
      <c r="T862">
        <v>0</v>
      </c>
      <c r="U862">
        <v>0</v>
      </c>
      <c r="V862">
        <v>1</v>
      </c>
      <c r="W862" t="s">
        <v>72</v>
      </c>
      <c r="X862">
        <v>1</v>
      </c>
      <c r="Y862" t="str">
        <f t="shared" si="13"/>
        <v>Medium</v>
      </c>
    </row>
    <row r="863" spans="1:25">
      <c r="A863" t="s">
        <v>976</v>
      </c>
      <c r="B863" s="1">
        <v>44936</v>
      </c>
      <c r="C863" s="2">
        <v>0.17708333333333334</v>
      </c>
      <c r="D863" t="s">
        <v>41</v>
      </c>
      <c r="E863" t="s">
        <v>130</v>
      </c>
      <c r="F863" t="s">
        <v>100</v>
      </c>
      <c r="G863" t="s">
        <v>135</v>
      </c>
      <c r="H863" s="2">
        <v>0.17847222222222223</v>
      </c>
      <c r="I863" s="2">
        <v>0.21458333333333332</v>
      </c>
      <c r="J863">
        <v>15</v>
      </c>
      <c r="K863">
        <v>10</v>
      </c>
      <c r="L863" t="s">
        <v>38</v>
      </c>
      <c r="M863">
        <v>-1.5</v>
      </c>
      <c r="N863">
        <v>95</v>
      </c>
      <c r="O863">
        <v>36</v>
      </c>
      <c r="P863">
        <v>17.600000000000001</v>
      </c>
      <c r="Q863" t="s">
        <v>31</v>
      </c>
      <c r="R863">
        <v>500</v>
      </c>
      <c r="S863">
        <v>81</v>
      </c>
      <c r="T863">
        <v>0</v>
      </c>
      <c r="U863">
        <v>1</v>
      </c>
      <c r="V863">
        <v>1</v>
      </c>
      <c r="W863" t="s">
        <v>39</v>
      </c>
      <c r="X863">
        <v>1</v>
      </c>
      <c r="Y863" t="str">
        <f t="shared" si="13"/>
        <v>High</v>
      </c>
    </row>
    <row r="864" spans="1:25">
      <c r="A864" t="s">
        <v>977</v>
      </c>
      <c r="B864" s="1">
        <v>44936</v>
      </c>
      <c r="C864" s="2">
        <v>0.1875</v>
      </c>
      <c r="D864" t="s">
        <v>74</v>
      </c>
      <c r="E864" t="s">
        <v>42</v>
      </c>
      <c r="F864" t="s">
        <v>65</v>
      </c>
      <c r="G864" t="s">
        <v>105</v>
      </c>
      <c r="H864" s="2">
        <v>0.18888888888888888</v>
      </c>
      <c r="I864" s="2">
        <v>0.22708333333333333</v>
      </c>
      <c r="J864">
        <v>12</v>
      </c>
      <c r="K864">
        <v>-2</v>
      </c>
      <c r="L864" t="s">
        <v>84</v>
      </c>
      <c r="M864">
        <v>-0.3</v>
      </c>
      <c r="N864">
        <v>60</v>
      </c>
      <c r="O864">
        <v>51</v>
      </c>
      <c r="P864">
        <v>8.5</v>
      </c>
      <c r="Q864" t="s">
        <v>101</v>
      </c>
      <c r="R864">
        <v>10000</v>
      </c>
      <c r="S864">
        <v>10</v>
      </c>
      <c r="T864">
        <v>1</v>
      </c>
      <c r="U864">
        <v>0</v>
      </c>
      <c r="V864">
        <v>1</v>
      </c>
      <c r="W864" t="s">
        <v>55</v>
      </c>
      <c r="X864">
        <v>0</v>
      </c>
      <c r="Y864" t="str">
        <f t="shared" si="13"/>
        <v>Low</v>
      </c>
    </row>
    <row r="865" spans="1:25">
      <c r="A865" t="s">
        <v>978</v>
      </c>
      <c r="B865" s="1">
        <v>44936</v>
      </c>
      <c r="C865" s="2">
        <v>0.19791666666666666</v>
      </c>
      <c r="D865" t="s">
        <v>74</v>
      </c>
      <c r="E865" t="s">
        <v>104</v>
      </c>
      <c r="F865" t="s">
        <v>58</v>
      </c>
      <c r="G865" t="s">
        <v>105</v>
      </c>
      <c r="H865" s="2">
        <v>0.1986111111111111</v>
      </c>
      <c r="I865" s="2">
        <v>0.22777777777777777</v>
      </c>
      <c r="J865">
        <v>9</v>
      </c>
      <c r="K865">
        <v>9</v>
      </c>
      <c r="L865" t="s">
        <v>54</v>
      </c>
      <c r="M865">
        <v>23.6</v>
      </c>
      <c r="N865">
        <v>97</v>
      </c>
      <c r="O865">
        <v>47</v>
      </c>
      <c r="P865">
        <v>8.5</v>
      </c>
      <c r="Q865" t="s">
        <v>46</v>
      </c>
      <c r="R865">
        <v>0</v>
      </c>
      <c r="S865">
        <v>99</v>
      </c>
      <c r="T865">
        <v>0</v>
      </c>
      <c r="U865">
        <v>0</v>
      </c>
      <c r="V865">
        <v>1</v>
      </c>
      <c r="W865" t="s">
        <v>39</v>
      </c>
      <c r="X865">
        <v>1</v>
      </c>
      <c r="Y865" t="str">
        <f t="shared" si="13"/>
        <v>High</v>
      </c>
    </row>
    <row r="866" spans="1:25">
      <c r="A866" t="s">
        <v>979</v>
      </c>
      <c r="B866" s="1">
        <v>44936</v>
      </c>
      <c r="C866" s="2">
        <v>0.20833333333333334</v>
      </c>
      <c r="D866" t="s">
        <v>34</v>
      </c>
      <c r="E866" t="s">
        <v>126</v>
      </c>
      <c r="F866" t="s">
        <v>122</v>
      </c>
      <c r="G866" t="s">
        <v>144</v>
      </c>
      <c r="H866" s="2">
        <v>0.20972222222222223</v>
      </c>
      <c r="I866" s="2">
        <v>0.22916666666666666</v>
      </c>
      <c r="J866">
        <v>14</v>
      </c>
      <c r="K866">
        <v>23</v>
      </c>
      <c r="L866" t="s">
        <v>77</v>
      </c>
      <c r="M866">
        <v>-2</v>
      </c>
      <c r="N866">
        <v>66</v>
      </c>
      <c r="O866">
        <v>34</v>
      </c>
      <c r="P866">
        <v>3.2</v>
      </c>
      <c r="Q866" t="s">
        <v>31</v>
      </c>
      <c r="R866">
        <v>0</v>
      </c>
      <c r="S866">
        <v>25</v>
      </c>
      <c r="T866">
        <v>0</v>
      </c>
      <c r="U866">
        <v>1</v>
      </c>
      <c r="V866">
        <v>1</v>
      </c>
      <c r="W866" t="s">
        <v>72</v>
      </c>
      <c r="X866">
        <v>1</v>
      </c>
      <c r="Y866" t="str">
        <f t="shared" si="13"/>
        <v>Low</v>
      </c>
    </row>
    <row r="867" spans="1:25">
      <c r="A867" t="s">
        <v>980</v>
      </c>
      <c r="B867" s="1">
        <v>44936</v>
      </c>
      <c r="C867" s="2">
        <v>0.21875</v>
      </c>
      <c r="D867" t="s">
        <v>41</v>
      </c>
      <c r="E867" t="s">
        <v>111</v>
      </c>
      <c r="F867" t="s">
        <v>83</v>
      </c>
      <c r="G867" t="s">
        <v>113</v>
      </c>
      <c r="H867" s="2">
        <v>0.22013888888888888</v>
      </c>
      <c r="I867" s="2">
        <v>0.25208333333333333</v>
      </c>
      <c r="J867">
        <v>12</v>
      </c>
      <c r="K867">
        <v>5</v>
      </c>
      <c r="L867" t="s">
        <v>77</v>
      </c>
      <c r="M867">
        <v>31.7</v>
      </c>
      <c r="N867">
        <v>53</v>
      </c>
      <c r="O867">
        <v>16</v>
      </c>
      <c r="P867">
        <v>5.0999999999999996</v>
      </c>
      <c r="Q867" t="s">
        <v>46</v>
      </c>
      <c r="R867">
        <v>0</v>
      </c>
      <c r="S867">
        <v>71</v>
      </c>
      <c r="T867">
        <v>0</v>
      </c>
      <c r="U867">
        <v>0</v>
      </c>
      <c r="V867">
        <v>1</v>
      </c>
      <c r="W867" t="s">
        <v>72</v>
      </c>
      <c r="X867">
        <v>0</v>
      </c>
      <c r="Y867" t="str">
        <f t="shared" si="13"/>
        <v>High</v>
      </c>
    </row>
    <row r="868" spans="1:25">
      <c r="A868" t="s">
        <v>981</v>
      </c>
      <c r="B868" s="1">
        <v>44936</v>
      </c>
      <c r="C868" s="2">
        <v>0.22916666666666666</v>
      </c>
      <c r="D868" t="s">
        <v>41</v>
      </c>
      <c r="E868" t="s">
        <v>89</v>
      </c>
      <c r="F868" t="s">
        <v>100</v>
      </c>
      <c r="G868" t="s">
        <v>105</v>
      </c>
      <c r="H868" s="2">
        <v>0.2298611111111111</v>
      </c>
      <c r="I868" s="2">
        <v>0.24444444444444444</v>
      </c>
      <c r="J868">
        <v>-1</v>
      </c>
      <c r="K868">
        <v>3</v>
      </c>
      <c r="L868" t="s">
        <v>45</v>
      </c>
      <c r="M868">
        <v>24.7</v>
      </c>
      <c r="N868">
        <v>73</v>
      </c>
      <c r="O868">
        <v>12</v>
      </c>
      <c r="P868">
        <v>18.5</v>
      </c>
      <c r="Q868" t="s">
        <v>71</v>
      </c>
      <c r="R868">
        <v>0</v>
      </c>
      <c r="S868">
        <v>91</v>
      </c>
      <c r="T868">
        <v>0</v>
      </c>
      <c r="U868">
        <v>0</v>
      </c>
      <c r="V868">
        <v>1</v>
      </c>
      <c r="W868" t="s">
        <v>55</v>
      </c>
      <c r="X868">
        <v>0</v>
      </c>
      <c r="Y868" t="str">
        <f t="shared" si="13"/>
        <v>High</v>
      </c>
    </row>
    <row r="869" spans="1:25">
      <c r="A869" t="s">
        <v>982</v>
      </c>
      <c r="B869" s="1">
        <v>44936</v>
      </c>
      <c r="C869" s="2">
        <v>0.23958333333333334</v>
      </c>
      <c r="D869" t="s">
        <v>74</v>
      </c>
      <c r="E869" t="s">
        <v>27</v>
      </c>
      <c r="F869" t="s">
        <v>70</v>
      </c>
      <c r="G869" t="s">
        <v>36</v>
      </c>
      <c r="H869" s="2">
        <v>0.24027777777777778</v>
      </c>
      <c r="I869" s="2">
        <v>0.25347222222222221</v>
      </c>
      <c r="J869">
        <v>3</v>
      </c>
      <c r="K869">
        <v>6</v>
      </c>
      <c r="L869" t="s">
        <v>30</v>
      </c>
      <c r="M869">
        <v>8.4</v>
      </c>
      <c r="N869">
        <v>70</v>
      </c>
      <c r="O869">
        <v>5</v>
      </c>
      <c r="P869">
        <v>2.8</v>
      </c>
      <c r="Q869" t="s">
        <v>31</v>
      </c>
      <c r="R869">
        <v>0</v>
      </c>
      <c r="S869">
        <v>81</v>
      </c>
      <c r="T869">
        <v>0</v>
      </c>
      <c r="U869">
        <v>0</v>
      </c>
      <c r="V869">
        <v>1</v>
      </c>
      <c r="W869" t="s">
        <v>55</v>
      </c>
      <c r="X869">
        <v>1</v>
      </c>
      <c r="Y869" t="str">
        <f t="shared" si="13"/>
        <v>High</v>
      </c>
    </row>
    <row r="870" spans="1:25">
      <c r="A870" t="s">
        <v>983</v>
      </c>
      <c r="B870" s="1">
        <v>44936</v>
      </c>
      <c r="C870" s="2">
        <v>0.25</v>
      </c>
      <c r="D870" t="s">
        <v>26</v>
      </c>
      <c r="E870" t="s">
        <v>130</v>
      </c>
      <c r="F870" t="s">
        <v>53</v>
      </c>
      <c r="G870" t="s">
        <v>70</v>
      </c>
      <c r="H870" s="2">
        <v>0.25277777777777777</v>
      </c>
      <c r="I870" s="2">
        <v>0.27638888888888891</v>
      </c>
      <c r="J870">
        <v>14</v>
      </c>
      <c r="K870">
        <v>5</v>
      </c>
      <c r="L870" t="s">
        <v>84</v>
      </c>
      <c r="M870">
        <v>9.5</v>
      </c>
      <c r="N870">
        <v>80</v>
      </c>
      <c r="O870">
        <v>57</v>
      </c>
      <c r="P870">
        <v>19.399999999999999</v>
      </c>
      <c r="Q870" t="s">
        <v>31</v>
      </c>
      <c r="R870">
        <v>0</v>
      </c>
      <c r="S870">
        <v>12</v>
      </c>
      <c r="T870">
        <v>0</v>
      </c>
      <c r="U870">
        <v>1</v>
      </c>
      <c r="V870">
        <v>1</v>
      </c>
      <c r="W870" t="s">
        <v>55</v>
      </c>
      <c r="X870">
        <v>0</v>
      </c>
      <c r="Y870" t="str">
        <f t="shared" si="13"/>
        <v>Low</v>
      </c>
    </row>
    <row r="871" spans="1:25">
      <c r="A871" t="s">
        <v>984</v>
      </c>
      <c r="B871" s="1">
        <v>44936</v>
      </c>
      <c r="C871" s="2">
        <v>0.26041666666666669</v>
      </c>
      <c r="D871" t="s">
        <v>74</v>
      </c>
      <c r="E871" t="s">
        <v>141</v>
      </c>
      <c r="F871" t="s">
        <v>105</v>
      </c>
      <c r="G871" t="s">
        <v>49</v>
      </c>
      <c r="H871" s="2">
        <v>0.26250000000000001</v>
      </c>
      <c r="I871" s="2">
        <v>0.28888888888888886</v>
      </c>
      <c r="J871">
        <v>13</v>
      </c>
      <c r="K871">
        <v>18</v>
      </c>
      <c r="L871" t="s">
        <v>54</v>
      </c>
      <c r="M871">
        <v>15.3</v>
      </c>
      <c r="N871">
        <v>71</v>
      </c>
      <c r="O871">
        <v>36</v>
      </c>
      <c r="P871">
        <v>10.1</v>
      </c>
      <c r="Q871" t="s">
        <v>31</v>
      </c>
      <c r="R871">
        <v>2000</v>
      </c>
      <c r="S871">
        <v>35</v>
      </c>
      <c r="T871">
        <v>0</v>
      </c>
      <c r="U871">
        <v>0</v>
      </c>
      <c r="V871">
        <v>1</v>
      </c>
      <c r="W871" t="s">
        <v>72</v>
      </c>
      <c r="X871">
        <v>1</v>
      </c>
      <c r="Y871" t="str">
        <f t="shared" si="13"/>
        <v>Medium</v>
      </c>
    </row>
    <row r="872" spans="1:25">
      <c r="A872" t="s">
        <v>985</v>
      </c>
      <c r="B872" s="1">
        <v>44936</v>
      </c>
      <c r="C872" s="2">
        <v>0.27083333333333331</v>
      </c>
      <c r="D872" t="s">
        <v>41</v>
      </c>
      <c r="E872" t="s">
        <v>141</v>
      </c>
      <c r="F872" t="s">
        <v>50</v>
      </c>
      <c r="G872" t="s">
        <v>123</v>
      </c>
      <c r="H872" s="2">
        <v>0.27083333333333331</v>
      </c>
      <c r="I872" s="2">
        <v>0.29375000000000001</v>
      </c>
      <c r="J872">
        <v>14</v>
      </c>
      <c r="K872">
        <v>19</v>
      </c>
      <c r="L872" t="s">
        <v>30</v>
      </c>
      <c r="M872">
        <v>9.4</v>
      </c>
      <c r="N872">
        <v>69</v>
      </c>
      <c r="O872">
        <v>47</v>
      </c>
      <c r="P872">
        <v>9.1</v>
      </c>
      <c r="Q872" t="s">
        <v>31</v>
      </c>
      <c r="R872">
        <v>0</v>
      </c>
      <c r="S872">
        <v>63</v>
      </c>
      <c r="T872">
        <v>0</v>
      </c>
      <c r="U872">
        <v>0</v>
      </c>
      <c r="V872">
        <v>1</v>
      </c>
      <c r="W872" t="s">
        <v>55</v>
      </c>
      <c r="X872">
        <v>1</v>
      </c>
      <c r="Y872" t="str">
        <f t="shared" si="13"/>
        <v>Medium</v>
      </c>
    </row>
    <row r="873" spans="1:25">
      <c r="A873" t="s">
        <v>986</v>
      </c>
      <c r="B873" s="1">
        <v>44936</v>
      </c>
      <c r="C873" s="2">
        <v>0.28125</v>
      </c>
      <c r="D873" t="s">
        <v>34</v>
      </c>
      <c r="E873" t="s">
        <v>130</v>
      </c>
      <c r="F873" t="s">
        <v>118</v>
      </c>
      <c r="G873" t="s">
        <v>118</v>
      </c>
      <c r="H873" s="2">
        <v>0.28125</v>
      </c>
      <c r="I873" s="2">
        <v>0.30416666666666664</v>
      </c>
      <c r="J873">
        <v>17</v>
      </c>
      <c r="K873">
        <v>3</v>
      </c>
      <c r="L873" t="s">
        <v>45</v>
      </c>
      <c r="M873">
        <v>26.3</v>
      </c>
      <c r="N873">
        <v>77</v>
      </c>
      <c r="O873">
        <v>31</v>
      </c>
      <c r="P873">
        <v>3.5</v>
      </c>
      <c r="Q873" t="s">
        <v>59</v>
      </c>
      <c r="R873">
        <v>0</v>
      </c>
      <c r="S873">
        <v>50</v>
      </c>
      <c r="T873">
        <v>0</v>
      </c>
      <c r="U873">
        <v>0</v>
      </c>
      <c r="V873">
        <v>1</v>
      </c>
      <c r="W873" t="s">
        <v>55</v>
      </c>
      <c r="X873">
        <v>0</v>
      </c>
      <c r="Y873" t="str">
        <f t="shared" si="13"/>
        <v>Medium</v>
      </c>
    </row>
    <row r="874" spans="1:25">
      <c r="A874" t="s">
        <v>987</v>
      </c>
      <c r="B874" s="1">
        <v>44936</v>
      </c>
      <c r="C874" s="2">
        <v>0.29166666666666669</v>
      </c>
      <c r="D874" t="s">
        <v>74</v>
      </c>
      <c r="E874" t="s">
        <v>79</v>
      </c>
      <c r="F874" t="s">
        <v>62</v>
      </c>
      <c r="G874" t="s">
        <v>123</v>
      </c>
      <c r="H874" s="2">
        <v>0.29305555555555557</v>
      </c>
      <c r="I874" s="2">
        <v>0.31597222222222221</v>
      </c>
      <c r="J874">
        <v>6</v>
      </c>
      <c r="K874">
        <v>5</v>
      </c>
      <c r="L874" t="s">
        <v>38</v>
      </c>
      <c r="M874">
        <v>34</v>
      </c>
      <c r="N874">
        <v>33</v>
      </c>
      <c r="O874">
        <v>10</v>
      </c>
      <c r="P874">
        <v>13.2</v>
      </c>
      <c r="Q874" t="s">
        <v>31</v>
      </c>
      <c r="R874">
        <v>0</v>
      </c>
      <c r="S874">
        <v>75</v>
      </c>
      <c r="T874">
        <v>0</v>
      </c>
      <c r="U874">
        <v>1</v>
      </c>
      <c r="V874">
        <v>1</v>
      </c>
      <c r="W874" t="s">
        <v>55</v>
      </c>
      <c r="X874">
        <v>0</v>
      </c>
      <c r="Y874" t="str">
        <f t="shared" si="13"/>
        <v>High</v>
      </c>
    </row>
    <row r="875" spans="1:25">
      <c r="A875" t="s">
        <v>988</v>
      </c>
      <c r="B875" s="1">
        <v>44936</v>
      </c>
      <c r="C875" s="2">
        <v>0.30208333333333331</v>
      </c>
      <c r="D875" t="s">
        <v>41</v>
      </c>
      <c r="E875" t="s">
        <v>111</v>
      </c>
      <c r="F875" t="s">
        <v>96</v>
      </c>
      <c r="G875" t="s">
        <v>58</v>
      </c>
      <c r="H875" s="2">
        <v>0.30486111111111114</v>
      </c>
      <c r="I875" s="2">
        <v>0.33819444444444446</v>
      </c>
      <c r="J875">
        <v>2</v>
      </c>
      <c r="K875">
        <v>23</v>
      </c>
      <c r="L875" t="s">
        <v>30</v>
      </c>
      <c r="M875">
        <v>18.399999999999999</v>
      </c>
      <c r="N875">
        <v>89</v>
      </c>
      <c r="O875">
        <v>16</v>
      </c>
      <c r="P875">
        <v>9.1999999999999993</v>
      </c>
      <c r="Q875" t="s">
        <v>101</v>
      </c>
      <c r="R875">
        <v>50000</v>
      </c>
      <c r="S875">
        <v>21</v>
      </c>
      <c r="T875">
        <v>0</v>
      </c>
      <c r="U875">
        <v>1</v>
      </c>
      <c r="V875">
        <v>1</v>
      </c>
      <c r="W875" t="s">
        <v>32</v>
      </c>
      <c r="X875">
        <v>1</v>
      </c>
      <c r="Y875" t="str">
        <f t="shared" si="13"/>
        <v>Low</v>
      </c>
    </row>
    <row r="876" spans="1:25">
      <c r="A876" t="s">
        <v>989</v>
      </c>
      <c r="B876" s="1">
        <v>44936</v>
      </c>
      <c r="C876" s="2">
        <v>0.3125</v>
      </c>
      <c r="D876" t="s">
        <v>74</v>
      </c>
      <c r="E876" t="s">
        <v>126</v>
      </c>
      <c r="F876" t="s">
        <v>128</v>
      </c>
      <c r="G876" t="s">
        <v>203</v>
      </c>
      <c r="H876" s="2">
        <v>0.31388888888888888</v>
      </c>
      <c r="I876" s="2">
        <v>0.3347222222222222</v>
      </c>
      <c r="J876">
        <v>-2</v>
      </c>
      <c r="K876">
        <v>20</v>
      </c>
      <c r="L876" t="s">
        <v>45</v>
      </c>
      <c r="M876">
        <v>12.8</v>
      </c>
      <c r="N876">
        <v>68</v>
      </c>
      <c r="O876">
        <v>4</v>
      </c>
      <c r="P876">
        <v>7.4</v>
      </c>
      <c r="Q876" t="s">
        <v>46</v>
      </c>
      <c r="R876">
        <v>0</v>
      </c>
      <c r="S876">
        <v>59</v>
      </c>
      <c r="T876">
        <v>0</v>
      </c>
      <c r="U876">
        <v>0</v>
      </c>
      <c r="V876">
        <v>1</v>
      </c>
      <c r="W876" t="s">
        <v>55</v>
      </c>
      <c r="X876">
        <v>1</v>
      </c>
      <c r="Y876" t="str">
        <f t="shared" si="13"/>
        <v>Medium</v>
      </c>
    </row>
    <row r="877" spans="1:25">
      <c r="A877" t="s">
        <v>990</v>
      </c>
      <c r="B877" s="1">
        <v>44936</v>
      </c>
      <c r="C877" s="2">
        <v>0.32291666666666669</v>
      </c>
      <c r="D877" t="s">
        <v>26</v>
      </c>
      <c r="E877" t="s">
        <v>79</v>
      </c>
      <c r="F877" t="s">
        <v>107</v>
      </c>
      <c r="G877" t="s">
        <v>65</v>
      </c>
      <c r="H877" s="2">
        <v>0.32291666666666669</v>
      </c>
      <c r="I877" s="2">
        <v>0.36249999999999999</v>
      </c>
      <c r="J877">
        <v>3</v>
      </c>
      <c r="K877">
        <v>25</v>
      </c>
      <c r="L877" t="s">
        <v>84</v>
      </c>
      <c r="M877">
        <v>3.9</v>
      </c>
      <c r="N877">
        <v>34</v>
      </c>
      <c r="O877">
        <v>5</v>
      </c>
      <c r="P877">
        <v>5.3</v>
      </c>
      <c r="Q877" t="s">
        <v>31</v>
      </c>
      <c r="R877">
        <v>0</v>
      </c>
      <c r="S877">
        <v>1</v>
      </c>
      <c r="T877">
        <v>0</v>
      </c>
      <c r="U877">
        <v>0</v>
      </c>
      <c r="V877">
        <v>1</v>
      </c>
      <c r="W877" t="s">
        <v>72</v>
      </c>
      <c r="X877">
        <v>1</v>
      </c>
      <c r="Y877" t="str">
        <f t="shared" si="13"/>
        <v>Low</v>
      </c>
    </row>
    <row r="878" spans="1:25">
      <c r="A878" t="s">
        <v>991</v>
      </c>
      <c r="B878" s="1">
        <v>44936</v>
      </c>
      <c r="C878" s="2">
        <v>0.33333333333333331</v>
      </c>
      <c r="D878" t="s">
        <v>74</v>
      </c>
      <c r="E878" t="s">
        <v>98</v>
      </c>
      <c r="F878" t="s">
        <v>62</v>
      </c>
      <c r="G878" t="s">
        <v>128</v>
      </c>
      <c r="H878" s="2">
        <v>0.33402777777777776</v>
      </c>
      <c r="I878" s="2">
        <v>0.35486111111111113</v>
      </c>
      <c r="J878">
        <v>11</v>
      </c>
      <c r="K878">
        <v>13</v>
      </c>
      <c r="L878" t="s">
        <v>38</v>
      </c>
      <c r="M878">
        <v>21.1</v>
      </c>
      <c r="N878">
        <v>35</v>
      </c>
      <c r="O878">
        <v>9</v>
      </c>
      <c r="P878">
        <v>1.3</v>
      </c>
      <c r="Q878" t="s">
        <v>59</v>
      </c>
      <c r="R878">
        <v>0</v>
      </c>
      <c r="S878">
        <v>55</v>
      </c>
      <c r="T878">
        <v>0</v>
      </c>
      <c r="U878">
        <v>0</v>
      </c>
      <c r="V878">
        <v>1</v>
      </c>
      <c r="W878" t="s">
        <v>32</v>
      </c>
      <c r="X878">
        <v>1</v>
      </c>
      <c r="Y878" t="str">
        <f t="shared" si="13"/>
        <v>Medium</v>
      </c>
    </row>
    <row r="879" spans="1:25">
      <c r="A879" t="s">
        <v>992</v>
      </c>
      <c r="B879" s="1">
        <v>44936</v>
      </c>
      <c r="C879" s="2">
        <v>0.34375</v>
      </c>
      <c r="D879" t="s">
        <v>74</v>
      </c>
      <c r="E879" t="s">
        <v>141</v>
      </c>
      <c r="F879" t="s">
        <v>194</v>
      </c>
      <c r="G879" t="s">
        <v>75</v>
      </c>
      <c r="H879" s="2">
        <v>0.34583333333333333</v>
      </c>
      <c r="I879" s="2">
        <v>0.38333333333333336</v>
      </c>
      <c r="J879">
        <v>14</v>
      </c>
      <c r="K879">
        <v>16</v>
      </c>
      <c r="L879" t="s">
        <v>77</v>
      </c>
      <c r="M879">
        <v>22.4</v>
      </c>
      <c r="N879">
        <v>43</v>
      </c>
      <c r="O879">
        <v>52</v>
      </c>
      <c r="P879">
        <v>10.4</v>
      </c>
      <c r="Q879" t="s">
        <v>31</v>
      </c>
      <c r="R879">
        <v>0</v>
      </c>
      <c r="S879">
        <v>39</v>
      </c>
      <c r="T879">
        <v>0</v>
      </c>
      <c r="U879">
        <v>0</v>
      </c>
      <c r="V879">
        <v>1</v>
      </c>
      <c r="W879" t="s">
        <v>72</v>
      </c>
      <c r="X879">
        <v>1</v>
      </c>
      <c r="Y879" t="str">
        <f t="shared" si="13"/>
        <v>Medium</v>
      </c>
    </row>
    <row r="880" spans="1:25">
      <c r="A880" t="s">
        <v>993</v>
      </c>
      <c r="B880" s="1">
        <v>44936</v>
      </c>
      <c r="C880" s="2">
        <v>0.35416666666666669</v>
      </c>
      <c r="D880" t="s">
        <v>41</v>
      </c>
      <c r="E880" t="s">
        <v>161</v>
      </c>
      <c r="F880" t="s">
        <v>100</v>
      </c>
      <c r="G880" t="s">
        <v>62</v>
      </c>
      <c r="H880" s="2">
        <v>0.35694444444444445</v>
      </c>
      <c r="I880" s="2">
        <v>0.39444444444444443</v>
      </c>
      <c r="J880">
        <v>16</v>
      </c>
      <c r="K880">
        <v>3</v>
      </c>
      <c r="L880" t="s">
        <v>45</v>
      </c>
      <c r="M880">
        <v>22.4</v>
      </c>
      <c r="N880">
        <v>99</v>
      </c>
      <c r="O880">
        <v>32</v>
      </c>
      <c r="P880">
        <v>6.3</v>
      </c>
      <c r="Q880" t="s">
        <v>31</v>
      </c>
      <c r="R880">
        <v>500</v>
      </c>
      <c r="S880">
        <v>27</v>
      </c>
      <c r="T880">
        <v>0</v>
      </c>
      <c r="U880">
        <v>1</v>
      </c>
      <c r="V880">
        <v>1</v>
      </c>
      <c r="W880" t="s">
        <v>39</v>
      </c>
      <c r="X880">
        <v>0</v>
      </c>
      <c r="Y880" t="str">
        <f t="shared" si="13"/>
        <v>Low</v>
      </c>
    </row>
    <row r="881" spans="1:25">
      <c r="A881" t="s">
        <v>994</v>
      </c>
      <c r="B881" s="1">
        <v>44936</v>
      </c>
      <c r="C881" s="2">
        <v>0.36458333333333331</v>
      </c>
      <c r="D881" t="s">
        <v>41</v>
      </c>
      <c r="E881" t="s">
        <v>157</v>
      </c>
      <c r="F881" t="s">
        <v>80</v>
      </c>
      <c r="G881" t="s">
        <v>203</v>
      </c>
      <c r="H881" s="2">
        <v>0.36527777777777776</v>
      </c>
      <c r="I881" s="2">
        <v>0.40069444444444446</v>
      </c>
      <c r="J881">
        <v>-2</v>
      </c>
      <c r="K881">
        <v>3</v>
      </c>
      <c r="L881" t="s">
        <v>77</v>
      </c>
      <c r="M881">
        <v>-3.9</v>
      </c>
      <c r="N881">
        <v>41</v>
      </c>
      <c r="O881">
        <v>29</v>
      </c>
      <c r="P881">
        <v>14.2</v>
      </c>
      <c r="Q881" t="s">
        <v>71</v>
      </c>
      <c r="R881">
        <v>0</v>
      </c>
      <c r="S881">
        <v>76</v>
      </c>
      <c r="T881">
        <v>0</v>
      </c>
      <c r="U881">
        <v>0</v>
      </c>
      <c r="V881">
        <v>1</v>
      </c>
      <c r="W881" t="s">
        <v>32</v>
      </c>
      <c r="X881">
        <v>0</v>
      </c>
      <c r="Y881" t="str">
        <f t="shared" si="13"/>
        <v>High</v>
      </c>
    </row>
    <row r="882" spans="1:25">
      <c r="A882" t="s">
        <v>995</v>
      </c>
      <c r="B882" s="1">
        <v>44936</v>
      </c>
      <c r="C882" s="2">
        <v>0.375</v>
      </c>
      <c r="D882" t="s">
        <v>41</v>
      </c>
      <c r="E882" t="s">
        <v>111</v>
      </c>
      <c r="F882" t="s">
        <v>107</v>
      </c>
      <c r="G882" t="s">
        <v>105</v>
      </c>
      <c r="H882" s="2">
        <v>0.37708333333333333</v>
      </c>
      <c r="I882" s="2">
        <v>0.41111111111111109</v>
      </c>
      <c r="J882">
        <v>-2</v>
      </c>
      <c r="K882">
        <v>24</v>
      </c>
      <c r="L882" t="s">
        <v>38</v>
      </c>
      <c r="M882">
        <v>31</v>
      </c>
      <c r="N882">
        <v>91</v>
      </c>
      <c r="O882">
        <v>20</v>
      </c>
      <c r="P882">
        <v>14.5</v>
      </c>
      <c r="Q882" t="s">
        <v>31</v>
      </c>
      <c r="R882">
        <v>0</v>
      </c>
      <c r="S882">
        <v>96</v>
      </c>
      <c r="T882">
        <v>0</v>
      </c>
      <c r="U882">
        <v>0</v>
      </c>
      <c r="V882">
        <v>1</v>
      </c>
      <c r="W882" t="s">
        <v>55</v>
      </c>
      <c r="X882">
        <v>1</v>
      </c>
      <c r="Y882" t="str">
        <f t="shared" si="13"/>
        <v>High</v>
      </c>
    </row>
    <row r="883" spans="1:25">
      <c r="A883" t="s">
        <v>996</v>
      </c>
      <c r="B883" s="1">
        <v>44936</v>
      </c>
      <c r="C883" s="2">
        <v>0.38541666666666669</v>
      </c>
      <c r="D883" t="s">
        <v>74</v>
      </c>
      <c r="E883" t="s">
        <v>161</v>
      </c>
      <c r="F883" t="s">
        <v>105</v>
      </c>
      <c r="G883" t="s">
        <v>87</v>
      </c>
      <c r="H883" s="2">
        <v>0.38819444444444445</v>
      </c>
      <c r="I883" s="2">
        <v>0.41875000000000001</v>
      </c>
      <c r="J883">
        <v>10</v>
      </c>
      <c r="K883">
        <v>15</v>
      </c>
      <c r="L883" t="s">
        <v>45</v>
      </c>
      <c r="M883">
        <v>8.5</v>
      </c>
      <c r="N883">
        <v>56</v>
      </c>
      <c r="O883">
        <v>41</v>
      </c>
      <c r="P883">
        <v>6.6</v>
      </c>
      <c r="Q883" t="s">
        <v>31</v>
      </c>
      <c r="R883">
        <v>0</v>
      </c>
      <c r="S883">
        <v>2</v>
      </c>
      <c r="T883">
        <v>0</v>
      </c>
      <c r="U883">
        <v>0</v>
      </c>
      <c r="V883">
        <v>1</v>
      </c>
      <c r="W883" t="s">
        <v>32</v>
      </c>
      <c r="X883">
        <v>1</v>
      </c>
      <c r="Y883" t="str">
        <f t="shared" si="13"/>
        <v>Low</v>
      </c>
    </row>
    <row r="884" spans="1:25">
      <c r="A884" t="s">
        <v>997</v>
      </c>
      <c r="B884" s="1">
        <v>44936</v>
      </c>
      <c r="C884" s="2">
        <v>0.39583333333333331</v>
      </c>
      <c r="D884" t="s">
        <v>26</v>
      </c>
      <c r="E884" t="s">
        <v>111</v>
      </c>
      <c r="F884" t="s">
        <v>53</v>
      </c>
      <c r="G884" t="s">
        <v>123</v>
      </c>
      <c r="H884" s="2">
        <v>0.39861111111111114</v>
      </c>
      <c r="I884" s="2">
        <v>0.41249999999999998</v>
      </c>
      <c r="J884">
        <v>11</v>
      </c>
      <c r="K884">
        <v>16</v>
      </c>
      <c r="L884" t="s">
        <v>45</v>
      </c>
      <c r="M884">
        <v>24.8</v>
      </c>
      <c r="N884">
        <v>83</v>
      </c>
      <c r="O884">
        <v>16</v>
      </c>
      <c r="P884">
        <v>13.4</v>
      </c>
      <c r="Q884" t="s">
        <v>71</v>
      </c>
      <c r="R884">
        <v>10000</v>
      </c>
      <c r="S884">
        <v>62</v>
      </c>
      <c r="T884">
        <v>0</v>
      </c>
      <c r="U884">
        <v>0</v>
      </c>
      <c r="V884">
        <v>1</v>
      </c>
      <c r="W884" t="s">
        <v>72</v>
      </c>
      <c r="X884">
        <v>1</v>
      </c>
      <c r="Y884" t="str">
        <f t="shared" si="13"/>
        <v>Medium</v>
      </c>
    </row>
    <row r="885" spans="1:25">
      <c r="A885" t="s">
        <v>998</v>
      </c>
      <c r="B885" s="1">
        <v>44936</v>
      </c>
      <c r="C885" s="2">
        <v>0.40625</v>
      </c>
      <c r="D885" t="s">
        <v>34</v>
      </c>
      <c r="E885" t="s">
        <v>42</v>
      </c>
      <c r="F885" t="s">
        <v>109</v>
      </c>
      <c r="G885" t="s">
        <v>168</v>
      </c>
      <c r="H885" s="2">
        <v>0.40625</v>
      </c>
      <c r="I885" s="2">
        <v>0.4236111111111111</v>
      </c>
      <c r="J885">
        <v>3</v>
      </c>
      <c r="K885">
        <v>3</v>
      </c>
      <c r="L885" t="s">
        <v>38</v>
      </c>
      <c r="M885">
        <v>25.4</v>
      </c>
      <c r="N885">
        <v>41</v>
      </c>
      <c r="O885">
        <v>26</v>
      </c>
      <c r="P885">
        <v>5.2</v>
      </c>
      <c r="Q885" t="s">
        <v>101</v>
      </c>
      <c r="R885">
        <v>0</v>
      </c>
      <c r="S885">
        <v>97</v>
      </c>
      <c r="T885">
        <v>0</v>
      </c>
      <c r="U885">
        <v>0</v>
      </c>
      <c r="V885">
        <v>1</v>
      </c>
      <c r="W885" t="s">
        <v>32</v>
      </c>
      <c r="X885">
        <v>0</v>
      </c>
      <c r="Y885" t="str">
        <f t="shared" si="13"/>
        <v>High</v>
      </c>
    </row>
    <row r="886" spans="1:25">
      <c r="A886" t="s">
        <v>999</v>
      </c>
      <c r="B886" s="1">
        <v>44936</v>
      </c>
      <c r="C886" s="2">
        <v>0.41666666666666669</v>
      </c>
      <c r="D886" t="s">
        <v>34</v>
      </c>
      <c r="E886" t="s">
        <v>111</v>
      </c>
      <c r="F886" t="s">
        <v>91</v>
      </c>
      <c r="G886" t="s">
        <v>176</v>
      </c>
      <c r="H886" s="2">
        <v>0.41736111111111113</v>
      </c>
      <c r="I886" s="2">
        <v>0.4513888888888889</v>
      </c>
      <c r="J886">
        <v>3</v>
      </c>
      <c r="K886">
        <v>2</v>
      </c>
      <c r="L886" t="s">
        <v>84</v>
      </c>
      <c r="M886">
        <v>21</v>
      </c>
      <c r="N886">
        <v>37</v>
      </c>
      <c r="O886">
        <v>2</v>
      </c>
      <c r="P886">
        <v>14.5</v>
      </c>
      <c r="Q886" t="s">
        <v>31</v>
      </c>
      <c r="R886">
        <v>0</v>
      </c>
      <c r="S886">
        <v>22</v>
      </c>
      <c r="T886">
        <v>0</v>
      </c>
      <c r="U886">
        <v>1</v>
      </c>
      <c r="V886">
        <v>1</v>
      </c>
      <c r="W886" t="s">
        <v>39</v>
      </c>
      <c r="X886">
        <v>0</v>
      </c>
      <c r="Y886" t="str">
        <f t="shared" si="13"/>
        <v>Low</v>
      </c>
    </row>
    <row r="887" spans="1:25">
      <c r="A887" t="s">
        <v>1000</v>
      </c>
      <c r="B887" s="1">
        <v>44936</v>
      </c>
      <c r="C887" s="2">
        <v>0.42708333333333331</v>
      </c>
      <c r="D887" t="s">
        <v>41</v>
      </c>
      <c r="E887" t="s">
        <v>126</v>
      </c>
      <c r="F887" t="s">
        <v>142</v>
      </c>
      <c r="G887" t="s">
        <v>86</v>
      </c>
      <c r="H887" s="2">
        <v>0.42986111111111114</v>
      </c>
      <c r="I887" s="2">
        <v>0.4513888888888889</v>
      </c>
      <c r="J887">
        <v>-2</v>
      </c>
      <c r="K887">
        <v>21</v>
      </c>
      <c r="L887" t="s">
        <v>45</v>
      </c>
      <c r="M887">
        <v>10.8</v>
      </c>
      <c r="N887">
        <v>45</v>
      </c>
      <c r="O887">
        <v>59</v>
      </c>
      <c r="P887">
        <v>0.3</v>
      </c>
      <c r="Q887" t="s">
        <v>31</v>
      </c>
      <c r="R887">
        <v>0</v>
      </c>
      <c r="S887">
        <v>54</v>
      </c>
      <c r="T887">
        <v>0</v>
      </c>
      <c r="U887">
        <v>0</v>
      </c>
      <c r="V887">
        <v>1</v>
      </c>
      <c r="W887" t="s">
        <v>55</v>
      </c>
      <c r="X887">
        <v>1</v>
      </c>
      <c r="Y887" t="str">
        <f t="shared" si="13"/>
        <v>Medium</v>
      </c>
    </row>
    <row r="888" spans="1:25">
      <c r="A888" t="s">
        <v>1001</v>
      </c>
      <c r="B888" s="1">
        <v>44936</v>
      </c>
      <c r="C888" s="2">
        <v>0.4375</v>
      </c>
      <c r="D888" t="s">
        <v>41</v>
      </c>
      <c r="E888" t="s">
        <v>130</v>
      </c>
      <c r="F888" t="s">
        <v>65</v>
      </c>
      <c r="G888" t="s">
        <v>99</v>
      </c>
      <c r="H888" s="2">
        <v>0.44027777777777777</v>
      </c>
      <c r="I888" s="2">
        <v>0.47222222222222221</v>
      </c>
      <c r="J888">
        <v>11</v>
      </c>
      <c r="K888">
        <v>9</v>
      </c>
      <c r="L888" t="s">
        <v>38</v>
      </c>
      <c r="M888">
        <v>19.3</v>
      </c>
      <c r="N888">
        <v>81</v>
      </c>
      <c r="O888">
        <v>28</v>
      </c>
      <c r="P888">
        <v>3</v>
      </c>
      <c r="Q888" t="s">
        <v>31</v>
      </c>
      <c r="R888">
        <v>0</v>
      </c>
      <c r="S888">
        <v>31</v>
      </c>
      <c r="T888">
        <v>0</v>
      </c>
      <c r="U888">
        <v>0</v>
      </c>
      <c r="V888">
        <v>1</v>
      </c>
      <c r="W888" t="s">
        <v>55</v>
      </c>
      <c r="X888">
        <v>1</v>
      </c>
      <c r="Y888" t="str">
        <f t="shared" si="13"/>
        <v>Low</v>
      </c>
    </row>
    <row r="889" spans="1:25">
      <c r="A889" t="s">
        <v>1002</v>
      </c>
      <c r="B889" s="1">
        <v>44936</v>
      </c>
      <c r="C889" s="2">
        <v>0.44791666666666669</v>
      </c>
      <c r="D889" t="s">
        <v>74</v>
      </c>
      <c r="E889" t="s">
        <v>130</v>
      </c>
      <c r="F889" t="s">
        <v>83</v>
      </c>
      <c r="G889" t="s">
        <v>62</v>
      </c>
      <c r="H889" s="2">
        <v>0.45</v>
      </c>
      <c r="I889" s="2">
        <v>0.47847222222222224</v>
      </c>
      <c r="J889">
        <v>0</v>
      </c>
      <c r="K889">
        <v>18</v>
      </c>
      <c r="L889" t="s">
        <v>30</v>
      </c>
      <c r="M889">
        <v>-3.4</v>
      </c>
      <c r="N889">
        <v>55</v>
      </c>
      <c r="O889">
        <v>1</v>
      </c>
      <c r="P889">
        <v>4.9000000000000004</v>
      </c>
      <c r="Q889" t="s">
        <v>71</v>
      </c>
      <c r="R889">
        <v>0</v>
      </c>
      <c r="S889">
        <v>83</v>
      </c>
      <c r="T889">
        <v>0</v>
      </c>
      <c r="U889">
        <v>0</v>
      </c>
      <c r="V889">
        <v>1</v>
      </c>
      <c r="W889" t="s">
        <v>39</v>
      </c>
      <c r="X889">
        <v>1</v>
      </c>
      <c r="Y889" t="str">
        <f t="shared" si="13"/>
        <v>High</v>
      </c>
    </row>
    <row r="890" spans="1:25">
      <c r="A890" t="s">
        <v>1003</v>
      </c>
      <c r="B890" s="1">
        <v>44936</v>
      </c>
      <c r="C890" s="2">
        <v>0.45833333333333331</v>
      </c>
      <c r="D890" t="s">
        <v>34</v>
      </c>
      <c r="E890" t="s">
        <v>89</v>
      </c>
      <c r="F890" t="s">
        <v>109</v>
      </c>
      <c r="G890" t="s">
        <v>154</v>
      </c>
      <c r="H890" s="2">
        <v>0.45833333333333331</v>
      </c>
      <c r="I890" s="2">
        <v>0.49444444444444446</v>
      </c>
      <c r="J890">
        <v>7</v>
      </c>
      <c r="K890">
        <v>13</v>
      </c>
      <c r="L890" t="s">
        <v>77</v>
      </c>
      <c r="M890">
        <v>25.5</v>
      </c>
      <c r="N890">
        <v>37</v>
      </c>
      <c r="O890">
        <v>28</v>
      </c>
      <c r="P890">
        <v>15.5</v>
      </c>
      <c r="Q890" t="s">
        <v>31</v>
      </c>
      <c r="R890">
        <v>0</v>
      </c>
      <c r="S890">
        <v>27</v>
      </c>
      <c r="T890">
        <v>0</v>
      </c>
      <c r="U890">
        <v>0</v>
      </c>
      <c r="V890">
        <v>1</v>
      </c>
      <c r="W890" t="s">
        <v>72</v>
      </c>
      <c r="X890">
        <v>1</v>
      </c>
      <c r="Y890" t="str">
        <f t="shared" si="13"/>
        <v>Low</v>
      </c>
    </row>
    <row r="891" spans="1:25">
      <c r="A891" t="s">
        <v>1004</v>
      </c>
      <c r="B891" s="1">
        <v>44936</v>
      </c>
      <c r="C891" s="2">
        <v>0.46875</v>
      </c>
      <c r="D891" t="s">
        <v>41</v>
      </c>
      <c r="E891" t="s">
        <v>68</v>
      </c>
      <c r="F891" t="s">
        <v>65</v>
      </c>
      <c r="G891" t="s">
        <v>49</v>
      </c>
      <c r="H891" s="2">
        <v>0.47013888888888888</v>
      </c>
      <c r="I891" s="2">
        <v>0.4909722222222222</v>
      </c>
      <c r="J891">
        <v>16</v>
      </c>
      <c r="K891">
        <v>18</v>
      </c>
      <c r="L891" t="s">
        <v>45</v>
      </c>
      <c r="M891">
        <v>-1</v>
      </c>
      <c r="N891">
        <v>74</v>
      </c>
      <c r="O891">
        <v>48</v>
      </c>
      <c r="P891">
        <v>1.3</v>
      </c>
      <c r="Q891" t="s">
        <v>101</v>
      </c>
      <c r="R891">
        <v>0</v>
      </c>
      <c r="S891">
        <v>7</v>
      </c>
      <c r="T891">
        <v>0</v>
      </c>
      <c r="U891">
        <v>0</v>
      </c>
      <c r="V891">
        <v>1</v>
      </c>
      <c r="W891" t="s">
        <v>32</v>
      </c>
      <c r="X891">
        <v>1</v>
      </c>
      <c r="Y891" t="str">
        <f t="shared" si="13"/>
        <v>Low</v>
      </c>
    </row>
    <row r="892" spans="1:25">
      <c r="A892" t="s">
        <v>1005</v>
      </c>
      <c r="B892" s="1">
        <v>44936</v>
      </c>
      <c r="C892" s="2">
        <v>0.47916666666666669</v>
      </c>
      <c r="D892" t="s">
        <v>26</v>
      </c>
      <c r="E892" t="s">
        <v>93</v>
      </c>
      <c r="F892" t="s">
        <v>65</v>
      </c>
      <c r="G892" t="s">
        <v>58</v>
      </c>
      <c r="H892" s="2">
        <v>0.47916666666666669</v>
      </c>
      <c r="I892" s="2">
        <v>0.49930555555555556</v>
      </c>
      <c r="J892">
        <v>16</v>
      </c>
      <c r="K892">
        <v>4</v>
      </c>
      <c r="L892" t="s">
        <v>30</v>
      </c>
      <c r="M892">
        <v>10.9</v>
      </c>
      <c r="N892">
        <v>48</v>
      </c>
      <c r="O892">
        <v>35</v>
      </c>
      <c r="P892">
        <v>3.8</v>
      </c>
      <c r="Q892" t="s">
        <v>71</v>
      </c>
      <c r="R892">
        <v>0</v>
      </c>
      <c r="S892">
        <v>2</v>
      </c>
      <c r="T892">
        <v>0</v>
      </c>
      <c r="U892">
        <v>0</v>
      </c>
      <c r="V892">
        <v>1</v>
      </c>
      <c r="W892" t="s">
        <v>72</v>
      </c>
      <c r="X892">
        <v>0</v>
      </c>
      <c r="Y892" t="str">
        <f t="shared" si="13"/>
        <v>Low</v>
      </c>
    </row>
    <row r="893" spans="1:25">
      <c r="A893" t="s">
        <v>1006</v>
      </c>
      <c r="B893" s="1">
        <v>44936</v>
      </c>
      <c r="C893" s="2">
        <v>0.48958333333333331</v>
      </c>
      <c r="D893" t="s">
        <v>26</v>
      </c>
      <c r="E893" t="s">
        <v>141</v>
      </c>
      <c r="F893" t="s">
        <v>154</v>
      </c>
      <c r="G893" t="s">
        <v>154</v>
      </c>
      <c r="H893" s="2">
        <v>0.4909722222222222</v>
      </c>
      <c r="I893" s="2">
        <v>0.51944444444444449</v>
      </c>
      <c r="J893">
        <v>16</v>
      </c>
      <c r="K893">
        <v>14</v>
      </c>
      <c r="L893" t="s">
        <v>45</v>
      </c>
      <c r="M893">
        <v>-0.9</v>
      </c>
      <c r="N893">
        <v>46</v>
      </c>
      <c r="O893">
        <v>33</v>
      </c>
      <c r="P893">
        <v>7.2</v>
      </c>
      <c r="Q893" t="s">
        <v>71</v>
      </c>
      <c r="R893">
        <v>10000</v>
      </c>
      <c r="S893">
        <v>93</v>
      </c>
      <c r="T893">
        <v>0</v>
      </c>
      <c r="U893">
        <v>0</v>
      </c>
      <c r="V893">
        <v>1</v>
      </c>
      <c r="W893" t="s">
        <v>72</v>
      </c>
      <c r="X893">
        <v>1</v>
      </c>
      <c r="Y893" t="str">
        <f t="shared" si="13"/>
        <v>High</v>
      </c>
    </row>
    <row r="894" spans="1:25">
      <c r="A894" t="s">
        <v>1007</v>
      </c>
      <c r="B894" s="1">
        <v>44936</v>
      </c>
      <c r="C894" s="2">
        <v>0.5</v>
      </c>
      <c r="D894" t="s">
        <v>41</v>
      </c>
      <c r="E894" t="s">
        <v>52</v>
      </c>
      <c r="F894" t="s">
        <v>87</v>
      </c>
      <c r="G894" t="s">
        <v>148</v>
      </c>
      <c r="H894" s="2">
        <v>0.50069444444444444</v>
      </c>
      <c r="I894" s="2">
        <v>0.52013888888888893</v>
      </c>
      <c r="J894">
        <v>1</v>
      </c>
      <c r="K894">
        <v>20</v>
      </c>
      <c r="L894" t="s">
        <v>84</v>
      </c>
      <c r="M894">
        <v>28.5</v>
      </c>
      <c r="N894">
        <v>94</v>
      </c>
      <c r="O894">
        <v>36</v>
      </c>
      <c r="P894">
        <v>0.2</v>
      </c>
      <c r="Q894" t="s">
        <v>101</v>
      </c>
      <c r="R894">
        <v>0</v>
      </c>
      <c r="S894">
        <v>88</v>
      </c>
      <c r="T894">
        <v>0</v>
      </c>
      <c r="U894">
        <v>0</v>
      </c>
      <c r="V894">
        <v>1</v>
      </c>
      <c r="W894" t="s">
        <v>72</v>
      </c>
      <c r="X894">
        <v>1</v>
      </c>
      <c r="Y894" t="str">
        <f t="shared" si="13"/>
        <v>High</v>
      </c>
    </row>
    <row r="895" spans="1:25">
      <c r="A895" t="s">
        <v>1008</v>
      </c>
      <c r="B895" s="1">
        <v>44936</v>
      </c>
      <c r="C895" s="2">
        <v>0.51041666666666663</v>
      </c>
      <c r="D895" t="s">
        <v>41</v>
      </c>
      <c r="E895" t="s">
        <v>141</v>
      </c>
      <c r="F895" t="s">
        <v>43</v>
      </c>
      <c r="G895" t="s">
        <v>90</v>
      </c>
      <c r="H895" s="2">
        <v>0.51111111111111107</v>
      </c>
      <c r="I895" s="2">
        <v>0.54513888888888884</v>
      </c>
      <c r="J895">
        <v>17</v>
      </c>
      <c r="K895">
        <v>-2</v>
      </c>
      <c r="L895" t="s">
        <v>38</v>
      </c>
      <c r="M895">
        <v>17</v>
      </c>
      <c r="N895">
        <v>58</v>
      </c>
      <c r="O895">
        <v>41</v>
      </c>
      <c r="P895">
        <v>15.2</v>
      </c>
      <c r="Q895" t="s">
        <v>101</v>
      </c>
      <c r="R895">
        <v>0</v>
      </c>
      <c r="S895">
        <v>52</v>
      </c>
      <c r="T895">
        <v>0</v>
      </c>
      <c r="U895">
        <v>0</v>
      </c>
      <c r="V895">
        <v>1</v>
      </c>
      <c r="W895" t="s">
        <v>55</v>
      </c>
      <c r="X895">
        <v>0</v>
      </c>
      <c r="Y895" t="str">
        <f t="shared" si="13"/>
        <v>Medium</v>
      </c>
    </row>
    <row r="896" spans="1:25">
      <c r="A896" t="s">
        <v>1009</v>
      </c>
      <c r="B896" s="1">
        <v>44936</v>
      </c>
      <c r="C896" s="2">
        <v>0.52083333333333337</v>
      </c>
      <c r="D896" t="s">
        <v>34</v>
      </c>
      <c r="E896" t="s">
        <v>157</v>
      </c>
      <c r="F896" t="s">
        <v>95</v>
      </c>
      <c r="G896" t="s">
        <v>109</v>
      </c>
      <c r="H896" s="2">
        <v>0.52361111111111114</v>
      </c>
      <c r="I896" s="2">
        <v>0.54305555555555551</v>
      </c>
      <c r="J896">
        <v>16</v>
      </c>
      <c r="K896">
        <v>-2</v>
      </c>
      <c r="L896" t="s">
        <v>45</v>
      </c>
      <c r="M896">
        <v>22.6</v>
      </c>
      <c r="N896">
        <v>43</v>
      </c>
      <c r="O896">
        <v>0</v>
      </c>
      <c r="P896">
        <v>11.2</v>
      </c>
      <c r="Q896" t="s">
        <v>31</v>
      </c>
      <c r="R896">
        <v>0</v>
      </c>
      <c r="S896">
        <v>93</v>
      </c>
      <c r="T896">
        <v>0</v>
      </c>
      <c r="U896">
        <v>0</v>
      </c>
      <c r="V896">
        <v>1</v>
      </c>
      <c r="W896" t="s">
        <v>32</v>
      </c>
      <c r="X896">
        <v>0</v>
      </c>
      <c r="Y896" t="str">
        <f t="shared" si="13"/>
        <v>High</v>
      </c>
    </row>
    <row r="897" spans="1:25">
      <c r="A897" t="s">
        <v>1010</v>
      </c>
      <c r="B897" s="1">
        <v>44936</v>
      </c>
      <c r="C897" s="2">
        <v>0.53125</v>
      </c>
      <c r="D897" t="s">
        <v>34</v>
      </c>
      <c r="E897" t="s">
        <v>27</v>
      </c>
      <c r="F897" t="s">
        <v>36</v>
      </c>
      <c r="G897" t="s">
        <v>29</v>
      </c>
      <c r="H897" s="2">
        <v>0.53194444444444444</v>
      </c>
      <c r="I897" s="2">
        <v>0.54652777777777772</v>
      </c>
      <c r="J897">
        <v>7</v>
      </c>
      <c r="K897">
        <v>23</v>
      </c>
      <c r="L897" t="s">
        <v>38</v>
      </c>
      <c r="M897">
        <v>22.3</v>
      </c>
      <c r="N897">
        <v>46</v>
      </c>
      <c r="O897">
        <v>59</v>
      </c>
      <c r="P897">
        <v>18</v>
      </c>
      <c r="Q897" t="s">
        <v>31</v>
      </c>
      <c r="R897">
        <v>0</v>
      </c>
      <c r="S897">
        <v>28</v>
      </c>
      <c r="T897">
        <v>0</v>
      </c>
      <c r="U897">
        <v>1</v>
      </c>
      <c r="V897">
        <v>1</v>
      </c>
      <c r="W897" t="s">
        <v>55</v>
      </c>
      <c r="X897">
        <v>1</v>
      </c>
      <c r="Y897" t="str">
        <f t="shared" si="13"/>
        <v>Low</v>
      </c>
    </row>
    <row r="898" spans="1:25">
      <c r="A898" t="s">
        <v>1011</v>
      </c>
      <c r="B898" s="1">
        <v>44936</v>
      </c>
      <c r="C898" s="2">
        <v>0.54166666666666663</v>
      </c>
      <c r="D898" t="s">
        <v>74</v>
      </c>
      <c r="E898" t="s">
        <v>157</v>
      </c>
      <c r="F898" t="s">
        <v>76</v>
      </c>
      <c r="G898" t="s">
        <v>75</v>
      </c>
      <c r="H898" s="2">
        <v>0.5444444444444444</v>
      </c>
      <c r="I898" s="2">
        <v>0.57847222222222228</v>
      </c>
      <c r="J898">
        <v>-1</v>
      </c>
      <c r="K898">
        <v>10</v>
      </c>
      <c r="L898" t="s">
        <v>54</v>
      </c>
      <c r="M898">
        <v>28.7</v>
      </c>
      <c r="N898">
        <v>42</v>
      </c>
      <c r="O898">
        <v>25</v>
      </c>
      <c r="P898">
        <v>0.6</v>
      </c>
      <c r="Q898" t="s">
        <v>46</v>
      </c>
      <c r="R898">
        <v>0</v>
      </c>
      <c r="S898">
        <v>93</v>
      </c>
      <c r="T898">
        <v>0</v>
      </c>
      <c r="U898">
        <v>0</v>
      </c>
      <c r="V898">
        <v>1</v>
      </c>
      <c r="W898" t="s">
        <v>55</v>
      </c>
      <c r="X898">
        <v>1</v>
      </c>
      <c r="Y898" t="str">
        <f t="shared" ref="Y898:Y961" si="14">IF(S898&lt;=33,"Low",IF(S898&lt;=66,"Medium","High"))</f>
        <v>High</v>
      </c>
    </row>
    <row r="899" spans="1:25">
      <c r="A899" t="s">
        <v>1012</v>
      </c>
      <c r="B899" s="1">
        <v>44936</v>
      </c>
      <c r="C899" s="2">
        <v>0.55208333333333337</v>
      </c>
      <c r="D899" t="s">
        <v>34</v>
      </c>
      <c r="E899" t="s">
        <v>93</v>
      </c>
      <c r="F899" t="s">
        <v>105</v>
      </c>
      <c r="G899" t="s">
        <v>75</v>
      </c>
      <c r="H899" s="2">
        <v>0.55208333333333337</v>
      </c>
      <c r="I899" s="2">
        <v>0.58472222222222225</v>
      </c>
      <c r="J899">
        <v>1</v>
      </c>
      <c r="K899">
        <v>8</v>
      </c>
      <c r="L899" t="s">
        <v>45</v>
      </c>
      <c r="M899">
        <v>0.3</v>
      </c>
      <c r="N899">
        <v>92</v>
      </c>
      <c r="O899">
        <v>0</v>
      </c>
      <c r="P899">
        <v>5.4</v>
      </c>
      <c r="Q899" t="s">
        <v>63</v>
      </c>
      <c r="R899">
        <v>0</v>
      </c>
      <c r="S899">
        <v>97</v>
      </c>
      <c r="T899">
        <v>0</v>
      </c>
      <c r="U899">
        <v>1</v>
      </c>
      <c r="V899">
        <v>1</v>
      </c>
      <c r="W899" t="s">
        <v>55</v>
      </c>
      <c r="X899">
        <v>1</v>
      </c>
      <c r="Y899" t="str">
        <f t="shared" si="14"/>
        <v>High</v>
      </c>
    </row>
    <row r="900" spans="1:25">
      <c r="A900" t="s">
        <v>1013</v>
      </c>
      <c r="B900" s="1">
        <v>44936</v>
      </c>
      <c r="C900" s="2">
        <v>0.5625</v>
      </c>
      <c r="D900" t="s">
        <v>26</v>
      </c>
      <c r="E900" t="s">
        <v>35</v>
      </c>
      <c r="F900" t="s">
        <v>154</v>
      </c>
      <c r="G900" t="s">
        <v>100</v>
      </c>
      <c r="H900" s="2">
        <v>0.56319444444444444</v>
      </c>
      <c r="I900" s="2">
        <v>0.58888888888888891</v>
      </c>
      <c r="J900">
        <v>3</v>
      </c>
      <c r="K900">
        <v>28</v>
      </c>
      <c r="L900" t="s">
        <v>84</v>
      </c>
      <c r="M900">
        <v>21.4</v>
      </c>
      <c r="N900">
        <v>62</v>
      </c>
      <c r="O900">
        <v>58</v>
      </c>
      <c r="P900">
        <v>14.6</v>
      </c>
      <c r="Q900" t="s">
        <v>71</v>
      </c>
      <c r="R900">
        <v>0</v>
      </c>
      <c r="S900">
        <v>88</v>
      </c>
      <c r="T900">
        <v>0</v>
      </c>
      <c r="U900">
        <v>0</v>
      </c>
      <c r="V900">
        <v>1</v>
      </c>
      <c r="W900" t="s">
        <v>32</v>
      </c>
      <c r="X900">
        <v>1</v>
      </c>
      <c r="Y900" t="str">
        <f t="shared" si="14"/>
        <v>High</v>
      </c>
    </row>
    <row r="901" spans="1:25">
      <c r="A901" t="s">
        <v>1014</v>
      </c>
      <c r="B901" s="1">
        <v>44936</v>
      </c>
      <c r="C901" s="2">
        <v>0.57291666666666663</v>
      </c>
      <c r="D901" t="s">
        <v>26</v>
      </c>
      <c r="E901" t="s">
        <v>93</v>
      </c>
      <c r="F901" t="s">
        <v>83</v>
      </c>
      <c r="G901" t="s">
        <v>100</v>
      </c>
      <c r="H901" s="2">
        <v>0.57291666666666663</v>
      </c>
      <c r="I901" s="2">
        <v>0.6020833333333333</v>
      </c>
      <c r="J901">
        <v>4</v>
      </c>
      <c r="K901">
        <v>24</v>
      </c>
      <c r="L901" t="s">
        <v>84</v>
      </c>
      <c r="M901">
        <v>18</v>
      </c>
      <c r="N901">
        <v>58</v>
      </c>
      <c r="O901">
        <v>57</v>
      </c>
      <c r="P901">
        <v>13.5</v>
      </c>
      <c r="Q901" t="s">
        <v>31</v>
      </c>
      <c r="R901">
        <v>0</v>
      </c>
      <c r="S901">
        <v>80</v>
      </c>
      <c r="T901">
        <v>0</v>
      </c>
      <c r="U901">
        <v>0</v>
      </c>
      <c r="V901">
        <v>1</v>
      </c>
      <c r="W901" t="s">
        <v>39</v>
      </c>
      <c r="X901">
        <v>1</v>
      </c>
      <c r="Y901" t="str">
        <f t="shared" si="14"/>
        <v>High</v>
      </c>
    </row>
    <row r="902" spans="1:25">
      <c r="A902" t="s">
        <v>1015</v>
      </c>
      <c r="B902" s="1">
        <v>44936</v>
      </c>
      <c r="C902" s="2">
        <v>0.58333333333333337</v>
      </c>
      <c r="D902" t="s">
        <v>41</v>
      </c>
      <c r="E902" t="s">
        <v>111</v>
      </c>
      <c r="F902" t="s">
        <v>194</v>
      </c>
      <c r="G902" t="s">
        <v>75</v>
      </c>
      <c r="H902" s="2">
        <v>0.58333333333333337</v>
      </c>
      <c r="I902" s="2">
        <v>0.61875000000000002</v>
      </c>
      <c r="J902">
        <v>13</v>
      </c>
      <c r="K902">
        <v>24</v>
      </c>
      <c r="L902" t="s">
        <v>30</v>
      </c>
      <c r="M902">
        <v>-3.8</v>
      </c>
      <c r="N902">
        <v>66</v>
      </c>
      <c r="O902">
        <v>3</v>
      </c>
      <c r="P902">
        <v>4.9000000000000004</v>
      </c>
      <c r="Q902" t="s">
        <v>71</v>
      </c>
      <c r="R902">
        <v>0</v>
      </c>
      <c r="S902">
        <v>58</v>
      </c>
      <c r="T902">
        <v>0</v>
      </c>
      <c r="U902">
        <v>1</v>
      </c>
      <c r="V902">
        <v>1</v>
      </c>
      <c r="W902" t="s">
        <v>55</v>
      </c>
      <c r="X902">
        <v>1</v>
      </c>
      <c r="Y902" t="str">
        <f t="shared" si="14"/>
        <v>Medium</v>
      </c>
    </row>
    <row r="903" spans="1:25">
      <c r="A903" t="s">
        <v>1016</v>
      </c>
      <c r="B903" s="1">
        <v>44936</v>
      </c>
      <c r="C903" s="2">
        <v>0.59375</v>
      </c>
      <c r="D903" t="s">
        <v>34</v>
      </c>
      <c r="E903" t="s">
        <v>126</v>
      </c>
      <c r="F903" t="s">
        <v>91</v>
      </c>
      <c r="G903" t="s">
        <v>37</v>
      </c>
      <c r="H903" s="2">
        <v>0.59444444444444444</v>
      </c>
      <c r="I903" s="2">
        <v>0.61597222222222225</v>
      </c>
      <c r="J903">
        <v>4</v>
      </c>
      <c r="K903">
        <v>21</v>
      </c>
      <c r="L903" t="s">
        <v>84</v>
      </c>
      <c r="M903">
        <v>3.1</v>
      </c>
      <c r="N903">
        <v>75</v>
      </c>
      <c r="O903">
        <v>38</v>
      </c>
      <c r="P903">
        <v>11.9</v>
      </c>
      <c r="Q903" t="s">
        <v>31</v>
      </c>
      <c r="R903">
        <v>10000</v>
      </c>
      <c r="S903">
        <v>23</v>
      </c>
      <c r="T903">
        <v>1</v>
      </c>
      <c r="U903">
        <v>0</v>
      </c>
      <c r="V903">
        <v>1</v>
      </c>
      <c r="W903" t="s">
        <v>55</v>
      </c>
      <c r="X903">
        <v>1</v>
      </c>
      <c r="Y903" t="str">
        <f t="shared" si="14"/>
        <v>Low</v>
      </c>
    </row>
    <row r="904" spans="1:25">
      <c r="A904" t="s">
        <v>1017</v>
      </c>
      <c r="B904" s="1">
        <v>44936</v>
      </c>
      <c r="C904" s="2">
        <v>0.60416666666666663</v>
      </c>
      <c r="D904" t="s">
        <v>74</v>
      </c>
      <c r="E904" t="s">
        <v>79</v>
      </c>
      <c r="F904" t="s">
        <v>168</v>
      </c>
      <c r="G904" t="s">
        <v>163</v>
      </c>
      <c r="H904" s="2">
        <v>0.60416666666666663</v>
      </c>
      <c r="I904" s="2">
        <v>0.64027777777777772</v>
      </c>
      <c r="J904">
        <v>15</v>
      </c>
      <c r="K904">
        <v>0</v>
      </c>
      <c r="L904" t="s">
        <v>38</v>
      </c>
      <c r="M904">
        <v>5.7</v>
      </c>
      <c r="N904">
        <v>53</v>
      </c>
      <c r="O904">
        <v>13</v>
      </c>
      <c r="P904">
        <v>15.9</v>
      </c>
      <c r="Q904" t="s">
        <v>63</v>
      </c>
      <c r="R904">
        <v>0</v>
      </c>
      <c r="S904">
        <v>37</v>
      </c>
      <c r="T904">
        <v>0</v>
      </c>
      <c r="U904">
        <v>0</v>
      </c>
      <c r="V904">
        <v>1</v>
      </c>
      <c r="W904" t="s">
        <v>55</v>
      </c>
      <c r="X904">
        <v>0</v>
      </c>
      <c r="Y904" t="str">
        <f t="shared" si="14"/>
        <v>Medium</v>
      </c>
    </row>
    <row r="905" spans="1:25">
      <c r="A905" t="s">
        <v>1018</v>
      </c>
      <c r="B905" s="1">
        <v>44936</v>
      </c>
      <c r="C905" s="2">
        <v>0.61458333333333337</v>
      </c>
      <c r="D905" t="s">
        <v>26</v>
      </c>
      <c r="E905" t="s">
        <v>68</v>
      </c>
      <c r="F905" t="s">
        <v>151</v>
      </c>
      <c r="G905" t="s">
        <v>128</v>
      </c>
      <c r="H905" s="2">
        <v>0.61527777777777781</v>
      </c>
      <c r="I905" s="2">
        <v>0.65138888888888891</v>
      </c>
      <c r="J905">
        <v>17</v>
      </c>
      <c r="K905">
        <v>22</v>
      </c>
      <c r="L905" t="s">
        <v>54</v>
      </c>
      <c r="M905">
        <v>-2.1</v>
      </c>
      <c r="N905">
        <v>43</v>
      </c>
      <c r="O905">
        <v>45</v>
      </c>
      <c r="P905">
        <v>0.7</v>
      </c>
      <c r="Q905" t="s">
        <v>31</v>
      </c>
      <c r="R905">
        <v>0</v>
      </c>
      <c r="S905">
        <v>27</v>
      </c>
      <c r="T905">
        <v>0</v>
      </c>
      <c r="U905">
        <v>0</v>
      </c>
      <c r="V905">
        <v>1</v>
      </c>
      <c r="W905" t="s">
        <v>32</v>
      </c>
      <c r="X905">
        <v>1</v>
      </c>
      <c r="Y905" t="str">
        <f t="shared" si="14"/>
        <v>Low</v>
      </c>
    </row>
    <row r="906" spans="1:25">
      <c r="A906" t="s">
        <v>1019</v>
      </c>
      <c r="B906" s="1">
        <v>44936</v>
      </c>
      <c r="C906" s="2">
        <v>0.625</v>
      </c>
      <c r="D906" t="s">
        <v>26</v>
      </c>
      <c r="E906" t="s">
        <v>147</v>
      </c>
      <c r="F906" t="s">
        <v>81</v>
      </c>
      <c r="G906" t="s">
        <v>100</v>
      </c>
      <c r="H906" s="2">
        <v>0.62569444444444444</v>
      </c>
      <c r="I906" s="2">
        <v>0.66111111111111109</v>
      </c>
      <c r="J906">
        <v>19</v>
      </c>
      <c r="K906">
        <v>-1</v>
      </c>
      <c r="L906" t="s">
        <v>84</v>
      </c>
      <c r="M906">
        <v>9.1999999999999993</v>
      </c>
      <c r="N906">
        <v>34</v>
      </c>
      <c r="O906">
        <v>17</v>
      </c>
      <c r="P906">
        <v>14.4</v>
      </c>
      <c r="Q906" t="s">
        <v>101</v>
      </c>
      <c r="R906">
        <v>0</v>
      </c>
      <c r="S906">
        <v>96</v>
      </c>
      <c r="T906">
        <v>0</v>
      </c>
      <c r="U906">
        <v>1</v>
      </c>
      <c r="V906">
        <v>1</v>
      </c>
      <c r="W906" t="s">
        <v>32</v>
      </c>
      <c r="X906">
        <v>0</v>
      </c>
      <c r="Y906" t="str">
        <f t="shared" si="14"/>
        <v>High</v>
      </c>
    </row>
    <row r="907" spans="1:25">
      <c r="A907" t="s">
        <v>1020</v>
      </c>
      <c r="B907" s="1">
        <v>44936</v>
      </c>
      <c r="C907" s="2">
        <v>0.63541666666666663</v>
      </c>
      <c r="D907" t="s">
        <v>74</v>
      </c>
      <c r="E907" t="s">
        <v>141</v>
      </c>
      <c r="F907" t="s">
        <v>113</v>
      </c>
      <c r="G907" t="s">
        <v>50</v>
      </c>
      <c r="H907" s="2">
        <v>0.63611111111111107</v>
      </c>
      <c r="I907" s="2">
        <v>0.65208333333333335</v>
      </c>
      <c r="J907">
        <v>16</v>
      </c>
      <c r="K907">
        <v>-3</v>
      </c>
      <c r="L907" t="s">
        <v>45</v>
      </c>
      <c r="M907">
        <v>-3.9</v>
      </c>
      <c r="N907">
        <v>82</v>
      </c>
      <c r="O907">
        <v>33</v>
      </c>
      <c r="P907">
        <v>5</v>
      </c>
      <c r="Q907" t="s">
        <v>31</v>
      </c>
      <c r="R907">
        <v>0</v>
      </c>
      <c r="S907">
        <v>61</v>
      </c>
      <c r="T907">
        <v>0</v>
      </c>
      <c r="U907">
        <v>0</v>
      </c>
      <c r="V907">
        <v>1</v>
      </c>
      <c r="W907" t="s">
        <v>72</v>
      </c>
      <c r="X907">
        <v>0</v>
      </c>
      <c r="Y907" t="str">
        <f t="shared" si="14"/>
        <v>Medium</v>
      </c>
    </row>
    <row r="908" spans="1:25">
      <c r="A908" t="s">
        <v>1021</v>
      </c>
      <c r="B908" s="1">
        <v>44936</v>
      </c>
      <c r="C908" s="2">
        <v>0.64583333333333337</v>
      </c>
      <c r="D908" t="s">
        <v>74</v>
      </c>
      <c r="E908" t="s">
        <v>48</v>
      </c>
      <c r="F908" t="s">
        <v>123</v>
      </c>
      <c r="G908" t="s">
        <v>75</v>
      </c>
      <c r="H908" s="2">
        <v>0.64722222222222225</v>
      </c>
      <c r="I908" s="2">
        <v>0.66111111111111109</v>
      </c>
      <c r="J908">
        <v>6</v>
      </c>
      <c r="K908">
        <v>13</v>
      </c>
      <c r="L908" t="s">
        <v>84</v>
      </c>
      <c r="M908">
        <v>17.100000000000001</v>
      </c>
      <c r="N908">
        <v>59</v>
      </c>
      <c r="O908">
        <v>0</v>
      </c>
      <c r="P908">
        <v>19</v>
      </c>
      <c r="Q908" t="s">
        <v>101</v>
      </c>
      <c r="R908">
        <v>0</v>
      </c>
      <c r="S908">
        <v>99</v>
      </c>
      <c r="T908">
        <v>0</v>
      </c>
      <c r="U908">
        <v>0</v>
      </c>
      <c r="V908">
        <v>1</v>
      </c>
      <c r="W908" t="s">
        <v>55</v>
      </c>
      <c r="X908">
        <v>1</v>
      </c>
      <c r="Y908" t="str">
        <f t="shared" si="14"/>
        <v>High</v>
      </c>
    </row>
    <row r="909" spans="1:25">
      <c r="A909" t="s">
        <v>1022</v>
      </c>
      <c r="B909" s="1">
        <v>44936</v>
      </c>
      <c r="C909" s="2">
        <v>0.65625</v>
      </c>
      <c r="D909" t="s">
        <v>26</v>
      </c>
      <c r="E909" t="s">
        <v>48</v>
      </c>
      <c r="F909" t="s">
        <v>107</v>
      </c>
      <c r="G909" t="s">
        <v>53</v>
      </c>
      <c r="H909" s="2">
        <v>0.65625</v>
      </c>
      <c r="I909" s="2">
        <v>0.6743055555555556</v>
      </c>
      <c r="J909">
        <v>17</v>
      </c>
      <c r="K909">
        <v>3</v>
      </c>
      <c r="L909" t="s">
        <v>54</v>
      </c>
      <c r="M909">
        <v>3.5</v>
      </c>
      <c r="N909">
        <v>89</v>
      </c>
      <c r="O909">
        <v>52</v>
      </c>
      <c r="P909">
        <v>10.8</v>
      </c>
      <c r="Q909" t="s">
        <v>31</v>
      </c>
      <c r="R909">
        <v>0</v>
      </c>
      <c r="S909">
        <v>50</v>
      </c>
      <c r="T909">
        <v>0</v>
      </c>
      <c r="U909">
        <v>0</v>
      </c>
      <c r="V909">
        <v>1</v>
      </c>
      <c r="W909" t="s">
        <v>55</v>
      </c>
      <c r="X909">
        <v>0</v>
      </c>
      <c r="Y909" t="str">
        <f t="shared" si="14"/>
        <v>Medium</v>
      </c>
    </row>
    <row r="910" spans="1:25">
      <c r="A910" t="s">
        <v>1023</v>
      </c>
      <c r="B910" s="1">
        <v>44936</v>
      </c>
      <c r="C910" s="2">
        <v>0.66666666666666663</v>
      </c>
      <c r="D910" t="s">
        <v>26</v>
      </c>
      <c r="E910" t="s">
        <v>61</v>
      </c>
      <c r="F910" t="s">
        <v>95</v>
      </c>
      <c r="G910" t="s">
        <v>144</v>
      </c>
      <c r="H910" s="2">
        <v>0.66874999999999996</v>
      </c>
      <c r="I910" s="2">
        <v>0.69652777777777775</v>
      </c>
      <c r="J910">
        <v>7</v>
      </c>
      <c r="K910">
        <v>1</v>
      </c>
      <c r="L910" t="s">
        <v>38</v>
      </c>
      <c r="M910">
        <v>6.5</v>
      </c>
      <c r="N910">
        <v>57</v>
      </c>
      <c r="O910">
        <v>21</v>
      </c>
      <c r="P910">
        <v>0.7</v>
      </c>
      <c r="Q910" t="s">
        <v>46</v>
      </c>
      <c r="R910">
        <v>0</v>
      </c>
      <c r="S910">
        <v>6</v>
      </c>
      <c r="T910">
        <v>0</v>
      </c>
      <c r="U910">
        <v>1</v>
      </c>
      <c r="V910">
        <v>1</v>
      </c>
      <c r="W910" t="s">
        <v>32</v>
      </c>
      <c r="X910">
        <v>0</v>
      </c>
      <c r="Y910" t="str">
        <f t="shared" si="14"/>
        <v>Low</v>
      </c>
    </row>
    <row r="911" spans="1:25">
      <c r="A911" t="s">
        <v>1024</v>
      </c>
      <c r="B911" s="1">
        <v>44936</v>
      </c>
      <c r="C911" s="2">
        <v>0.67708333333333337</v>
      </c>
      <c r="D911" t="s">
        <v>74</v>
      </c>
      <c r="E911" t="s">
        <v>48</v>
      </c>
      <c r="F911" t="s">
        <v>109</v>
      </c>
      <c r="G911" t="s">
        <v>154</v>
      </c>
      <c r="H911" s="2">
        <v>0.67777777777777781</v>
      </c>
      <c r="I911" s="2">
        <v>0.7055555555555556</v>
      </c>
      <c r="J911">
        <v>10</v>
      </c>
      <c r="K911">
        <v>15</v>
      </c>
      <c r="L911" t="s">
        <v>45</v>
      </c>
      <c r="M911">
        <v>31.4</v>
      </c>
      <c r="N911">
        <v>55</v>
      </c>
      <c r="O911">
        <v>15</v>
      </c>
      <c r="P911">
        <v>8.1</v>
      </c>
      <c r="Q911" t="s">
        <v>63</v>
      </c>
      <c r="R911">
        <v>0</v>
      </c>
      <c r="S911">
        <v>22</v>
      </c>
      <c r="T911">
        <v>1</v>
      </c>
      <c r="U911">
        <v>0</v>
      </c>
      <c r="V911">
        <v>1</v>
      </c>
      <c r="W911" t="s">
        <v>32</v>
      </c>
      <c r="X911">
        <v>1</v>
      </c>
      <c r="Y911" t="str">
        <f t="shared" si="14"/>
        <v>Low</v>
      </c>
    </row>
    <row r="912" spans="1:25">
      <c r="A912" t="s">
        <v>1025</v>
      </c>
      <c r="B912" s="1">
        <v>44936</v>
      </c>
      <c r="C912" s="2">
        <v>0.6875</v>
      </c>
      <c r="D912" t="s">
        <v>26</v>
      </c>
      <c r="E912" t="s">
        <v>141</v>
      </c>
      <c r="F912" t="s">
        <v>107</v>
      </c>
      <c r="G912" t="s">
        <v>185</v>
      </c>
      <c r="H912" s="2">
        <v>0.6875</v>
      </c>
      <c r="I912" s="2">
        <v>0.71666666666666667</v>
      </c>
      <c r="J912">
        <v>15</v>
      </c>
      <c r="K912">
        <v>12</v>
      </c>
      <c r="L912" t="s">
        <v>30</v>
      </c>
      <c r="M912">
        <v>15.1</v>
      </c>
      <c r="N912">
        <v>47</v>
      </c>
      <c r="O912">
        <v>21</v>
      </c>
      <c r="P912">
        <v>19.3</v>
      </c>
      <c r="Q912" t="s">
        <v>71</v>
      </c>
      <c r="R912">
        <v>0</v>
      </c>
      <c r="S912">
        <v>45</v>
      </c>
      <c r="T912">
        <v>0</v>
      </c>
      <c r="U912">
        <v>0</v>
      </c>
      <c r="V912">
        <v>1</v>
      </c>
      <c r="W912" t="s">
        <v>55</v>
      </c>
      <c r="X912">
        <v>1</v>
      </c>
      <c r="Y912" t="str">
        <f t="shared" si="14"/>
        <v>Medium</v>
      </c>
    </row>
    <row r="913" spans="1:25">
      <c r="A913" t="s">
        <v>1026</v>
      </c>
      <c r="B913" s="1">
        <v>44936</v>
      </c>
      <c r="C913" s="2">
        <v>0.69791666666666663</v>
      </c>
      <c r="D913" t="s">
        <v>41</v>
      </c>
      <c r="E913" t="s">
        <v>98</v>
      </c>
      <c r="F913" t="s">
        <v>135</v>
      </c>
      <c r="G913" t="s">
        <v>75</v>
      </c>
      <c r="H913" s="2">
        <v>0.7006944444444444</v>
      </c>
      <c r="I913" s="2">
        <v>0.7319444444444444</v>
      </c>
      <c r="J913">
        <v>13</v>
      </c>
      <c r="K913">
        <v>23</v>
      </c>
      <c r="L913" t="s">
        <v>30</v>
      </c>
      <c r="M913">
        <v>5.8</v>
      </c>
      <c r="N913">
        <v>65</v>
      </c>
      <c r="O913">
        <v>49</v>
      </c>
      <c r="P913">
        <v>14.6</v>
      </c>
      <c r="Q913" t="s">
        <v>71</v>
      </c>
      <c r="R913">
        <v>0</v>
      </c>
      <c r="S913">
        <v>89</v>
      </c>
      <c r="T913">
        <v>0</v>
      </c>
      <c r="U913">
        <v>0</v>
      </c>
      <c r="V913">
        <v>1</v>
      </c>
      <c r="W913" t="s">
        <v>39</v>
      </c>
      <c r="X913">
        <v>1</v>
      </c>
      <c r="Y913" t="str">
        <f t="shared" si="14"/>
        <v>High</v>
      </c>
    </row>
    <row r="914" spans="1:25">
      <c r="A914" t="s">
        <v>1027</v>
      </c>
      <c r="B914" s="1">
        <v>44936</v>
      </c>
      <c r="C914" s="2">
        <v>0.70833333333333337</v>
      </c>
      <c r="D914" t="s">
        <v>41</v>
      </c>
      <c r="E914" t="s">
        <v>141</v>
      </c>
      <c r="F914" t="s">
        <v>116</v>
      </c>
      <c r="G914" t="s">
        <v>116</v>
      </c>
      <c r="H914" s="2">
        <v>0.70902777777777781</v>
      </c>
      <c r="I914" s="2">
        <v>0.73402777777777772</v>
      </c>
      <c r="J914">
        <v>19</v>
      </c>
      <c r="K914">
        <v>21</v>
      </c>
      <c r="L914" t="s">
        <v>30</v>
      </c>
      <c r="M914">
        <v>18.899999999999999</v>
      </c>
      <c r="N914">
        <v>37</v>
      </c>
      <c r="O914">
        <v>15</v>
      </c>
      <c r="P914">
        <v>6</v>
      </c>
      <c r="Q914" t="s">
        <v>31</v>
      </c>
      <c r="R914">
        <v>500</v>
      </c>
      <c r="S914">
        <v>77</v>
      </c>
      <c r="T914">
        <v>0</v>
      </c>
      <c r="U914">
        <v>1</v>
      </c>
      <c r="V914">
        <v>1</v>
      </c>
      <c r="W914" t="s">
        <v>72</v>
      </c>
      <c r="X914">
        <v>1</v>
      </c>
      <c r="Y914" t="str">
        <f t="shared" si="14"/>
        <v>High</v>
      </c>
    </row>
    <row r="915" spans="1:25">
      <c r="A915" t="s">
        <v>1028</v>
      </c>
      <c r="B915" s="1">
        <v>44936</v>
      </c>
      <c r="C915" s="2">
        <v>0.71875</v>
      </c>
      <c r="D915" t="s">
        <v>74</v>
      </c>
      <c r="E915" t="s">
        <v>147</v>
      </c>
      <c r="F915" t="s">
        <v>44</v>
      </c>
      <c r="G915" t="s">
        <v>168</v>
      </c>
      <c r="H915" s="2">
        <v>0.71944444444444444</v>
      </c>
      <c r="I915" s="2">
        <v>0.75416666666666665</v>
      </c>
      <c r="J915">
        <v>14</v>
      </c>
      <c r="K915">
        <v>22</v>
      </c>
      <c r="L915" t="s">
        <v>45</v>
      </c>
      <c r="M915">
        <v>3.1</v>
      </c>
      <c r="N915">
        <v>47</v>
      </c>
      <c r="O915">
        <v>27</v>
      </c>
      <c r="P915">
        <v>11.5</v>
      </c>
      <c r="Q915" t="s">
        <v>31</v>
      </c>
      <c r="R915">
        <v>50000</v>
      </c>
      <c r="S915">
        <v>27</v>
      </c>
      <c r="T915">
        <v>0</v>
      </c>
      <c r="U915">
        <v>0</v>
      </c>
      <c r="V915">
        <v>1</v>
      </c>
      <c r="W915" t="s">
        <v>72</v>
      </c>
      <c r="X915">
        <v>1</v>
      </c>
      <c r="Y915" t="str">
        <f t="shared" si="14"/>
        <v>Low</v>
      </c>
    </row>
    <row r="916" spans="1:25">
      <c r="A916" t="s">
        <v>1029</v>
      </c>
      <c r="B916" s="1">
        <v>44936</v>
      </c>
      <c r="C916" s="2">
        <v>0.72916666666666663</v>
      </c>
      <c r="D916" t="s">
        <v>34</v>
      </c>
      <c r="E916" t="s">
        <v>79</v>
      </c>
      <c r="F916" t="s">
        <v>75</v>
      </c>
      <c r="G916" t="s">
        <v>99</v>
      </c>
      <c r="H916" s="2">
        <v>0.73124999999999996</v>
      </c>
      <c r="I916" s="2">
        <v>0.74722222222222223</v>
      </c>
      <c r="J916">
        <v>19</v>
      </c>
      <c r="K916">
        <v>10</v>
      </c>
      <c r="L916" t="s">
        <v>30</v>
      </c>
      <c r="M916">
        <v>-2</v>
      </c>
      <c r="N916">
        <v>87</v>
      </c>
      <c r="O916">
        <v>27</v>
      </c>
      <c r="P916">
        <v>12</v>
      </c>
      <c r="Q916" t="s">
        <v>101</v>
      </c>
      <c r="R916">
        <v>500</v>
      </c>
      <c r="S916">
        <v>23</v>
      </c>
      <c r="T916">
        <v>0</v>
      </c>
      <c r="U916">
        <v>0</v>
      </c>
      <c r="V916">
        <v>1</v>
      </c>
      <c r="W916" t="s">
        <v>55</v>
      </c>
      <c r="X916">
        <v>1</v>
      </c>
      <c r="Y916" t="str">
        <f t="shared" si="14"/>
        <v>Low</v>
      </c>
    </row>
    <row r="917" spans="1:25">
      <c r="A917" t="s">
        <v>1030</v>
      </c>
      <c r="B917" s="1">
        <v>44936</v>
      </c>
      <c r="C917" s="2">
        <v>0.73958333333333337</v>
      </c>
      <c r="D917" t="s">
        <v>74</v>
      </c>
      <c r="E917" t="s">
        <v>27</v>
      </c>
      <c r="F917" t="s">
        <v>148</v>
      </c>
      <c r="G917" t="s">
        <v>50</v>
      </c>
      <c r="H917" s="2">
        <v>0.74097222222222225</v>
      </c>
      <c r="I917" s="2">
        <v>0.77569444444444446</v>
      </c>
      <c r="J917">
        <v>10</v>
      </c>
      <c r="K917">
        <v>10</v>
      </c>
      <c r="L917" t="s">
        <v>84</v>
      </c>
      <c r="M917">
        <v>-4.2</v>
      </c>
      <c r="N917">
        <v>61</v>
      </c>
      <c r="O917">
        <v>54</v>
      </c>
      <c r="P917">
        <v>0.5</v>
      </c>
      <c r="Q917" t="s">
        <v>31</v>
      </c>
      <c r="R917">
        <v>0</v>
      </c>
      <c r="S917">
        <v>6</v>
      </c>
      <c r="T917">
        <v>0</v>
      </c>
      <c r="U917">
        <v>1</v>
      </c>
      <c r="V917">
        <v>1</v>
      </c>
      <c r="W917" t="s">
        <v>72</v>
      </c>
      <c r="X917">
        <v>1</v>
      </c>
      <c r="Y917" t="str">
        <f t="shared" si="14"/>
        <v>Low</v>
      </c>
    </row>
    <row r="918" spans="1:25">
      <c r="A918" t="s">
        <v>1031</v>
      </c>
      <c r="B918" s="1">
        <v>44936</v>
      </c>
      <c r="C918" s="2">
        <v>0.75</v>
      </c>
      <c r="D918" t="s">
        <v>74</v>
      </c>
      <c r="E918" t="s">
        <v>89</v>
      </c>
      <c r="F918" t="s">
        <v>154</v>
      </c>
      <c r="G918" t="s">
        <v>80</v>
      </c>
      <c r="H918" s="2">
        <v>0.75138888888888888</v>
      </c>
      <c r="I918" s="2">
        <v>0.76666666666666672</v>
      </c>
      <c r="J918">
        <v>9</v>
      </c>
      <c r="K918">
        <v>10</v>
      </c>
      <c r="L918" t="s">
        <v>45</v>
      </c>
      <c r="M918">
        <v>33.1</v>
      </c>
      <c r="N918">
        <v>78</v>
      </c>
      <c r="O918">
        <v>21</v>
      </c>
      <c r="P918">
        <v>3.6</v>
      </c>
      <c r="Q918" t="s">
        <v>46</v>
      </c>
      <c r="R918">
        <v>500</v>
      </c>
      <c r="S918">
        <v>99</v>
      </c>
      <c r="T918">
        <v>0</v>
      </c>
      <c r="U918">
        <v>0</v>
      </c>
      <c r="V918">
        <v>1</v>
      </c>
      <c r="W918" t="s">
        <v>72</v>
      </c>
      <c r="X918">
        <v>1</v>
      </c>
      <c r="Y918" t="str">
        <f t="shared" si="14"/>
        <v>High</v>
      </c>
    </row>
    <row r="919" spans="1:25">
      <c r="A919" t="s">
        <v>1032</v>
      </c>
      <c r="B919" s="1">
        <v>44936</v>
      </c>
      <c r="C919" s="2">
        <v>0.76041666666666663</v>
      </c>
      <c r="D919" t="s">
        <v>34</v>
      </c>
      <c r="E919" t="s">
        <v>48</v>
      </c>
      <c r="F919" t="s">
        <v>80</v>
      </c>
      <c r="G919" t="s">
        <v>151</v>
      </c>
      <c r="H919" s="2">
        <v>0.76111111111111107</v>
      </c>
      <c r="I919" s="2">
        <v>0.79305555555555551</v>
      </c>
      <c r="J919">
        <v>7</v>
      </c>
      <c r="K919">
        <v>21</v>
      </c>
      <c r="L919" t="s">
        <v>45</v>
      </c>
      <c r="M919">
        <v>24</v>
      </c>
      <c r="N919">
        <v>77</v>
      </c>
      <c r="O919">
        <v>55</v>
      </c>
      <c r="P919">
        <v>11</v>
      </c>
      <c r="Q919" t="s">
        <v>71</v>
      </c>
      <c r="R919">
        <v>0</v>
      </c>
      <c r="S919">
        <v>78</v>
      </c>
      <c r="T919">
        <v>1</v>
      </c>
      <c r="U919">
        <v>0</v>
      </c>
      <c r="V919">
        <v>1</v>
      </c>
      <c r="W919" t="s">
        <v>55</v>
      </c>
      <c r="X919">
        <v>1</v>
      </c>
      <c r="Y919" t="str">
        <f t="shared" si="14"/>
        <v>High</v>
      </c>
    </row>
    <row r="920" spans="1:25">
      <c r="A920" t="s">
        <v>1033</v>
      </c>
      <c r="B920" s="1">
        <v>44936</v>
      </c>
      <c r="C920" s="2">
        <v>0.77083333333333337</v>
      </c>
      <c r="D920" t="s">
        <v>34</v>
      </c>
      <c r="E920" t="s">
        <v>89</v>
      </c>
      <c r="F920" t="s">
        <v>148</v>
      </c>
      <c r="G920" t="s">
        <v>58</v>
      </c>
      <c r="H920" s="2">
        <v>0.77083333333333337</v>
      </c>
      <c r="I920" s="2">
        <v>0.7895833333333333</v>
      </c>
      <c r="J920">
        <v>-2</v>
      </c>
      <c r="K920">
        <v>0</v>
      </c>
      <c r="L920" t="s">
        <v>45</v>
      </c>
      <c r="M920">
        <v>27</v>
      </c>
      <c r="N920">
        <v>94</v>
      </c>
      <c r="O920">
        <v>5</v>
      </c>
      <c r="P920">
        <v>8.1</v>
      </c>
      <c r="Q920" t="s">
        <v>31</v>
      </c>
      <c r="R920">
        <v>10000</v>
      </c>
      <c r="S920">
        <v>48</v>
      </c>
      <c r="T920">
        <v>0</v>
      </c>
      <c r="U920">
        <v>1</v>
      </c>
      <c r="V920">
        <v>1</v>
      </c>
      <c r="W920" t="s">
        <v>72</v>
      </c>
      <c r="X920">
        <v>0</v>
      </c>
      <c r="Y920" t="str">
        <f t="shared" si="14"/>
        <v>Medium</v>
      </c>
    </row>
    <row r="921" spans="1:25">
      <c r="A921" t="s">
        <v>1034</v>
      </c>
      <c r="B921" s="1">
        <v>44936</v>
      </c>
      <c r="C921" s="2">
        <v>0.78125</v>
      </c>
      <c r="D921" t="s">
        <v>34</v>
      </c>
      <c r="E921" t="s">
        <v>130</v>
      </c>
      <c r="F921" t="s">
        <v>168</v>
      </c>
      <c r="G921" t="s">
        <v>44</v>
      </c>
      <c r="H921" s="2">
        <v>0.78402777777777777</v>
      </c>
      <c r="I921" s="2">
        <v>0.80486111111111114</v>
      </c>
      <c r="J921">
        <v>5</v>
      </c>
      <c r="K921">
        <v>11</v>
      </c>
      <c r="L921" t="s">
        <v>77</v>
      </c>
      <c r="M921">
        <v>34.200000000000003</v>
      </c>
      <c r="N921">
        <v>62</v>
      </c>
      <c r="O921">
        <v>24</v>
      </c>
      <c r="P921">
        <v>3.8</v>
      </c>
      <c r="Q921" t="s">
        <v>31</v>
      </c>
      <c r="R921">
        <v>500</v>
      </c>
      <c r="S921">
        <v>2</v>
      </c>
      <c r="T921">
        <v>0</v>
      </c>
      <c r="U921">
        <v>1</v>
      </c>
      <c r="V921">
        <v>1</v>
      </c>
      <c r="W921" t="s">
        <v>32</v>
      </c>
      <c r="X921">
        <v>1</v>
      </c>
      <c r="Y921" t="str">
        <f t="shared" si="14"/>
        <v>Low</v>
      </c>
    </row>
    <row r="922" spans="1:25">
      <c r="A922" t="s">
        <v>1035</v>
      </c>
      <c r="B922" s="1">
        <v>44936</v>
      </c>
      <c r="C922" s="2">
        <v>0.79166666666666663</v>
      </c>
      <c r="D922" t="s">
        <v>41</v>
      </c>
      <c r="E922" t="s">
        <v>89</v>
      </c>
      <c r="F922" t="s">
        <v>176</v>
      </c>
      <c r="G922" t="s">
        <v>194</v>
      </c>
      <c r="H922" s="2">
        <v>0.7944444444444444</v>
      </c>
      <c r="I922" s="2">
        <v>0.80763888888888891</v>
      </c>
      <c r="J922">
        <v>18</v>
      </c>
      <c r="K922">
        <v>28</v>
      </c>
      <c r="L922" t="s">
        <v>38</v>
      </c>
      <c r="M922">
        <v>32.299999999999997</v>
      </c>
      <c r="N922">
        <v>79</v>
      </c>
      <c r="O922">
        <v>41</v>
      </c>
      <c r="P922">
        <v>15.5</v>
      </c>
      <c r="Q922" t="s">
        <v>31</v>
      </c>
      <c r="R922">
        <v>500</v>
      </c>
      <c r="S922">
        <v>1</v>
      </c>
      <c r="T922">
        <v>0</v>
      </c>
      <c r="U922">
        <v>0</v>
      </c>
      <c r="V922">
        <v>1</v>
      </c>
      <c r="W922" t="s">
        <v>55</v>
      </c>
      <c r="X922">
        <v>1</v>
      </c>
      <c r="Y922" t="str">
        <f t="shared" si="14"/>
        <v>Low</v>
      </c>
    </row>
    <row r="923" spans="1:25">
      <c r="A923" t="s">
        <v>1036</v>
      </c>
      <c r="B923" s="1">
        <v>44936</v>
      </c>
      <c r="C923" s="2">
        <v>0.80208333333333337</v>
      </c>
      <c r="D923" t="s">
        <v>26</v>
      </c>
      <c r="E923" t="s">
        <v>111</v>
      </c>
      <c r="F923" t="s">
        <v>37</v>
      </c>
      <c r="G923" t="s">
        <v>83</v>
      </c>
      <c r="H923" s="2">
        <v>0.80208333333333337</v>
      </c>
      <c r="I923" s="2">
        <v>0.83888888888888891</v>
      </c>
      <c r="J923">
        <v>19</v>
      </c>
      <c r="K923">
        <v>14</v>
      </c>
      <c r="L923" t="s">
        <v>77</v>
      </c>
      <c r="M923">
        <v>24.5</v>
      </c>
      <c r="N923">
        <v>33</v>
      </c>
      <c r="O923">
        <v>1</v>
      </c>
      <c r="P923">
        <v>9.8000000000000007</v>
      </c>
      <c r="Q923" t="s">
        <v>31</v>
      </c>
      <c r="R923">
        <v>0</v>
      </c>
      <c r="S923">
        <v>6</v>
      </c>
      <c r="T923">
        <v>0</v>
      </c>
      <c r="U923">
        <v>0</v>
      </c>
      <c r="V923">
        <v>1</v>
      </c>
      <c r="W923" t="s">
        <v>32</v>
      </c>
      <c r="X923">
        <v>1</v>
      </c>
      <c r="Y923" t="str">
        <f t="shared" si="14"/>
        <v>Low</v>
      </c>
    </row>
    <row r="924" spans="1:25">
      <c r="A924" t="s">
        <v>1037</v>
      </c>
      <c r="B924" s="1">
        <v>44936</v>
      </c>
      <c r="C924" s="2">
        <v>0.8125</v>
      </c>
      <c r="D924" t="s">
        <v>41</v>
      </c>
      <c r="E924" t="s">
        <v>48</v>
      </c>
      <c r="F924" t="s">
        <v>37</v>
      </c>
      <c r="G924" t="s">
        <v>87</v>
      </c>
      <c r="H924" s="2">
        <v>0.81319444444444444</v>
      </c>
      <c r="I924" s="2">
        <v>0.82916666666666672</v>
      </c>
      <c r="J924">
        <v>15</v>
      </c>
      <c r="K924">
        <v>10</v>
      </c>
      <c r="L924" t="s">
        <v>77</v>
      </c>
      <c r="M924">
        <v>22.8</v>
      </c>
      <c r="N924">
        <v>65</v>
      </c>
      <c r="O924">
        <v>6</v>
      </c>
      <c r="P924">
        <v>6.2</v>
      </c>
      <c r="Q924" t="s">
        <v>101</v>
      </c>
      <c r="R924">
        <v>0</v>
      </c>
      <c r="S924">
        <v>79</v>
      </c>
      <c r="T924">
        <v>0</v>
      </c>
      <c r="U924">
        <v>0</v>
      </c>
      <c r="V924">
        <v>1</v>
      </c>
      <c r="W924" t="s">
        <v>55</v>
      </c>
      <c r="X924">
        <v>1</v>
      </c>
      <c r="Y924" t="str">
        <f t="shared" si="14"/>
        <v>High</v>
      </c>
    </row>
    <row r="925" spans="1:25">
      <c r="A925" t="s">
        <v>1038</v>
      </c>
      <c r="B925" s="1">
        <v>44936</v>
      </c>
      <c r="C925" s="2">
        <v>0.82291666666666663</v>
      </c>
      <c r="D925" t="s">
        <v>26</v>
      </c>
      <c r="E925" t="s">
        <v>104</v>
      </c>
      <c r="F925" t="s">
        <v>95</v>
      </c>
      <c r="G925" t="s">
        <v>81</v>
      </c>
      <c r="H925" s="2">
        <v>0.8256944444444444</v>
      </c>
      <c r="I925" s="2">
        <v>0.85902777777777772</v>
      </c>
      <c r="J925">
        <v>-1</v>
      </c>
      <c r="K925">
        <v>-3</v>
      </c>
      <c r="L925" t="s">
        <v>77</v>
      </c>
      <c r="M925">
        <v>8.5</v>
      </c>
      <c r="N925">
        <v>57</v>
      </c>
      <c r="O925">
        <v>52</v>
      </c>
      <c r="P925">
        <v>3.2</v>
      </c>
      <c r="Q925" t="s">
        <v>46</v>
      </c>
      <c r="R925">
        <v>0</v>
      </c>
      <c r="S925">
        <v>20</v>
      </c>
      <c r="T925">
        <v>0</v>
      </c>
      <c r="U925">
        <v>1</v>
      </c>
      <c r="V925">
        <v>1</v>
      </c>
      <c r="W925" t="s">
        <v>32</v>
      </c>
      <c r="X925">
        <v>0</v>
      </c>
      <c r="Y925" t="str">
        <f t="shared" si="14"/>
        <v>Low</v>
      </c>
    </row>
    <row r="926" spans="1:25">
      <c r="A926" t="s">
        <v>1039</v>
      </c>
      <c r="B926" s="1">
        <v>44936</v>
      </c>
      <c r="C926" s="2">
        <v>0.83333333333333337</v>
      </c>
      <c r="D926" t="s">
        <v>41</v>
      </c>
      <c r="E926" t="s">
        <v>42</v>
      </c>
      <c r="F926" t="s">
        <v>122</v>
      </c>
      <c r="G926" t="s">
        <v>116</v>
      </c>
      <c r="H926" s="2">
        <v>0.83472222222222225</v>
      </c>
      <c r="I926" s="2">
        <v>0.85</v>
      </c>
      <c r="J926">
        <v>13</v>
      </c>
      <c r="K926">
        <v>16</v>
      </c>
      <c r="L926" t="s">
        <v>38</v>
      </c>
      <c r="M926">
        <v>-0.8</v>
      </c>
      <c r="N926">
        <v>32</v>
      </c>
      <c r="O926">
        <v>16</v>
      </c>
      <c r="P926">
        <v>12.2</v>
      </c>
      <c r="Q926" t="s">
        <v>31</v>
      </c>
      <c r="R926">
        <v>0</v>
      </c>
      <c r="S926">
        <v>8</v>
      </c>
      <c r="T926">
        <v>0</v>
      </c>
      <c r="U926">
        <v>1</v>
      </c>
      <c r="V926">
        <v>1</v>
      </c>
      <c r="W926" t="s">
        <v>72</v>
      </c>
      <c r="X926">
        <v>1</v>
      </c>
      <c r="Y926" t="str">
        <f t="shared" si="14"/>
        <v>Low</v>
      </c>
    </row>
    <row r="927" spans="1:25">
      <c r="A927" t="s">
        <v>1040</v>
      </c>
      <c r="B927" s="1">
        <v>44936</v>
      </c>
      <c r="C927" s="2">
        <v>0.84375</v>
      </c>
      <c r="D927" t="s">
        <v>26</v>
      </c>
      <c r="E927" t="s">
        <v>42</v>
      </c>
      <c r="F927" t="s">
        <v>176</v>
      </c>
      <c r="G927" t="s">
        <v>29</v>
      </c>
      <c r="H927" s="2">
        <v>0.84375</v>
      </c>
      <c r="I927" s="2">
        <v>0.8833333333333333</v>
      </c>
      <c r="J927">
        <v>9</v>
      </c>
      <c r="K927">
        <v>6</v>
      </c>
      <c r="L927" t="s">
        <v>77</v>
      </c>
      <c r="M927">
        <v>17.899999999999999</v>
      </c>
      <c r="N927">
        <v>35</v>
      </c>
      <c r="O927">
        <v>34</v>
      </c>
      <c r="P927">
        <v>13.3</v>
      </c>
      <c r="Q927" t="s">
        <v>31</v>
      </c>
      <c r="R927">
        <v>0</v>
      </c>
      <c r="S927">
        <v>11</v>
      </c>
      <c r="T927">
        <v>0</v>
      </c>
      <c r="U927">
        <v>0</v>
      </c>
      <c r="V927">
        <v>1</v>
      </c>
      <c r="W927" t="s">
        <v>39</v>
      </c>
      <c r="X927">
        <v>1</v>
      </c>
      <c r="Y927" t="str">
        <f t="shared" si="14"/>
        <v>Low</v>
      </c>
    </row>
    <row r="928" spans="1:25">
      <c r="A928" t="s">
        <v>1041</v>
      </c>
      <c r="B928" s="1">
        <v>44936</v>
      </c>
      <c r="C928" s="2">
        <v>0.85416666666666663</v>
      </c>
      <c r="D928" t="s">
        <v>41</v>
      </c>
      <c r="E928" t="s">
        <v>161</v>
      </c>
      <c r="F928" t="s">
        <v>44</v>
      </c>
      <c r="G928" t="s">
        <v>116</v>
      </c>
      <c r="H928" s="2">
        <v>0.85624999999999996</v>
      </c>
      <c r="I928" s="2">
        <v>0.89097222222222228</v>
      </c>
      <c r="J928">
        <v>6</v>
      </c>
      <c r="K928">
        <v>6</v>
      </c>
      <c r="L928" t="s">
        <v>30</v>
      </c>
      <c r="M928">
        <v>18.100000000000001</v>
      </c>
      <c r="N928">
        <v>74</v>
      </c>
      <c r="O928">
        <v>19</v>
      </c>
      <c r="P928">
        <v>13.4</v>
      </c>
      <c r="Q928" t="s">
        <v>71</v>
      </c>
      <c r="R928">
        <v>0</v>
      </c>
      <c r="S928">
        <v>92</v>
      </c>
      <c r="T928">
        <v>0</v>
      </c>
      <c r="U928">
        <v>0</v>
      </c>
      <c r="V928">
        <v>1</v>
      </c>
      <c r="W928" t="s">
        <v>32</v>
      </c>
      <c r="X928">
        <v>1</v>
      </c>
      <c r="Y928" t="str">
        <f t="shared" si="14"/>
        <v>High</v>
      </c>
    </row>
    <row r="929" spans="1:25">
      <c r="A929" t="s">
        <v>1042</v>
      </c>
      <c r="B929" s="1">
        <v>44936</v>
      </c>
      <c r="C929" s="2">
        <v>0.86458333333333337</v>
      </c>
      <c r="D929" t="s">
        <v>34</v>
      </c>
      <c r="E929" t="s">
        <v>157</v>
      </c>
      <c r="F929" t="s">
        <v>36</v>
      </c>
      <c r="G929" t="s">
        <v>66</v>
      </c>
      <c r="H929" s="2">
        <v>0.86527777777777781</v>
      </c>
      <c r="I929" s="2">
        <v>0.89583333333333337</v>
      </c>
      <c r="J929">
        <v>0</v>
      </c>
      <c r="K929">
        <v>20</v>
      </c>
      <c r="L929" t="s">
        <v>45</v>
      </c>
      <c r="M929">
        <v>33.1</v>
      </c>
      <c r="N929">
        <v>52</v>
      </c>
      <c r="O929">
        <v>43</v>
      </c>
      <c r="P929">
        <v>4.4000000000000004</v>
      </c>
      <c r="Q929" t="s">
        <v>31</v>
      </c>
      <c r="R929">
        <v>0</v>
      </c>
      <c r="S929">
        <v>23</v>
      </c>
      <c r="T929">
        <v>0</v>
      </c>
      <c r="U929">
        <v>1</v>
      </c>
      <c r="V929">
        <v>1</v>
      </c>
      <c r="W929" t="s">
        <v>32</v>
      </c>
      <c r="X929">
        <v>1</v>
      </c>
      <c r="Y929" t="str">
        <f t="shared" si="14"/>
        <v>Low</v>
      </c>
    </row>
    <row r="930" spans="1:25">
      <c r="A930" t="s">
        <v>1043</v>
      </c>
      <c r="B930" s="1">
        <v>44936</v>
      </c>
      <c r="C930" s="2">
        <v>0.875</v>
      </c>
      <c r="D930" t="s">
        <v>74</v>
      </c>
      <c r="E930" t="s">
        <v>157</v>
      </c>
      <c r="F930" t="s">
        <v>44</v>
      </c>
      <c r="G930" t="s">
        <v>168</v>
      </c>
      <c r="H930" s="2">
        <v>0.875</v>
      </c>
      <c r="I930" s="2">
        <v>0.88888888888888884</v>
      </c>
      <c r="J930">
        <v>19</v>
      </c>
      <c r="K930">
        <v>24</v>
      </c>
      <c r="L930" t="s">
        <v>45</v>
      </c>
      <c r="M930">
        <v>12.7</v>
      </c>
      <c r="N930">
        <v>36</v>
      </c>
      <c r="O930">
        <v>1</v>
      </c>
      <c r="P930">
        <v>11.9</v>
      </c>
      <c r="Q930" t="s">
        <v>31</v>
      </c>
      <c r="R930">
        <v>50000</v>
      </c>
      <c r="S930">
        <v>32</v>
      </c>
      <c r="T930">
        <v>0</v>
      </c>
      <c r="U930">
        <v>0</v>
      </c>
      <c r="V930">
        <v>1</v>
      </c>
      <c r="W930" t="s">
        <v>39</v>
      </c>
      <c r="X930">
        <v>1</v>
      </c>
      <c r="Y930" t="str">
        <f t="shared" si="14"/>
        <v>Low</v>
      </c>
    </row>
    <row r="931" spans="1:25">
      <c r="A931" t="s">
        <v>1044</v>
      </c>
      <c r="B931" s="1">
        <v>44936</v>
      </c>
      <c r="C931" s="2">
        <v>0.88541666666666663</v>
      </c>
      <c r="D931" t="s">
        <v>41</v>
      </c>
      <c r="E931" t="s">
        <v>104</v>
      </c>
      <c r="F931" t="s">
        <v>185</v>
      </c>
      <c r="G931" t="s">
        <v>28</v>
      </c>
      <c r="H931" s="2">
        <v>0.8881944444444444</v>
      </c>
      <c r="I931" s="2">
        <v>0.90138888888888891</v>
      </c>
      <c r="J931">
        <v>18</v>
      </c>
      <c r="K931">
        <v>23</v>
      </c>
      <c r="L931" t="s">
        <v>84</v>
      </c>
      <c r="M931">
        <v>22.6</v>
      </c>
      <c r="N931">
        <v>90</v>
      </c>
      <c r="O931">
        <v>6</v>
      </c>
      <c r="P931">
        <v>18.100000000000001</v>
      </c>
      <c r="Q931" t="s">
        <v>31</v>
      </c>
      <c r="R931">
        <v>0</v>
      </c>
      <c r="S931">
        <v>77</v>
      </c>
      <c r="T931">
        <v>0</v>
      </c>
      <c r="U931">
        <v>0</v>
      </c>
      <c r="V931">
        <v>1</v>
      </c>
      <c r="W931" t="s">
        <v>39</v>
      </c>
      <c r="X931">
        <v>1</v>
      </c>
      <c r="Y931" t="str">
        <f t="shared" si="14"/>
        <v>High</v>
      </c>
    </row>
    <row r="932" spans="1:25">
      <c r="A932" t="s">
        <v>1045</v>
      </c>
      <c r="B932" s="1">
        <v>44936</v>
      </c>
      <c r="C932" s="2">
        <v>0.89583333333333337</v>
      </c>
      <c r="D932" t="s">
        <v>26</v>
      </c>
      <c r="E932" t="s">
        <v>52</v>
      </c>
      <c r="F932" t="s">
        <v>203</v>
      </c>
      <c r="G932" t="s">
        <v>154</v>
      </c>
      <c r="H932" s="2">
        <v>0.89652777777777781</v>
      </c>
      <c r="I932" s="2">
        <v>0.93611111111111112</v>
      </c>
      <c r="J932">
        <v>1</v>
      </c>
      <c r="K932">
        <v>-3</v>
      </c>
      <c r="L932" t="s">
        <v>54</v>
      </c>
      <c r="M932">
        <v>18</v>
      </c>
      <c r="N932">
        <v>94</v>
      </c>
      <c r="O932">
        <v>31</v>
      </c>
      <c r="P932">
        <v>7.1</v>
      </c>
      <c r="Q932" t="s">
        <v>101</v>
      </c>
      <c r="R932">
        <v>0</v>
      </c>
      <c r="S932">
        <v>42</v>
      </c>
      <c r="T932">
        <v>0</v>
      </c>
      <c r="U932">
        <v>0</v>
      </c>
      <c r="V932">
        <v>1</v>
      </c>
      <c r="W932" t="s">
        <v>32</v>
      </c>
      <c r="X932">
        <v>0</v>
      </c>
      <c r="Y932" t="str">
        <f t="shared" si="14"/>
        <v>Medium</v>
      </c>
    </row>
    <row r="933" spans="1:25">
      <c r="A933" t="s">
        <v>1046</v>
      </c>
      <c r="B933" s="1">
        <v>44936</v>
      </c>
      <c r="C933" s="2">
        <v>0.90625</v>
      </c>
      <c r="D933" t="s">
        <v>34</v>
      </c>
      <c r="E933" t="s">
        <v>57</v>
      </c>
      <c r="F933" t="s">
        <v>144</v>
      </c>
      <c r="G933" t="s">
        <v>49</v>
      </c>
      <c r="H933" s="2">
        <v>0.90763888888888888</v>
      </c>
      <c r="I933" s="2">
        <v>0.9375</v>
      </c>
      <c r="J933">
        <v>-1</v>
      </c>
      <c r="K933">
        <v>29</v>
      </c>
      <c r="L933" t="s">
        <v>30</v>
      </c>
      <c r="M933">
        <v>2.1</v>
      </c>
      <c r="N933">
        <v>35</v>
      </c>
      <c r="O933">
        <v>48</v>
      </c>
      <c r="P933">
        <v>4.2</v>
      </c>
      <c r="Q933" t="s">
        <v>31</v>
      </c>
      <c r="R933">
        <v>10000</v>
      </c>
      <c r="S933">
        <v>81</v>
      </c>
      <c r="T933">
        <v>0</v>
      </c>
      <c r="U933">
        <v>0</v>
      </c>
      <c r="V933">
        <v>1</v>
      </c>
      <c r="W933" t="s">
        <v>32</v>
      </c>
      <c r="X933">
        <v>1</v>
      </c>
      <c r="Y933" t="str">
        <f t="shared" si="14"/>
        <v>High</v>
      </c>
    </row>
    <row r="934" spans="1:25">
      <c r="A934" t="s">
        <v>1047</v>
      </c>
      <c r="B934" s="1">
        <v>44936</v>
      </c>
      <c r="C934" s="2">
        <v>0.91666666666666663</v>
      </c>
      <c r="D934" t="s">
        <v>41</v>
      </c>
      <c r="E934" t="s">
        <v>61</v>
      </c>
      <c r="F934" t="s">
        <v>36</v>
      </c>
      <c r="G934" t="s">
        <v>58</v>
      </c>
      <c r="H934" s="2">
        <v>0.91736111111111107</v>
      </c>
      <c r="I934" s="2">
        <v>0.95277777777777772</v>
      </c>
      <c r="J934">
        <v>5</v>
      </c>
      <c r="K934">
        <v>0</v>
      </c>
      <c r="L934" t="s">
        <v>38</v>
      </c>
      <c r="M934">
        <v>18.7</v>
      </c>
      <c r="N934">
        <v>53</v>
      </c>
      <c r="O934">
        <v>18</v>
      </c>
      <c r="P934">
        <v>15.4</v>
      </c>
      <c r="Q934" t="s">
        <v>31</v>
      </c>
      <c r="R934">
        <v>50000</v>
      </c>
      <c r="S934">
        <v>4</v>
      </c>
      <c r="T934">
        <v>0</v>
      </c>
      <c r="U934">
        <v>1</v>
      </c>
      <c r="V934">
        <v>1</v>
      </c>
      <c r="W934" t="s">
        <v>32</v>
      </c>
      <c r="X934">
        <v>0</v>
      </c>
      <c r="Y934" t="str">
        <f t="shared" si="14"/>
        <v>Low</v>
      </c>
    </row>
    <row r="935" spans="1:25">
      <c r="A935" t="s">
        <v>1048</v>
      </c>
      <c r="B935" s="1">
        <v>44936</v>
      </c>
      <c r="C935" s="2">
        <v>0.92708333333333337</v>
      </c>
      <c r="D935" t="s">
        <v>41</v>
      </c>
      <c r="E935" t="s">
        <v>104</v>
      </c>
      <c r="F935" t="s">
        <v>154</v>
      </c>
      <c r="G935" t="s">
        <v>87</v>
      </c>
      <c r="H935" s="2">
        <v>0.92777777777777781</v>
      </c>
      <c r="I935" s="2">
        <v>0.96319444444444446</v>
      </c>
      <c r="J935">
        <v>7</v>
      </c>
      <c r="K935">
        <v>3</v>
      </c>
      <c r="L935" t="s">
        <v>54</v>
      </c>
      <c r="M935">
        <v>16.600000000000001</v>
      </c>
      <c r="N935">
        <v>66</v>
      </c>
      <c r="O935">
        <v>11</v>
      </c>
      <c r="P935">
        <v>3.5</v>
      </c>
      <c r="Q935" t="s">
        <v>63</v>
      </c>
      <c r="R935">
        <v>0</v>
      </c>
      <c r="S935">
        <v>78</v>
      </c>
      <c r="T935">
        <v>0</v>
      </c>
      <c r="U935">
        <v>1</v>
      </c>
      <c r="V935">
        <v>1</v>
      </c>
      <c r="W935" t="s">
        <v>55</v>
      </c>
      <c r="X935">
        <v>0</v>
      </c>
      <c r="Y935" t="str">
        <f t="shared" si="14"/>
        <v>High</v>
      </c>
    </row>
    <row r="936" spans="1:25">
      <c r="A936" t="s">
        <v>1049</v>
      </c>
      <c r="B936" s="1">
        <v>44936</v>
      </c>
      <c r="C936" s="2">
        <v>0.9375</v>
      </c>
      <c r="D936" t="s">
        <v>34</v>
      </c>
      <c r="E936" t="s">
        <v>126</v>
      </c>
      <c r="F936" t="s">
        <v>66</v>
      </c>
      <c r="G936" t="s">
        <v>168</v>
      </c>
      <c r="H936" s="2">
        <v>0.93888888888888888</v>
      </c>
      <c r="I936" s="2">
        <v>0.95625000000000004</v>
      </c>
      <c r="J936">
        <v>13</v>
      </c>
      <c r="K936">
        <v>5</v>
      </c>
      <c r="L936" t="s">
        <v>45</v>
      </c>
      <c r="M936">
        <v>14.8</v>
      </c>
      <c r="N936">
        <v>74</v>
      </c>
      <c r="O936">
        <v>8</v>
      </c>
      <c r="P936">
        <v>5.0999999999999996</v>
      </c>
      <c r="Q936" t="s">
        <v>31</v>
      </c>
      <c r="R936">
        <v>0</v>
      </c>
      <c r="S936">
        <v>70</v>
      </c>
      <c r="T936">
        <v>0</v>
      </c>
      <c r="U936">
        <v>0</v>
      </c>
      <c r="V936">
        <v>1</v>
      </c>
      <c r="W936" t="s">
        <v>32</v>
      </c>
      <c r="X936">
        <v>0</v>
      </c>
      <c r="Y936" t="str">
        <f t="shared" si="14"/>
        <v>High</v>
      </c>
    </row>
    <row r="937" spans="1:25">
      <c r="A937" t="s">
        <v>1050</v>
      </c>
      <c r="B937" s="1">
        <v>44936</v>
      </c>
      <c r="C937" s="2">
        <v>0.94791666666666663</v>
      </c>
      <c r="D937" t="s">
        <v>41</v>
      </c>
      <c r="E937" t="s">
        <v>126</v>
      </c>
      <c r="F937" t="s">
        <v>29</v>
      </c>
      <c r="G937" t="s">
        <v>128</v>
      </c>
      <c r="H937" s="2">
        <v>0.94930555555555551</v>
      </c>
      <c r="I937" s="2">
        <v>0.97499999999999998</v>
      </c>
      <c r="J937">
        <v>8</v>
      </c>
      <c r="K937">
        <v>12</v>
      </c>
      <c r="L937" t="s">
        <v>77</v>
      </c>
      <c r="M937">
        <v>15.5</v>
      </c>
      <c r="N937">
        <v>80</v>
      </c>
      <c r="O937">
        <v>26</v>
      </c>
      <c r="P937">
        <v>2</v>
      </c>
      <c r="Q937" t="s">
        <v>101</v>
      </c>
      <c r="R937">
        <v>0</v>
      </c>
      <c r="S937">
        <v>88</v>
      </c>
      <c r="T937">
        <v>0</v>
      </c>
      <c r="U937">
        <v>0</v>
      </c>
      <c r="V937">
        <v>1</v>
      </c>
      <c r="W937" t="s">
        <v>32</v>
      </c>
      <c r="X937">
        <v>1</v>
      </c>
      <c r="Y937" t="str">
        <f t="shared" si="14"/>
        <v>High</v>
      </c>
    </row>
    <row r="938" spans="1:25">
      <c r="A938" t="s">
        <v>1051</v>
      </c>
      <c r="B938" s="1">
        <v>44936</v>
      </c>
      <c r="C938" s="2">
        <v>0.95833333333333337</v>
      </c>
      <c r="D938" t="s">
        <v>74</v>
      </c>
      <c r="E938" t="s">
        <v>157</v>
      </c>
      <c r="F938" t="s">
        <v>168</v>
      </c>
      <c r="G938" t="s">
        <v>36</v>
      </c>
      <c r="H938" s="2">
        <v>0.95902777777777781</v>
      </c>
      <c r="I938" s="2">
        <v>0.98263888888888884</v>
      </c>
      <c r="J938">
        <v>15</v>
      </c>
      <c r="K938">
        <v>1</v>
      </c>
      <c r="L938" t="s">
        <v>84</v>
      </c>
      <c r="M938">
        <v>1.6</v>
      </c>
      <c r="N938">
        <v>74</v>
      </c>
      <c r="O938">
        <v>13</v>
      </c>
      <c r="P938">
        <v>5.4</v>
      </c>
      <c r="Q938" t="s">
        <v>31</v>
      </c>
      <c r="R938">
        <v>0</v>
      </c>
      <c r="S938">
        <v>13</v>
      </c>
      <c r="T938">
        <v>0</v>
      </c>
      <c r="U938">
        <v>0</v>
      </c>
      <c r="V938">
        <v>1</v>
      </c>
      <c r="W938" t="s">
        <v>39</v>
      </c>
      <c r="X938">
        <v>0</v>
      </c>
      <c r="Y938" t="str">
        <f t="shared" si="14"/>
        <v>Low</v>
      </c>
    </row>
    <row r="939" spans="1:25">
      <c r="A939" t="s">
        <v>1052</v>
      </c>
      <c r="B939" s="1">
        <v>44936</v>
      </c>
      <c r="C939" s="2">
        <v>0.96875</v>
      </c>
      <c r="D939" t="s">
        <v>41</v>
      </c>
      <c r="E939" t="s">
        <v>68</v>
      </c>
      <c r="F939" t="s">
        <v>123</v>
      </c>
      <c r="G939" t="s">
        <v>75</v>
      </c>
      <c r="H939" s="2">
        <v>0.97013888888888888</v>
      </c>
      <c r="I939" s="2">
        <v>0.99652777777777779</v>
      </c>
      <c r="J939">
        <v>19</v>
      </c>
      <c r="K939">
        <v>19</v>
      </c>
      <c r="L939" t="s">
        <v>84</v>
      </c>
      <c r="M939">
        <v>13.5</v>
      </c>
      <c r="N939">
        <v>92</v>
      </c>
      <c r="O939">
        <v>1</v>
      </c>
      <c r="P939">
        <v>8.1999999999999993</v>
      </c>
      <c r="Q939" t="s">
        <v>31</v>
      </c>
      <c r="R939">
        <v>10000</v>
      </c>
      <c r="S939">
        <v>35</v>
      </c>
      <c r="T939">
        <v>0</v>
      </c>
      <c r="U939">
        <v>1</v>
      </c>
      <c r="V939">
        <v>1</v>
      </c>
      <c r="W939" t="s">
        <v>39</v>
      </c>
      <c r="X939">
        <v>1</v>
      </c>
      <c r="Y939" t="str">
        <f t="shared" si="14"/>
        <v>Medium</v>
      </c>
    </row>
    <row r="940" spans="1:25">
      <c r="A940" t="s">
        <v>1053</v>
      </c>
      <c r="B940" s="1">
        <v>44936</v>
      </c>
      <c r="C940" s="2">
        <v>0.97916666666666663</v>
      </c>
      <c r="D940" t="s">
        <v>74</v>
      </c>
      <c r="E940" t="s">
        <v>104</v>
      </c>
      <c r="F940" t="s">
        <v>185</v>
      </c>
      <c r="G940" t="s">
        <v>81</v>
      </c>
      <c r="H940" s="2">
        <v>0.97916666666666663</v>
      </c>
      <c r="I940" s="2">
        <v>1.0416666666666666E-2</v>
      </c>
      <c r="J940">
        <v>11</v>
      </c>
      <c r="K940">
        <v>21</v>
      </c>
      <c r="L940" t="s">
        <v>45</v>
      </c>
      <c r="M940">
        <v>19.2</v>
      </c>
      <c r="N940">
        <v>58</v>
      </c>
      <c r="O940">
        <v>20</v>
      </c>
      <c r="P940">
        <v>1.3</v>
      </c>
      <c r="Q940" t="s">
        <v>31</v>
      </c>
      <c r="R940">
        <v>2000</v>
      </c>
      <c r="S940">
        <v>34</v>
      </c>
      <c r="T940">
        <v>0</v>
      </c>
      <c r="U940">
        <v>0</v>
      </c>
      <c r="V940">
        <v>1</v>
      </c>
      <c r="W940" t="s">
        <v>55</v>
      </c>
      <c r="X940">
        <v>1</v>
      </c>
      <c r="Y940" t="str">
        <f t="shared" si="14"/>
        <v>Medium</v>
      </c>
    </row>
    <row r="941" spans="1:25">
      <c r="A941" t="s">
        <v>1054</v>
      </c>
      <c r="B941" s="1">
        <v>44936</v>
      </c>
      <c r="C941" s="2">
        <v>0.98958333333333337</v>
      </c>
      <c r="D941" t="s">
        <v>74</v>
      </c>
      <c r="E941" t="s">
        <v>79</v>
      </c>
      <c r="F941" t="s">
        <v>62</v>
      </c>
      <c r="G941" t="s">
        <v>70</v>
      </c>
      <c r="H941" s="2">
        <v>0.99097222222222225</v>
      </c>
      <c r="I941" s="2">
        <v>1.8749999999999999E-2</v>
      </c>
      <c r="J941">
        <v>5</v>
      </c>
      <c r="K941">
        <v>9</v>
      </c>
      <c r="L941" t="s">
        <v>30</v>
      </c>
      <c r="M941">
        <v>14.6</v>
      </c>
      <c r="N941">
        <v>54</v>
      </c>
      <c r="O941">
        <v>3</v>
      </c>
      <c r="P941">
        <v>17.399999999999999</v>
      </c>
      <c r="Q941" t="s">
        <v>31</v>
      </c>
      <c r="R941">
        <v>0</v>
      </c>
      <c r="S941">
        <v>49</v>
      </c>
      <c r="T941">
        <v>0</v>
      </c>
      <c r="U941">
        <v>0</v>
      </c>
      <c r="V941">
        <v>1</v>
      </c>
      <c r="W941" t="s">
        <v>55</v>
      </c>
      <c r="X941">
        <v>1</v>
      </c>
      <c r="Y941" t="str">
        <f t="shared" si="14"/>
        <v>Medium</v>
      </c>
    </row>
    <row r="942" spans="1:25">
      <c r="A942" t="s">
        <v>1055</v>
      </c>
      <c r="B942" s="1">
        <v>44937</v>
      </c>
      <c r="C942" s="2">
        <v>0</v>
      </c>
      <c r="D942" t="s">
        <v>34</v>
      </c>
      <c r="E942" t="s">
        <v>61</v>
      </c>
      <c r="F942" t="s">
        <v>90</v>
      </c>
      <c r="G942" t="s">
        <v>105</v>
      </c>
      <c r="H942" s="2">
        <v>1.3888888888888889E-3</v>
      </c>
      <c r="I942" s="2">
        <v>2.5694444444444443E-2</v>
      </c>
      <c r="J942">
        <v>12</v>
      </c>
      <c r="K942">
        <v>20</v>
      </c>
      <c r="L942" t="s">
        <v>54</v>
      </c>
      <c r="M942">
        <v>14.5</v>
      </c>
      <c r="N942">
        <v>39</v>
      </c>
      <c r="O942">
        <v>59</v>
      </c>
      <c r="P942">
        <v>10.3</v>
      </c>
      <c r="Q942" t="s">
        <v>31</v>
      </c>
      <c r="R942">
        <v>10000</v>
      </c>
      <c r="S942">
        <v>87</v>
      </c>
      <c r="T942">
        <v>0</v>
      </c>
      <c r="U942">
        <v>0</v>
      </c>
      <c r="V942">
        <v>2</v>
      </c>
      <c r="W942" t="s">
        <v>72</v>
      </c>
      <c r="X942">
        <v>1</v>
      </c>
      <c r="Y942" t="str">
        <f t="shared" si="14"/>
        <v>High</v>
      </c>
    </row>
    <row r="943" spans="1:25">
      <c r="A943" t="s">
        <v>1056</v>
      </c>
      <c r="B943" s="1">
        <v>44937</v>
      </c>
      <c r="C943" s="2">
        <v>1.0416666666666666E-2</v>
      </c>
      <c r="D943" t="s">
        <v>41</v>
      </c>
      <c r="E943" t="s">
        <v>126</v>
      </c>
      <c r="F943" t="s">
        <v>95</v>
      </c>
      <c r="G943" t="s">
        <v>69</v>
      </c>
      <c r="H943" s="2">
        <v>1.1111111111111112E-2</v>
      </c>
      <c r="I943" s="2">
        <v>4.5138888888888888E-2</v>
      </c>
      <c r="J943">
        <v>14</v>
      </c>
      <c r="K943">
        <v>7</v>
      </c>
      <c r="L943" t="s">
        <v>84</v>
      </c>
      <c r="M943">
        <v>-1.9</v>
      </c>
      <c r="N943">
        <v>64</v>
      </c>
      <c r="O943">
        <v>50</v>
      </c>
      <c r="P943">
        <v>11.8</v>
      </c>
      <c r="Q943" t="s">
        <v>31</v>
      </c>
      <c r="R943">
        <v>500</v>
      </c>
      <c r="S943">
        <v>78</v>
      </c>
      <c r="T943">
        <v>0</v>
      </c>
      <c r="U943">
        <v>0</v>
      </c>
      <c r="V943">
        <v>2</v>
      </c>
      <c r="W943" t="s">
        <v>32</v>
      </c>
      <c r="X943">
        <v>1</v>
      </c>
      <c r="Y943" t="str">
        <f t="shared" si="14"/>
        <v>High</v>
      </c>
    </row>
    <row r="944" spans="1:25">
      <c r="A944" t="s">
        <v>1057</v>
      </c>
      <c r="B944" s="1">
        <v>44937</v>
      </c>
      <c r="C944" s="2">
        <v>2.0833333333333332E-2</v>
      </c>
      <c r="D944" t="s">
        <v>34</v>
      </c>
      <c r="E944" t="s">
        <v>130</v>
      </c>
      <c r="F944" t="s">
        <v>44</v>
      </c>
      <c r="G944" t="s">
        <v>105</v>
      </c>
      <c r="H944" s="2">
        <v>2.0833333333333332E-2</v>
      </c>
      <c r="I944" s="2">
        <v>4.2361111111111113E-2</v>
      </c>
      <c r="J944">
        <v>18</v>
      </c>
      <c r="K944">
        <v>13</v>
      </c>
      <c r="L944" t="s">
        <v>45</v>
      </c>
      <c r="M944">
        <v>2.6</v>
      </c>
      <c r="N944">
        <v>84</v>
      </c>
      <c r="O944">
        <v>20</v>
      </c>
      <c r="P944">
        <v>7.4</v>
      </c>
      <c r="Q944" t="s">
        <v>31</v>
      </c>
      <c r="R944">
        <v>50000</v>
      </c>
      <c r="S944">
        <v>10</v>
      </c>
      <c r="T944">
        <v>0</v>
      </c>
      <c r="U944">
        <v>0</v>
      </c>
      <c r="V944">
        <v>2</v>
      </c>
      <c r="W944" t="s">
        <v>32</v>
      </c>
      <c r="X944">
        <v>1</v>
      </c>
      <c r="Y944" t="str">
        <f t="shared" si="14"/>
        <v>Low</v>
      </c>
    </row>
    <row r="945" spans="1:25">
      <c r="A945" t="s">
        <v>1058</v>
      </c>
      <c r="B945" s="1">
        <v>44937</v>
      </c>
      <c r="C945" s="2">
        <v>3.125E-2</v>
      </c>
      <c r="D945" t="s">
        <v>41</v>
      </c>
      <c r="E945" t="s">
        <v>104</v>
      </c>
      <c r="F945" t="s">
        <v>75</v>
      </c>
      <c r="G945" t="s">
        <v>90</v>
      </c>
      <c r="H945" s="2">
        <v>3.3333333333333333E-2</v>
      </c>
      <c r="I945" s="2">
        <v>4.5138888888888888E-2</v>
      </c>
      <c r="J945">
        <v>15</v>
      </c>
      <c r="K945">
        <v>9</v>
      </c>
      <c r="L945" t="s">
        <v>30</v>
      </c>
      <c r="M945">
        <v>7.8</v>
      </c>
      <c r="N945">
        <v>54</v>
      </c>
      <c r="O945">
        <v>47</v>
      </c>
      <c r="P945">
        <v>13.4</v>
      </c>
      <c r="Q945" t="s">
        <v>31</v>
      </c>
      <c r="R945">
        <v>50000</v>
      </c>
      <c r="S945">
        <v>23</v>
      </c>
      <c r="T945">
        <v>0</v>
      </c>
      <c r="U945">
        <v>1</v>
      </c>
      <c r="V945">
        <v>2</v>
      </c>
      <c r="W945" t="s">
        <v>39</v>
      </c>
      <c r="X945">
        <v>1</v>
      </c>
      <c r="Y945" t="str">
        <f t="shared" si="14"/>
        <v>Low</v>
      </c>
    </row>
    <row r="946" spans="1:25">
      <c r="A946" t="s">
        <v>1059</v>
      </c>
      <c r="B946" s="1">
        <v>44937</v>
      </c>
      <c r="C946" s="2">
        <v>4.1666666666666664E-2</v>
      </c>
      <c r="D946" t="s">
        <v>41</v>
      </c>
      <c r="E946" t="s">
        <v>111</v>
      </c>
      <c r="F946" t="s">
        <v>69</v>
      </c>
      <c r="G946" t="s">
        <v>197</v>
      </c>
      <c r="H946" s="2">
        <v>4.3749999999999997E-2</v>
      </c>
      <c r="I946" s="2">
        <v>6.1111111111111109E-2</v>
      </c>
      <c r="J946">
        <v>3</v>
      </c>
      <c r="K946">
        <v>23</v>
      </c>
      <c r="L946" t="s">
        <v>45</v>
      </c>
      <c r="M946">
        <v>11.8</v>
      </c>
      <c r="N946">
        <v>74</v>
      </c>
      <c r="O946">
        <v>21</v>
      </c>
      <c r="P946">
        <v>8.6</v>
      </c>
      <c r="Q946" t="s">
        <v>71</v>
      </c>
      <c r="R946">
        <v>0</v>
      </c>
      <c r="S946">
        <v>74</v>
      </c>
      <c r="T946">
        <v>0</v>
      </c>
      <c r="U946">
        <v>0</v>
      </c>
      <c r="V946">
        <v>2</v>
      </c>
      <c r="W946" t="s">
        <v>72</v>
      </c>
      <c r="X946">
        <v>1</v>
      </c>
      <c r="Y946" t="str">
        <f t="shared" si="14"/>
        <v>High</v>
      </c>
    </row>
    <row r="947" spans="1:25">
      <c r="A947" t="s">
        <v>1060</v>
      </c>
      <c r="B947" s="1">
        <v>44937</v>
      </c>
      <c r="C947" s="2">
        <v>5.2083333333333336E-2</v>
      </c>
      <c r="D947" t="s">
        <v>26</v>
      </c>
      <c r="E947" t="s">
        <v>104</v>
      </c>
      <c r="F947" t="s">
        <v>135</v>
      </c>
      <c r="G947" t="s">
        <v>148</v>
      </c>
      <c r="H947" s="2">
        <v>5.486111111111111E-2</v>
      </c>
      <c r="I947" s="2">
        <v>6.7361111111111108E-2</v>
      </c>
      <c r="J947">
        <v>11</v>
      </c>
      <c r="K947">
        <v>16</v>
      </c>
      <c r="L947" t="s">
        <v>45</v>
      </c>
      <c r="M947">
        <v>18.8</v>
      </c>
      <c r="N947">
        <v>41</v>
      </c>
      <c r="O947">
        <v>48</v>
      </c>
      <c r="P947">
        <v>15.2</v>
      </c>
      <c r="Q947" t="s">
        <v>59</v>
      </c>
      <c r="R947">
        <v>0</v>
      </c>
      <c r="S947">
        <v>43</v>
      </c>
      <c r="T947">
        <v>0</v>
      </c>
      <c r="U947">
        <v>0</v>
      </c>
      <c r="V947">
        <v>2</v>
      </c>
      <c r="W947" t="s">
        <v>32</v>
      </c>
      <c r="X947">
        <v>1</v>
      </c>
      <c r="Y947" t="str">
        <f t="shared" si="14"/>
        <v>Medium</v>
      </c>
    </row>
    <row r="948" spans="1:25">
      <c r="A948" t="s">
        <v>1061</v>
      </c>
      <c r="B948" s="1">
        <v>44937</v>
      </c>
      <c r="C948" s="2">
        <v>6.25E-2</v>
      </c>
      <c r="D948" t="s">
        <v>41</v>
      </c>
      <c r="E948" t="s">
        <v>61</v>
      </c>
      <c r="F948" t="s">
        <v>75</v>
      </c>
      <c r="G948" t="s">
        <v>83</v>
      </c>
      <c r="H948" s="2">
        <v>6.3888888888888884E-2</v>
      </c>
      <c r="I948" s="2">
        <v>9.375E-2</v>
      </c>
      <c r="J948">
        <v>0</v>
      </c>
      <c r="K948">
        <v>29</v>
      </c>
      <c r="L948" t="s">
        <v>30</v>
      </c>
      <c r="M948">
        <v>29.5</v>
      </c>
      <c r="N948">
        <v>33</v>
      </c>
      <c r="O948">
        <v>1</v>
      </c>
      <c r="P948">
        <v>16.399999999999999</v>
      </c>
      <c r="Q948" t="s">
        <v>101</v>
      </c>
      <c r="R948">
        <v>0</v>
      </c>
      <c r="S948">
        <v>50</v>
      </c>
      <c r="T948">
        <v>0</v>
      </c>
      <c r="U948">
        <v>0</v>
      </c>
      <c r="V948">
        <v>2</v>
      </c>
      <c r="W948" t="s">
        <v>72</v>
      </c>
      <c r="X948">
        <v>1</v>
      </c>
      <c r="Y948" t="str">
        <f t="shared" si="14"/>
        <v>Medium</v>
      </c>
    </row>
    <row r="949" spans="1:25">
      <c r="A949" t="s">
        <v>1062</v>
      </c>
      <c r="B949" s="1">
        <v>44937</v>
      </c>
      <c r="C949" s="2">
        <v>7.2916666666666671E-2</v>
      </c>
      <c r="D949" t="s">
        <v>34</v>
      </c>
      <c r="E949" t="s">
        <v>61</v>
      </c>
      <c r="F949" t="s">
        <v>203</v>
      </c>
      <c r="G949" t="s">
        <v>90</v>
      </c>
      <c r="H949" s="2">
        <v>7.4305555555555555E-2</v>
      </c>
      <c r="I949" s="2">
        <v>9.2361111111111116E-2</v>
      </c>
      <c r="J949">
        <v>4</v>
      </c>
      <c r="K949">
        <v>28</v>
      </c>
      <c r="L949" t="s">
        <v>30</v>
      </c>
      <c r="M949">
        <v>1.4</v>
      </c>
      <c r="N949">
        <v>96</v>
      </c>
      <c r="O949">
        <v>16</v>
      </c>
      <c r="P949">
        <v>13.4</v>
      </c>
      <c r="Q949" t="s">
        <v>31</v>
      </c>
      <c r="R949">
        <v>50000</v>
      </c>
      <c r="S949">
        <v>16</v>
      </c>
      <c r="T949">
        <v>0</v>
      </c>
      <c r="U949">
        <v>0</v>
      </c>
      <c r="V949">
        <v>2</v>
      </c>
      <c r="W949" t="s">
        <v>55</v>
      </c>
      <c r="X949">
        <v>1</v>
      </c>
      <c r="Y949" t="str">
        <f t="shared" si="14"/>
        <v>Low</v>
      </c>
    </row>
    <row r="950" spans="1:25">
      <c r="A950" t="s">
        <v>1063</v>
      </c>
      <c r="B950" s="1">
        <v>44937</v>
      </c>
      <c r="C950" s="2">
        <v>8.3333333333333329E-2</v>
      </c>
      <c r="D950" t="s">
        <v>74</v>
      </c>
      <c r="E950" t="s">
        <v>141</v>
      </c>
      <c r="F950" t="s">
        <v>91</v>
      </c>
      <c r="G950" t="s">
        <v>29</v>
      </c>
      <c r="H950" s="2">
        <v>8.3333333333333329E-2</v>
      </c>
      <c r="I950" s="2">
        <v>0.1076388888888889</v>
      </c>
      <c r="J950">
        <v>12</v>
      </c>
      <c r="K950">
        <v>4</v>
      </c>
      <c r="L950" t="s">
        <v>30</v>
      </c>
      <c r="M950">
        <v>-4.4000000000000004</v>
      </c>
      <c r="N950">
        <v>46</v>
      </c>
      <c r="O950">
        <v>18</v>
      </c>
      <c r="P950">
        <v>9.8000000000000007</v>
      </c>
      <c r="Q950" t="s">
        <v>101</v>
      </c>
      <c r="R950">
        <v>50000</v>
      </c>
      <c r="S950">
        <v>69</v>
      </c>
      <c r="T950">
        <v>0</v>
      </c>
      <c r="U950">
        <v>0</v>
      </c>
      <c r="V950">
        <v>2</v>
      </c>
      <c r="W950" t="s">
        <v>32</v>
      </c>
      <c r="X950">
        <v>0</v>
      </c>
      <c r="Y950" t="str">
        <f t="shared" si="14"/>
        <v>High</v>
      </c>
    </row>
    <row r="951" spans="1:25">
      <c r="A951" t="s">
        <v>1064</v>
      </c>
      <c r="B951" s="1">
        <v>44937</v>
      </c>
      <c r="C951" s="2">
        <v>9.375E-2</v>
      </c>
      <c r="D951" t="s">
        <v>41</v>
      </c>
      <c r="E951" t="s">
        <v>68</v>
      </c>
      <c r="F951" t="s">
        <v>163</v>
      </c>
      <c r="G951" t="s">
        <v>96</v>
      </c>
      <c r="H951" s="2">
        <v>9.583333333333334E-2</v>
      </c>
      <c r="I951" s="2">
        <v>0.12361111111111112</v>
      </c>
      <c r="J951">
        <v>18</v>
      </c>
      <c r="K951">
        <v>25</v>
      </c>
      <c r="L951" t="s">
        <v>45</v>
      </c>
      <c r="M951">
        <v>13</v>
      </c>
      <c r="N951">
        <v>94</v>
      </c>
      <c r="O951">
        <v>39</v>
      </c>
      <c r="P951">
        <v>15.6</v>
      </c>
      <c r="Q951" t="s">
        <v>31</v>
      </c>
      <c r="R951">
        <v>0</v>
      </c>
      <c r="S951">
        <v>84</v>
      </c>
      <c r="T951">
        <v>1</v>
      </c>
      <c r="U951">
        <v>0</v>
      </c>
      <c r="V951">
        <v>2</v>
      </c>
      <c r="W951" t="s">
        <v>32</v>
      </c>
      <c r="X951">
        <v>1</v>
      </c>
      <c r="Y951" t="str">
        <f t="shared" si="14"/>
        <v>High</v>
      </c>
    </row>
    <row r="952" spans="1:25">
      <c r="A952" t="s">
        <v>1065</v>
      </c>
      <c r="B952" s="1">
        <v>44937</v>
      </c>
      <c r="C952" s="2">
        <v>0.10416666666666667</v>
      </c>
      <c r="D952" t="s">
        <v>26</v>
      </c>
      <c r="E952" t="s">
        <v>27</v>
      </c>
      <c r="F952" t="s">
        <v>62</v>
      </c>
      <c r="G952" t="s">
        <v>65</v>
      </c>
      <c r="H952" s="2">
        <v>0.10694444444444444</v>
      </c>
      <c r="I952" s="2">
        <v>0.12708333333333333</v>
      </c>
      <c r="J952">
        <v>13</v>
      </c>
      <c r="K952">
        <v>15</v>
      </c>
      <c r="L952" t="s">
        <v>84</v>
      </c>
      <c r="M952">
        <v>12.3</v>
      </c>
      <c r="N952">
        <v>82</v>
      </c>
      <c r="O952">
        <v>23</v>
      </c>
      <c r="P952">
        <v>9.9</v>
      </c>
      <c r="Q952" t="s">
        <v>31</v>
      </c>
      <c r="R952">
        <v>0</v>
      </c>
      <c r="S952">
        <v>7</v>
      </c>
      <c r="T952">
        <v>0</v>
      </c>
      <c r="U952">
        <v>1</v>
      </c>
      <c r="V952">
        <v>2</v>
      </c>
      <c r="W952" t="s">
        <v>55</v>
      </c>
      <c r="X952">
        <v>1</v>
      </c>
      <c r="Y952" t="str">
        <f t="shared" si="14"/>
        <v>Low</v>
      </c>
    </row>
    <row r="953" spans="1:25">
      <c r="A953" t="s">
        <v>1066</v>
      </c>
      <c r="B953" s="1">
        <v>44937</v>
      </c>
      <c r="C953" s="2">
        <v>0.11458333333333333</v>
      </c>
      <c r="D953" t="s">
        <v>34</v>
      </c>
      <c r="E953" t="s">
        <v>98</v>
      </c>
      <c r="F953" t="s">
        <v>66</v>
      </c>
      <c r="G953" t="s">
        <v>29</v>
      </c>
      <c r="H953" s="2">
        <v>0.11458333333333333</v>
      </c>
      <c r="I953" s="2">
        <v>0.12986111111111112</v>
      </c>
      <c r="J953">
        <v>13</v>
      </c>
      <c r="K953">
        <v>2</v>
      </c>
      <c r="L953" t="s">
        <v>38</v>
      </c>
      <c r="M953">
        <v>17.100000000000001</v>
      </c>
      <c r="N953">
        <v>86</v>
      </c>
      <c r="O953">
        <v>19</v>
      </c>
      <c r="P953">
        <v>2.2000000000000002</v>
      </c>
      <c r="Q953" t="s">
        <v>31</v>
      </c>
      <c r="R953">
        <v>0</v>
      </c>
      <c r="S953">
        <v>78</v>
      </c>
      <c r="T953">
        <v>0</v>
      </c>
      <c r="U953">
        <v>0</v>
      </c>
      <c r="V953">
        <v>2</v>
      </c>
      <c r="W953" t="s">
        <v>32</v>
      </c>
      <c r="X953">
        <v>0</v>
      </c>
      <c r="Y953" t="str">
        <f t="shared" si="14"/>
        <v>High</v>
      </c>
    </row>
    <row r="954" spans="1:25">
      <c r="A954" t="s">
        <v>1067</v>
      </c>
      <c r="B954" s="1">
        <v>44937</v>
      </c>
      <c r="C954" s="2">
        <v>0.125</v>
      </c>
      <c r="D954" t="s">
        <v>41</v>
      </c>
      <c r="E954" t="s">
        <v>104</v>
      </c>
      <c r="F954" t="s">
        <v>43</v>
      </c>
      <c r="G954" t="s">
        <v>168</v>
      </c>
      <c r="H954" s="2">
        <v>0.12638888888888888</v>
      </c>
      <c r="I954" s="2">
        <v>0.16180555555555556</v>
      </c>
      <c r="J954">
        <v>5</v>
      </c>
      <c r="K954">
        <v>17</v>
      </c>
      <c r="L954" t="s">
        <v>38</v>
      </c>
      <c r="M954">
        <v>28.3</v>
      </c>
      <c r="N954">
        <v>57</v>
      </c>
      <c r="O954">
        <v>37</v>
      </c>
      <c r="P954">
        <v>2.2999999999999998</v>
      </c>
      <c r="Q954" t="s">
        <v>46</v>
      </c>
      <c r="R954">
        <v>2000</v>
      </c>
      <c r="S954">
        <v>95</v>
      </c>
      <c r="T954">
        <v>0</v>
      </c>
      <c r="U954">
        <v>0</v>
      </c>
      <c r="V954">
        <v>2</v>
      </c>
      <c r="W954" t="s">
        <v>55</v>
      </c>
      <c r="X954">
        <v>1</v>
      </c>
      <c r="Y954" t="str">
        <f t="shared" si="14"/>
        <v>High</v>
      </c>
    </row>
    <row r="955" spans="1:25">
      <c r="A955" t="s">
        <v>1068</v>
      </c>
      <c r="B955" s="1">
        <v>44937</v>
      </c>
      <c r="C955" s="2">
        <v>0.13541666666666666</v>
      </c>
      <c r="D955" t="s">
        <v>34</v>
      </c>
      <c r="E955" t="s">
        <v>61</v>
      </c>
      <c r="F955" t="s">
        <v>151</v>
      </c>
      <c r="G955" t="s">
        <v>96</v>
      </c>
      <c r="H955" s="2">
        <v>0.13750000000000001</v>
      </c>
      <c r="I955" s="2">
        <v>0.17152777777777778</v>
      </c>
      <c r="J955">
        <v>4</v>
      </c>
      <c r="K955">
        <v>18</v>
      </c>
      <c r="L955" t="s">
        <v>45</v>
      </c>
      <c r="M955">
        <v>27.1</v>
      </c>
      <c r="N955">
        <v>45</v>
      </c>
      <c r="O955">
        <v>11</v>
      </c>
      <c r="P955">
        <v>19</v>
      </c>
      <c r="Q955" t="s">
        <v>101</v>
      </c>
      <c r="R955">
        <v>0</v>
      </c>
      <c r="S955">
        <v>73</v>
      </c>
      <c r="T955">
        <v>0</v>
      </c>
      <c r="U955">
        <v>0</v>
      </c>
      <c r="V955">
        <v>2</v>
      </c>
      <c r="W955" t="s">
        <v>55</v>
      </c>
      <c r="X955">
        <v>1</v>
      </c>
      <c r="Y955" t="str">
        <f t="shared" si="14"/>
        <v>High</v>
      </c>
    </row>
    <row r="956" spans="1:25">
      <c r="A956" t="s">
        <v>1069</v>
      </c>
      <c r="B956" s="1">
        <v>44937</v>
      </c>
      <c r="C956" s="2">
        <v>0.14583333333333334</v>
      </c>
      <c r="D956" t="s">
        <v>26</v>
      </c>
      <c r="E956" t="s">
        <v>161</v>
      </c>
      <c r="F956" t="s">
        <v>70</v>
      </c>
      <c r="G956" t="s">
        <v>142</v>
      </c>
      <c r="H956" s="2">
        <v>0.14861111111111111</v>
      </c>
      <c r="I956" s="2">
        <v>0.17569444444444443</v>
      </c>
      <c r="J956">
        <v>3</v>
      </c>
      <c r="K956">
        <v>6</v>
      </c>
      <c r="L956" t="s">
        <v>45</v>
      </c>
      <c r="M956">
        <v>-1</v>
      </c>
      <c r="N956">
        <v>50</v>
      </c>
      <c r="O956">
        <v>24</v>
      </c>
      <c r="P956">
        <v>4.3</v>
      </c>
      <c r="Q956" t="s">
        <v>71</v>
      </c>
      <c r="R956">
        <v>0</v>
      </c>
      <c r="S956">
        <v>27</v>
      </c>
      <c r="T956">
        <v>0</v>
      </c>
      <c r="U956">
        <v>1</v>
      </c>
      <c r="V956">
        <v>2</v>
      </c>
      <c r="W956" t="s">
        <v>72</v>
      </c>
      <c r="X956">
        <v>1</v>
      </c>
      <c r="Y956" t="str">
        <f t="shared" si="14"/>
        <v>Low</v>
      </c>
    </row>
    <row r="957" spans="1:25">
      <c r="A957" t="s">
        <v>1070</v>
      </c>
      <c r="B957" s="1">
        <v>44937</v>
      </c>
      <c r="C957" s="2">
        <v>0.15625</v>
      </c>
      <c r="D957" t="s">
        <v>26</v>
      </c>
      <c r="E957" t="s">
        <v>93</v>
      </c>
      <c r="F957" t="s">
        <v>75</v>
      </c>
      <c r="G957" t="s">
        <v>197</v>
      </c>
      <c r="H957" s="2">
        <v>0.15694444444444444</v>
      </c>
      <c r="I957" s="2">
        <v>0.17569444444444443</v>
      </c>
      <c r="J957">
        <v>-1</v>
      </c>
      <c r="K957">
        <v>6</v>
      </c>
      <c r="L957" t="s">
        <v>84</v>
      </c>
      <c r="M957">
        <v>32.4</v>
      </c>
      <c r="N957">
        <v>71</v>
      </c>
      <c r="O957">
        <v>22</v>
      </c>
      <c r="P957">
        <v>16.3</v>
      </c>
      <c r="Q957" t="s">
        <v>31</v>
      </c>
      <c r="R957">
        <v>0</v>
      </c>
      <c r="S957">
        <v>78</v>
      </c>
      <c r="T957">
        <v>0</v>
      </c>
      <c r="U957">
        <v>0</v>
      </c>
      <c r="V957">
        <v>2</v>
      </c>
      <c r="W957" t="s">
        <v>39</v>
      </c>
      <c r="X957">
        <v>1</v>
      </c>
      <c r="Y957" t="str">
        <f t="shared" si="14"/>
        <v>High</v>
      </c>
    </row>
    <row r="958" spans="1:25">
      <c r="A958" t="s">
        <v>1071</v>
      </c>
      <c r="B958" s="1">
        <v>44937</v>
      </c>
      <c r="C958" s="2">
        <v>0.16666666666666666</v>
      </c>
      <c r="D958" t="s">
        <v>34</v>
      </c>
      <c r="E958" t="s">
        <v>79</v>
      </c>
      <c r="F958" t="s">
        <v>128</v>
      </c>
      <c r="G958" t="s">
        <v>58</v>
      </c>
      <c r="H958" s="2">
        <v>0.16875000000000001</v>
      </c>
      <c r="I958" s="2">
        <v>0.18888888888888888</v>
      </c>
      <c r="J958">
        <v>19</v>
      </c>
      <c r="K958">
        <v>25</v>
      </c>
      <c r="L958" t="s">
        <v>30</v>
      </c>
      <c r="M958">
        <v>-0.6</v>
      </c>
      <c r="N958">
        <v>83</v>
      </c>
      <c r="O958">
        <v>49</v>
      </c>
      <c r="P958">
        <v>4.9000000000000004</v>
      </c>
      <c r="Q958" t="s">
        <v>71</v>
      </c>
      <c r="R958">
        <v>2000</v>
      </c>
      <c r="S958">
        <v>11</v>
      </c>
      <c r="T958">
        <v>0</v>
      </c>
      <c r="U958">
        <v>1</v>
      </c>
      <c r="V958">
        <v>2</v>
      </c>
      <c r="W958" t="s">
        <v>39</v>
      </c>
      <c r="X958">
        <v>1</v>
      </c>
      <c r="Y958" t="str">
        <f t="shared" si="14"/>
        <v>Low</v>
      </c>
    </row>
    <row r="959" spans="1:25">
      <c r="A959" t="s">
        <v>1072</v>
      </c>
      <c r="B959" s="1">
        <v>44937</v>
      </c>
      <c r="C959" s="2">
        <v>0.17708333333333334</v>
      </c>
      <c r="D959" t="s">
        <v>41</v>
      </c>
      <c r="E959" t="s">
        <v>93</v>
      </c>
      <c r="F959" t="s">
        <v>37</v>
      </c>
      <c r="G959" t="s">
        <v>91</v>
      </c>
      <c r="H959" s="2">
        <v>0.17986111111111111</v>
      </c>
      <c r="I959" s="2">
        <v>0.19166666666666668</v>
      </c>
      <c r="J959">
        <v>10</v>
      </c>
      <c r="K959">
        <v>12</v>
      </c>
      <c r="L959" t="s">
        <v>45</v>
      </c>
      <c r="M959">
        <v>20.399999999999999</v>
      </c>
      <c r="N959">
        <v>61</v>
      </c>
      <c r="O959">
        <v>58</v>
      </c>
      <c r="P959">
        <v>8.6</v>
      </c>
      <c r="Q959" t="s">
        <v>31</v>
      </c>
      <c r="R959">
        <v>10000</v>
      </c>
      <c r="S959">
        <v>42</v>
      </c>
      <c r="T959">
        <v>0</v>
      </c>
      <c r="U959">
        <v>0</v>
      </c>
      <c r="V959">
        <v>2</v>
      </c>
      <c r="W959" t="s">
        <v>55</v>
      </c>
      <c r="X959">
        <v>1</v>
      </c>
      <c r="Y959" t="str">
        <f t="shared" si="14"/>
        <v>Medium</v>
      </c>
    </row>
    <row r="960" spans="1:25">
      <c r="A960" t="s">
        <v>1073</v>
      </c>
      <c r="B960" s="1">
        <v>44937</v>
      </c>
      <c r="C960" s="2">
        <v>0.1875</v>
      </c>
      <c r="D960" t="s">
        <v>74</v>
      </c>
      <c r="E960" t="s">
        <v>79</v>
      </c>
      <c r="F960" t="s">
        <v>176</v>
      </c>
      <c r="G960" t="s">
        <v>123</v>
      </c>
      <c r="H960" s="2">
        <v>0.1875</v>
      </c>
      <c r="I960" s="2">
        <v>0.20555555555555555</v>
      </c>
      <c r="J960">
        <v>9</v>
      </c>
      <c r="K960">
        <v>-3</v>
      </c>
      <c r="L960" t="s">
        <v>77</v>
      </c>
      <c r="M960">
        <v>21.9</v>
      </c>
      <c r="N960">
        <v>67</v>
      </c>
      <c r="O960">
        <v>33</v>
      </c>
      <c r="P960">
        <v>13.1</v>
      </c>
      <c r="Q960" t="s">
        <v>31</v>
      </c>
      <c r="R960">
        <v>0</v>
      </c>
      <c r="S960">
        <v>81</v>
      </c>
      <c r="T960">
        <v>0</v>
      </c>
      <c r="U960">
        <v>0</v>
      </c>
      <c r="V960">
        <v>2</v>
      </c>
      <c r="W960" t="s">
        <v>72</v>
      </c>
      <c r="X960">
        <v>0</v>
      </c>
      <c r="Y960" t="str">
        <f t="shared" si="14"/>
        <v>High</v>
      </c>
    </row>
    <row r="961" spans="1:25">
      <c r="A961" t="s">
        <v>1074</v>
      </c>
      <c r="B961" s="1">
        <v>44937</v>
      </c>
      <c r="C961" s="2">
        <v>0.19791666666666666</v>
      </c>
      <c r="D961" t="s">
        <v>26</v>
      </c>
      <c r="E961" t="s">
        <v>61</v>
      </c>
      <c r="F961" t="s">
        <v>151</v>
      </c>
      <c r="G961" t="s">
        <v>144</v>
      </c>
      <c r="H961" s="2">
        <v>0.1986111111111111</v>
      </c>
      <c r="I961" s="2">
        <v>0.22569444444444445</v>
      </c>
      <c r="J961">
        <v>12</v>
      </c>
      <c r="K961">
        <v>13</v>
      </c>
      <c r="L961" t="s">
        <v>30</v>
      </c>
      <c r="M961">
        <v>22.2</v>
      </c>
      <c r="N961">
        <v>99</v>
      </c>
      <c r="O961">
        <v>31</v>
      </c>
      <c r="P961">
        <v>3.2</v>
      </c>
      <c r="Q961" t="s">
        <v>31</v>
      </c>
      <c r="R961">
        <v>0</v>
      </c>
      <c r="S961">
        <v>36</v>
      </c>
      <c r="T961">
        <v>0</v>
      </c>
      <c r="U961">
        <v>0</v>
      </c>
      <c r="V961">
        <v>2</v>
      </c>
      <c r="W961" t="s">
        <v>55</v>
      </c>
      <c r="X961">
        <v>1</v>
      </c>
      <c r="Y961" t="str">
        <f t="shared" si="14"/>
        <v>Medium</v>
      </c>
    </row>
    <row r="962" spans="1:25">
      <c r="A962" t="s">
        <v>1075</v>
      </c>
      <c r="B962" s="1">
        <v>44937</v>
      </c>
      <c r="C962" s="2">
        <v>0.20833333333333334</v>
      </c>
      <c r="D962" t="s">
        <v>41</v>
      </c>
      <c r="E962" t="s">
        <v>93</v>
      </c>
      <c r="F962" t="s">
        <v>87</v>
      </c>
      <c r="G962" t="s">
        <v>80</v>
      </c>
      <c r="H962" s="2">
        <v>0.21111111111111111</v>
      </c>
      <c r="I962" s="2">
        <v>0.23472222222222222</v>
      </c>
      <c r="J962">
        <v>6</v>
      </c>
      <c r="K962">
        <v>26</v>
      </c>
      <c r="L962" t="s">
        <v>45</v>
      </c>
      <c r="M962">
        <v>5.6</v>
      </c>
      <c r="N962">
        <v>67</v>
      </c>
      <c r="O962">
        <v>50</v>
      </c>
      <c r="P962">
        <v>14.7</v>
      </c>
      <c r="Q962" t="s">
        <v>31</v>
      </c>
      <c r="R962">
        <v>500</v>
      </c>
      <c r="S962">
        <v>87</v>
      </c>
      <c r="T962">
        <v>0</v>
      </c>
      <c r="U962">
        <v>1</v>
      </c>
      <c r="V962">
        <v>2</v>
      </c>
      <c r="W962" t="s">
        <v>72</v>
      </c>
      <c r="X962">
        <v>1</v>
      </c>
      <c r="Y962" t="str">
        <f t="shared" ref="Y962:Y1025" si="15">IF(S962&lt;=33,"Low",IF(S962&lt;=66,"Medium","High"))</f>
        <v>High</v>
      </c>
    </row>
    <row r="963" spans="1:25">
      <c r="A963" t="s">
        <v>1076</v>
      </c>
      <c r="B963" s="1">
        <v>44937</v>
      </c>
      <c r="C963" s="2">
        <v>0.21875</v>
      </c>
      <c r="D963" t="s">
        <v>41</v>
      </c>
      <c r="E963" t="s">
        <v>157</v>
      </c>
      <c r="F963" t="s">
        <v>75</v>
      </c>
      <c r="G963" t="s">
        <v>113</v>
      </c>
      <c r="H963" s="2">
        <v>0.22152777777777777</v>
      </c>
      <c r="I963" s="2">
        <v>0.24930555555555556</v>
      </c>
      <c r="J963">
        <v>-1</v>
      </c>
      <c r="K963">
        <v>22</v>
      </c>
      <c r="L963" t="s">
        <v>77</v>
      </c>
      <c r="M963">
        <v>8.1999999999999993</v>
      </c>
      <c r="N963">
        <v>83</v>
      </c>
      <c r="O963">
        <v>23</v>
      </c>
      <c r="P963">
        <v>13.8</v>
      </c>
      <c r="Q963" t="s">
        <v>31</v>
      </c>
      <c r="R963">
        <v>50000</v>
      </c>
      <c r="S963">
        <v>62</v>
      </c>
      <c r="T963">
        <v>0</v>
      </c>
      <c r="U963">
        <v>0</v>
      </c>
      <c r="V963">
        <v>2</v>
      </c>
      <c r="W963" t="s">
        <v>72</v>
      </c>
      <c r="X963">
        <v>1</v>
      </c>
      <c r="Y963" t="str">
        <f t="shared" si="15"/>
        <v>Medium</v>
      </c>
    </row>
    <row r="964" spans="1:25">
      <c r="A964" t="s">
        <v>1077</v>
      </c>
      <c r="B964" s="1">
        <v>44937</v>
      </c>
      <c r="C964" s="2">
        <v>0.22916666666666666</v>
      </c>
      <c r="D964" t="s">
        <v>74</v>
      </c>
      <c r="E964" t="s">
        <v>57</v>
      </c>
      <c r="F964" t="s">
        <v>168</v>
      </c>
      <c r="G964" t="s">
        <v>50</v>
      </c>
      <c r="H964" s="2">
        <v>0.23055555555555557</v>
      </c>
      <c r="I964" s="2">
        <v>0.25763888888888886</v>
      </c>
      <c r="J964">
        <v>14</v>
      </c>
      <c r="K964">
        <v>15</v>
      </c>
      <c r="L964" t="s">
        <v>54</v>
      </c>
      <c r="M964">
        <v>16.899999999999999</v>
      </c>
      <c r="N964">
        <v>89</v>
      </c>
      <c r="O964">
        <v>41</v>
      </c>
      <c r="P964">
        <v>10.9</v>
      </c>
      <c r="Q964" t="s">
        <v>46</v>
      </c>
      <c r="R964">
        <v>0</v>
      </c>
      <c r="S964">
        <v>92</v>
      </c>
      <c r="T964">
        <v>0</v>
      </c>
      <c r="U964">
        <v>0</v>
      </c>
      <c r="V964">
        <v>2</v>
      </c>
      <c r="W964" t="s">
        <v>39</v>
      </c>
      <c r="X964">
        <v>1</v>
      </c>
      <c r="Y964" t="str">
        <f t="shared" si="15"/>
        <v>High</v>
      </c>
    </row>
    <row r="965" spans="1:25">
      <c r="A965" t="s">
        <v>1078</v>
      </c>
      <c r="B965" s="1">
        <v>44937</v>
      </c>
      <c r="C965" s="2">
        <v>0.23958333333333334</v>
      </c>
      <c r="D965" t="s">
        <v>26</v>
      </c>
      <c r="E965" t="s">
        <v>130</v>
      </c>
      <c r="F965" t="s">
        <v>69</v>
      </c>
      <c r="G965" t="s">
        <v>36</v>
      </c>
      <c r="H965" s="2">
        <v>0.24166666666666667</v>
      </c>
      <c r="I965" s="2">
        <v>0.26041666666666669</v>
      </c>
      <c r="J965">
        <v>2</v>
      </c>
      <c r="K965">
        <v>17</v>
      </c>
      <c r="L965" t="s">
        <v>84</v>
      </c>
      <c r="M965">
        <v>3</v>
      </c>
      <c r="N965">
        <v>76</v>
      </c>
      <c r="O965">
        <v>24</v>
      </c>
      <c r="P965">
        <v>11.3</v>
      </c>
      <c r="Q965" t="s">
        <v>31</v>
      </c>
      <c r="R965">
        <v>0</v>
      </c>
      <c r="S965">
        <v>62</v>
      </c>
      <c r="T965">
        <v>0</v>
      </c>
      <c r="U965">
        <v>0</v>
      </c>
      <c r="V965">
        <v>2</v>
      </c>
      <c r="W965" t="s">
        <v>39</v>
      </c>
      <c r="X965">
        <v>1</v>
      </c>
      <c r="Y965" t="str">
        <f t="shared" si="15"/>
        <v>Medium</v>
      </c>
    </row>
    <row r="966" spans="1:25">
      <c r="A966" t="s">
        <v>1079</v>
      </c>
      <c r="B966" s="1">
        <v>44937</v>
      </c>
      <c r="C966" s="2">
        <v>0.25</v>
      </c>
      <c r="D966" t="s">
        <v>26</v>
      </c>
      <c r="E966" t="s">
        <v>57</v>
      </c>
      <c r="F966" t="s">
        <v>58</v>
      </c>
      <c r="G966" t="s">
        <v>80</v>
      </c>
      <c r="H966" s="2">
        <v>0.25138888888888888</v>
      </c>
      <c r="I966" s="2">
        <v>0.28611111111111109</v>
      </c>
      <c r="J966">
        <v>8</v>
      </c>
      <c r="K966">
        <v>13</v>
      </c>
      <c r="L966" t="s">
        <v>77</v>
      </c>
      <c r="M966">
        <v>-4.2</v>
      </c>
      <c r="N966">
        <v>41</v>
      </c>
      <c r="O966">
        <v>2</v>
      </c>
      <c r="P966">
        <v>2.1</v>
      </c>
      <c r="Q966" t="s">
        <v>31</v>
      </c>
      <c r="R966">
        <v>0</v>
      </c>
      <c r="S966">
        <v>9</v>
      </c>
      <c r="T966">
        <v>0</v>
      </c>
      <c r="U966">
        <v>0</v>
      </c>
      <c r="V966">
        <v>2</v>
      </c>
      <c r="W966" t="s">
        <v>72</v>
      </c>
      <c r="X966">
        <v>1</v>
      </c>
      <c r="Y966" t="str">
        <f t="shared" si="15"/>
        <v>Low</v>
      </c>
    </row>
    <row r="967" spans="1:25">
      <c r="A967" t="s">
        <v>1080</v>
      </c>
      <c r="B967" s="1">
        <v>44937</v>
      </c>
      <c r="C967" s="2">
        <v>0.26041666666666669</v>
      </c>
      <c r="D967" t="s">
        <v>41</v>
      </c>
      <c r="E967" t="s">
        <v>147</v>
      </c>
      <c r="F967" t="s">
        <v>154</v>
      </c>
      <c r="G967" t="s">
        <v>168</v>
      </c>
      <c r="H967" s="2">
        <v>0.26111111111111113</v>
      </c>
      <c r="I967" s="2">
        <v>0.29583333333333334</v>
      </c>
      <c r="J967">
        <v>19</v>
      </c>
      <c r="K967">
        <v>17</v>
      </c>
      <c r="L967" t="s">
        <v>45</v>
      </c>
      <c r="M967">
        <v>17.5</v>
      </c>
      <c r="N967">
        <v>82</v>
      </c>
      <c r="O967">
        <v>24</v>
      </c>
      <c r="P967">
        <v>8.6999999999999993</v>
      </c>
      <c r="Q967" t="s">
        <v>31</v>
      </c>
      <c r="R967">
        <v>0</v>
      </c>
      <c r="S967">
        <v>77</v>
      </c>
      <c r="T967">
        <v>0</v>
      </c>
      <c r="U967">
        <v>0</v>
      </c>
      <c r="V967">
        <v>2</v>
      </c>
      <c r="W967" t="s">
        <v>39</v>
      </c>
      <c r="X967">
        <v>1</v>
      </c>
      <c r="Y967" t="str">
        <f t="shared" si="15"/>
        <v>High</v>
      </c>
    </row>
    <row r="968" spans="1:25">
      <c r="A968" t="s">
        <v>1081</v>
      </c>
      <c r="B968" s="1">
        <v>44937</v>
      </c>
      <c r="C968" s="2">
        <v>0.27083333333333331</v>
      </c>
      <c r="D968" t="s">
        <v>41</v>
      </c>
      <c r="E968" t="s">
        <v>126</v>
      </c>
      <c r="F968" t="s">
        <v>197</v>
      </c>
      <c r="G968" t="s">
        <v>123</v>
      </c>
      <c r="H968" s="2">
        <v>0.27361111111111114</v>
      </c>
      <c r="I968" s="2">
        <v>0.2986111111111111</v>
      </c>
      <c r="J968">
        <v>16</v>
      </c>
      <c r="K968">
        <v>15</v>
      </c>
      <c r="L968" t="s">
        <v>38</v>
      </c>
      <c r="M968">
        <v>13.6</v>
      </c>
      <c r="N968">
        <v>62</v>
      </c>
      <c r="O968">
        <v>27</v>
      </c>
      <c r="P968">
        <v>1.7</v>
      </c>
      <c r="Q968" t="s">
        <v>63</v>
      </c>
      <c r="R968">
        <v>0</v>
      </c>
      <c r="S968">
        <v>79</v>
      </c>
      <c r="T968">
        <v>0</v>
      </c>
      <c r="U968">
        <v>0</v>
      </c>
      <c r="V968">
        <v>2</v>
      </c>
      <c r="W968" t="s">
        <v>72</v>
      </c>
      <c r="X968">
        <v>1</v>
      </c>
      <c r="Y968" t="str">
        <f t="shared" si="15"/>
        <v>High</v>
      </c>
    </row>
    <row r="969" spans="1:25">
      <c r="A969" t="s">
        <v>1082</v>
      </c>
      <c r="B969" s="1">
        <v>44937</v>
      </c>
      <c r="C969" s="2">
        <v>0.28125</v>
      </c>
      <c r="D969" t="s">
        <v>74</v>
      </c>
      <c r="E969" t="s">
        <v>157</v>
      </c>
      <c r="F969" t="s">
        <v>70</v>
      </c>
      <c r="G969" t="s">
        <v>109</v>
      </c>
      <c r="H969" s="2">
        <v>0.28263888888888888</v>
      </c>
      <c r="I969" s="2">
        <v>0.3215277777777778</v>
      </c>
      <c r="J969">
        <v>4</v>
      </c>
      <c r="K969">
        <v>3</v>
      </c>
      <c r="L969" t="s">
        <v>45</v>
      </c>
      <c r="M969">
        <v>21.3</v>
      </c>
      <c r="N969">
        <v>57</v>
      </c>
      <c r="O969">
        <v>11</v>
      </c>
      <c r="P969">
        <v>6.2</v>
      </c>
      <c r="Q969" t="s">
        <v>31</v>
      </c>
      <c r="R969">
        <v>0</v>
      </c>
      <c r="S969">
        <v>36</v>
      </c>
      <c r="T969">
        <v>0</v>
      </c>
      <c r="U969">
        <v>0</v>
      </c>
      <c r="V969">
        <v>2</v>
      </c>
      <c r="W969" t="s">
        <v>32</v>
      </c>
      <c r="X969">
        <v>0</v>
      </c>
      <c r="Y969" t="str">
        <f t="shared" si="15"/>
        <v>Medium</v>
      </c>
    </row>
    <row r="970" spans="1:25">
      <c r="A970" t="s">
        <v>1083</v>
      </c>
      <c r="B970" s="1">
        <v>44937</v>
      </c>
      <c r="C970" s="2">
        <v>0.29166666666666669</v>
      </c>
      <c r="D970" t="s">
        <v>74</v>
      </c>
      <c r="E970" t="s">
        <v>141</v>
      </c>
      <c r="F970" t="s">
        <v>29</v>
      </c>
      <c r="G970" t="s">
        <v>122</v>
      </c>
      <c r="H970" s="2">
        <v>0.29375000000000001</v>
      </c>
      <c r="I970" s="2">
        <v>0.31874999999999998</v>
      </c>
      <c r="J970">
        <v>-1</v>
      </c>
      <c r="K970">
        <v>13</v>
      </c>
      <c r="L970" t="s">
        <v>38</v>
      </c>
      <c r="M970">
        <v>0.9</v>
      </c>
      <c r="N970">
        <v>32</v>
      </c>
      <c r="O970">
        <v>25</v>
      </c>
      <c r="P970">
        <v>18</v>
      </c>
      <c r="Q970" t="s">
        <v>31</v>
      </c>
      <c r="R970">
        <v>0</v>
      </c>
      <c r="S970">
        <v>10</v>
      </c>
      <c r="T970">
        <v>0</v>
      </c>
      <c r="U970">
        <v>0</v>
      </c>
      <c r="V970">
        <v>2</v>
      </c>
      <c r="W970" t="s">
        <v>55</v>
      </c>
      <c r="X970">
        <v>1</v>
      </c>
      <c r="Y970" t="str">
        <f t="shared" si="15"/>
        <v>Low</v>
      </c>
    </row>
    <row r="971" spans="1:25">
      <c r="A971" t="s">
        <v>1084</v>
      </c>
      <c r="B971" s="1">
        <v>44937</v>
      </c>
      <c r="C971" s="2">
        <v>0.30208333333333331</v>
      </c>
      <c r="D971" t="s">
        <v>26</v>
      </c>
      <c r="E971" t="s">
        <v>126</v>
      </c>
      <c r="F971" t="s">
        <v>99</v>
      </c>
      <c r="G971" t="s">
        <v>148</v>
      </c>
      <c r="H971" s="2">
        <v>0.30277777777777776</v>
      </c>
      <c r="I971" s="2">
        <v>0.32083333333333336</v>
      </c>
      <c r="J971">
        <v>13</v>
      </c>
      <c r="K971">
        <v>-3</v>
      </c>
      <c r="L971" t="s">
        <v>84</v>
      </c>
      <c r="M971">
        <v>28.6</v>
      </c>
      <c r="N971">
        <v>55</v>
      </c>
      <c r="O971">
        <v>47</v>
      </c>
      <c r="P971">
        <v>11.5</v>
      </c>
      <c r="Q971" t="s">
        <v>31</v>
      </c>
      <c r="R971">
        <v>500</v>
      </c>
      <c r="S971">
        <v>89</v>
      </c>
      <c r="T971">
        <v>0</v>
      </c>
      <c r="U971">
        <v>0</v>
      </c>
      <c r="V971">
        <v>2</v>
      </c>
      <c r="W971" t="s">
        <v>39</v>
      </c>
      <c r="X971">
        <v>0</v>
      </c>
      <c r="Y971" t="str">
        <f t="shared" si="15"/>
        <v>High</v>
      </c>
    </row>
    <row r="972" spans="1:25">
      <c r="A972" t="s">
        <v>1085</v>
      </c>
      <c r="B972" s="1">
        <v>44937</v>
      </c>
      <c r="C972" s="2">
        <v>0.3125</v>
      </c>
      <c r="D972" t="s">
        <v>34</v>
      </c>
      <c r="E972" t="s">
        <v>42</v>
      </c>
      <c r="F972" t="s">
        <v>50</v>
      </c>
      <c r="G972" t="s">
        <v>168</v>
      </c>
      <c r="H972" s="2">
        <v>0.3125</v>
      </c>
      <c r="I972" s="2">
        <v>0.35138888888888886</v>
      </c>
      <c r="J972">
        <v>9</v>
      </c>
      <c r="K972">
        <v>2</v>
      </c>
      <c r="L972" t="s">
        <v>84</v>
      </c>
      <c r="M972">
        <v>0.8</v>
      </c>
      <c r="N972">
        <v>83</v>
      </c>
      <c r="O972">
        <v>43</v>
      </c>
      <c r="P972">
        <v>14.9</v>
      </c>
      <c r="Q972" t="s">
        <v>71</v>
      </c>
      <c r="R972">
        <v>0</v>
      </c>
      <c r="S972">
        <v>18</v>
      </c>
      <c r="T972">
        <v>0</v>
      </c>
      <c r="U972">
        <v>0</v>
      </c>
      <c r="V972">
        <v>2</v>
      </c>
      <c r="W972" t="s">
        <v>55</v>
      </c>
      <c r="X972">
        <v>0</v>
      </c>
      <c r="Y972" t="str">
        <f t="shared" si="15"/>
        <v>Low</v>
      </c>
    </row>
    <row r="973" spans="1:25">
      <c r="A973" t="s">
        <v>1086</v>
      </c>
      <c r="B973" s="1">
        <v>44937</v>
      </c>
      <c r="C973" s="2">
        <v>0.32291666666666669</v>
      </c>
      <c r="D973" t="s">
        <v>26</v>
      </c>
      <c r="E973" t="s">
        <v>79</v>
      </c>
      <c r="F973" t="s">
        <v>163</v>
      </c>
      <c r="G973" t="s">
        <v>36</v>
      </c>
      <c r="H973" s="2">
        <v>0.32430555555555557</v>
      </c>
      <c r="I973" s="2">
        <v>0.34236111111111112</v>
      </c>
      <c r="J973">
        <v>12</v>
      </c>
      <c r="K973">
        <v>22</v>
      </c>
      <c r="L973" t="s">
        <v>30</v>
      </c>
      <c r="M973">
        <v>30.7</v>
      </c>
      <c r="N973">
        <v>69</v>
      </c>
      <c r="O973">
        <v>7</v>
      </c>
      <c r="P973">
        <v>11.5</v>
      </c>
      <c r="Q973" t="s">
        <v>31</v>
      </c>
      <c r="R973">
        <v>0</v>
      </c>
      <c r="S973">
        <v>51</v>
      </c>
      <c r="T973">
        <v>0</v>
      </c>
      <c r="U973">
        <v>0</v>
      </c>
      <c r="V973">
        <v>2</v>
      </c>
      <c r="W973" t="s">
        <v>39</v>
      </c>
      <c r="X973">
        <v>1</v>
      </c>
      <c r="Y973" t="str">
        <f t="shared" si="15"/>
        <v>Medium</v>
      </c>
    </row>
    <row r="974" spans="1:25">
      <c r="A974" t="s">
        <v>1087</v>
      </c>
      <c r="B974" s="1">
        <v>44937</v>
      </c>
      <c r="C974" s="2">
        <v>0.33333333333333331</v>
      </c>
      <c r="D974" t="s">
        <v>41</v>
      </c>
      <c r="E974" t="s">
        <v>52</v>
      </c>
      <c r="F974" t="s">
        <v>62</v>
      </c>
      <c r="G974" t="s">
        <v>100</v>
      </c>
      <c r="H974" s="2">
        <v>0.33402777777777776</v>
      </c>
      <c r="I974" s="2">
        <v>0.36388888888888887</v>
      </c>
      <c r="J974">
        <v>-2</v>
      </c>
      <c r="K974">
        <v>-2</v>
      </c>
      <c r="L974" t="s">
        <v>30</v>
      </c>
      <c r="M974">
        <v>13</v>
      </c>
      <c r="N974">
        <v>95</v>
      </c>
      <c r="O974">
        <v>4</v>
      </c>
      <c r="P974">
        <v>3.9</v>
      </c>
      <c r="Q974" t="s">
        <v>31</v>
      </c>
      <c r="R974">
        <v>0</v>
      </c>
      <c r="S974">
        <v>17</v>
      </c>
      <c r="T974">
        <v>0</v>
      </c>
      <c r="U974">
        <v>0</v>
      </c>
      <c r="V974">
        <v>2</v>
      </c>
      <c r="W974" t="s">
        <v>55</v>
      </c>
      <c r="X974">
        <v>0</v>
      </c>
      <c r="Y974" t="str">
        <f t="shared" si="15"/>
        <v>Low</v>
      </c>
    </row>
    <row r="975" spans="1:25">
      <c r="A975" t="s">
        <v>1088</v>
      </c>
      <c r="B975" s="1">
        <v>44937</v>
      </c>
      <c r="C975" s="2">
        <v>0.34375</v>
      </c>
      <c r="D975" t="s">
        <v>26</v>
      </c>
      <c r="E975" t="s">
        <v>130</v>
      </c>
      <c r="F975" t="s">
        <v>144</v>
      </c>
      <c r="G975" t="s">
        <v>118</v>
      </c>
      <c r="H975" s="2">
        <v>0.34375</v>
      </c>
      <c r="I975" s="2">
        <v>0.37430555555555556</v>
      </c>
      <c r="J975">
        <v>10</v>
      </c>
      <c r="K975">
        <v>28</v>
      </c>
      <c r="L975" t="s">
        <v>38</v>
      </c>
      <c r="M975">
        <v>17</v>
      </c>
      <c r="N975">
        <v>97</v>
      </c>
      <c r="O975">
        <v>10</v>
      </c>
      <c r="P975">
        <v>11.9</v>
      </c>
      <c r="Q975" t="s">
        <v>31</v>
      </c>
      <c r="R975">
        <v>0</v>
      </c>
      <c r="S975">
        <v>93</v>
      </c>
      <c r="T975">
        <v>0</v>
      </c>
      <c r="U975">
        <v>0</v>
      </c>
      <c r="V975">
        <v>2</v>
      </c>
      <c r="W975" t="s">
        <v>55</v>
      </c>
      <c r="X975">
        <v>1</v>
      </c>
      <c r="Y975" t="str">
        <f t="shared" si="15"/>
        <v>High</v>
      </c>
    </row>
    <row r="976" spans="1:25">
      <c r="A976" t="s">
        <v>1089</v>
      </c>
      <c r="B976" s="1">
        <v>44937</v>
      </c>
      <c r="C976" s="2">
        <v>0.35416666666666669</v>
      </c>
      <c r="D976" t="s">
        <v>34</v>
      </c>
      <c r="E976" t="s">
        <v>89</v>
      </c>
      <c r="F976" t="s">
        <v>163</v>
      </c>
      <c r="G976" t="s">
        <v>148</v>
      </c>
      <c r="H976" s="2">
        <v>0.35555555555555557</v>
      </c>
      <c r="I976" s="2">
        <v>0.39027777777777778</v>
      </c>
      <c r="J976">
        <v>3</v>
      </c>
      <c r="K976">
        <v>1</v>
      </c>
      <c r="L976" t="s">
        <v>38</v>
      </c>
      <c r="M976">
        <v>30.9</v>
      </c>
      <c r="N976">
        <v>76</v>
      </c>
      <c r="O976">
        <v>41</v>
      </c>
      <c r="P976">
        <v>15.1</v>
      </c>
      <c r="Q976" t="s">
        <v>31</v>
      </c>
      <c r="R976">
        <v>0</v>
      </c>
      <c r="S976">
        <v>31</v>
      </c>
      <c r="T976">
        <v>0</v>
      </c>
      <c r="U976">
        <v>0</v>
      </c>
      <c r="V976">
        <v>2</v>
      </c>
      <c r="W976" t="s">
        <v>39</v>
      </c>
      <c r="X976">
        <v>0</v>
      </c>
      <c r="Y976" t="str">
        <f t="shared" si="15"/>
        <v>Low</v>
      </c>
    </row>
    <row r="977" spans="1:25">
      <c r="A977" t="s">
        <v>1090</v>
      </c>
      <c r="B977" s="1">
        <v>44937</v>
      </c>
      <c r="C977" s="2">
        <v>0.36458333333333331</v>
      </c>
      <c r="D977" t="s">
        <v>74</v>
      </c>
      <c r="E977" t="s">
        <v>126</v>
      </c>
      <c r="F977" t="s">
        <v>69</v>
      </c>
      <c r="G977" t="s">
        <v>203</v>
      </c>
      <c r="H977" s="2">
        <v>0.36527777777777776</v>
      </c>
      <c r="I977" s="2">
        <v>0.37916666666666665</v>
      </c>
      <c r="J977">
        <v>10</v>
      </c>
      <c r="K977">
        <v>27</v>
      </c>
      <c r="L977" t="s">
        <v>84</v>
      </c>
      <c r="M977">
        <v>7</v>
      </c>
      <c r="N977">
        <v>31</v>
      </c>
      <c r="O977">
        <v>34</v>
      </c>
      <c r="P977">
        <v>2.8</v>
      </c>
      <c r="Q977" t="s">
        <v>31</v>
      </c>
      <c r="R977">
        <v>10000</v>
      </c>
      <c r="S977">
        <v>22</v>
      </c>
      <c r="T977">
        <v>0</v>
      </c>
      <c r="U977">
        <v>0</v>
      </c>
      <c r="V977">
        <v>2</v>
      </c>
      <c r="W977" t="s">
        <v>39</v>
      </c>
      <c r="X977">
        <v>1</v>
      </c>
      <c r="Y977" t="str">
        <f t="shared" si="15"/>
        <v>Low</v>
      </c>
    </row>
    <row r="978" spans="1:25">
      <c r="A978" t="s">
        <v>1091</v>
      </c>
      <c r="B978" s="1">
        <v>44937</v>
      </c>
      <c r="C978" s="2">
        <v>0.375</v>
      </c>
      <c r="D978" t="s">
        <v>34</v>
      </c>
      <c r="E978" t="s">
        <v>68</v>
      </c>
      <c r="F978" t="s">
        <v>100</v>
      </c>
      <c r="G978" t="s">
        <v>118</v>
      </c>
      <c r="H978" s="2">
        <v>0.37569444444444444</v>
      </c>
      <c r="I978" s="2">
        <v>0.40138888888888891</v>
      </c>
      <c r="J978">
        <v>15</v>
      </c>
      <c r="K978">
        <v>8</v>
      </c>
      <c r="L978" t="s">
        <v>77</v>
      </c>
      <c r="M978">
        <v>2.2999999999999998</v>
      </c>
      <c r="N978">
        <v>71</v>
      </c>
      <c r="O978">
        <v>26</v>
      </c>
      <c r="P978">
        <v>16.3</v>
      </c>
      <c r="Q978" t="s">
        <v>71</v>
      </c>
      <c r="R978">
        <v>0</v>
      </c>
      <c r="S978">
        <v>11</v>
      </c>
      <c r="T978">
        <v>0</v>
      </c>
      <c r="U978">
        <v>0</v>
      </c>
      <c r="V978">
        <v>2</v>
      </c>
      <c r="W978" t="s">
        <v>39</v>
      </c>
      <c r="X978">
        <v>1</v>
      </c>
      <c r="Y978" t="str">
        <f t="shared" si="15"/>
        <v>Low</v>
      </c>
    </row>
    <row r="979" spans="1:25">
      <c r="A979" t="s">
        <v>1092</v>
      </c>
      <c r="B979" s="1">
        <v>44937</v>
      </c>
      <c r="C979" s="2">
        <v>0.38541666666666669</v>
      </c>
      <c r="D979" t="s">
        <v>34</v>
      </c>
      <c r="E979" t="s">
        <v>98</v>
      </c>
      <c r="F979" t="s">
        <v>37</v>
      </c>
      <c r="G979" t="s">
        <v>43</v>
      </c>
      <c r="H979" s="2">
        <v>0.38680555555555557</v>
      </c>
      <c r="I979" s="2">
        <v>0.41249999999999998</v>
      </c>
      <c r="J979">
        <v>0</v>
      </c>
      <c r="K979">
        <v>26</v>
      </c>
      <c r="L979" t="s">
        <v>38</v>
      </c>
      <c r="M979">
        <v>12.8</v>
      </c>
      <c r="N979">
        <v>63</v>
      </c>
      <c r="O979">
        <v>54</v>
      </c>
      <c r="P979">
        <v>11.1</v>
      </c>
      <c r="Q979" t="s">
        <v>101</v>
      </c>
      <c r="R979">
        <v>0</v>
      </c>
      <c r="S979">
        <v>57</v>
      </c>
      <c r="T979">
        <v>0</v>
      </c>
      <c r="U979">
        <v>0</v>
      </c>
      <c r="V979">
        <v>2</v>
      </c>
      <c r="W979" t="s">
        <v>39</v>
      </c>
      <c r="X979">
        <v>1</v>
      </c>
      <c r="Y979" t="str">
        <f t="shared" si="15"/>
        <v>Medium</v>
      </c>
    </row>
    <row r="980" spans="1:25">
      <c r="A980" t="s">
        <v>1093</v>
      </c>
      <c r="B980" s="1">
        <v>44937</v>
      </c>
      <c r="C980" s="2">
        <v>0.39583333333333331</v>
      </c>
      <c r="D980" t="s">
        <v>34</v>
      </c>
      <c r="E980" t="s">
        <v>98</v>
      </c>
      <c r="F980" t="s">
        <v>44</v>
      </c>
      <c r="G980" t="s">
        <v>113</v>
      </c>
      <c r="H980" s="2">
        <v>0.39652777777777776</v>
      </c>
      <c r="I980" s="2">
        <v>0.42916666666666664</v>
      </c>
      <c r="J980">
        <v>-2</v>
      </c>
      <c r="K980">
        <v>2</v>
      </c>
      <c r="L980" t="s">
        <v>38</v>
      </c>
      <c r="M980">
        <v>4.8</v>
      </c>
      <c r="N980">
        <v>50</v>
      </c>
      <c r="O980">
        <v>40</v>
      </c>
      <c r="P980">
        <v>0.1</v>
      </c>
      <c r="Q980" t="s">
        <v>101</v>
      </c>
      <c r="R980">
        <v>0</v>
      </c>
      <c r="S980">
        <v>76</v>
      </c>
      <c r="T980">
        <v>0</v>
      </c>
      <c r="U980">
        <v>0</v>
      </c>
      <c r="V980">
        <v>2</v>
      </c>
      <c r="W980" t="s">
        <v>72</v>
      </c>
      <c r="X980">
        <v>0</v>
      </c>
      <c r="Y980" t="str">
        <f t="shared" si="15"/>
        <v>High</v>
      </c>
    </row>
    <row r="981" spans="1:25">
      <c r="A981" t="s">
        <v>1094</v>
      </c>
      <c r="B981" s="1">
        <v>44937</v>
      </c>
      <c r="C981" s="2">
        <v>0.40625</v>
      </c>
      <c r="D981" t="s">
        <v>74</v>
      </c>
      <c r="E981" t="s">
        <v>93</v>
      </c>
      <c r="F981" t="s">
        <v>142</v>
      </c>
      <c r="G981" t="s">
        <v>75</v>
      </c>
      <c r="H981" s="2">
        <v>0.40902777777777777</v>
      </c>
      <c r="I981" s="2">
        <v>0.4236111111111111</v>
      </c>
      <c r="J981">
        <v>12</v>
      </c>
      <c r="K981">
        <v>11</v>
      </c>
      <c r="L981" t="s">
        <v>77</v>
      </c>
      <c r="M981">
        <v>16.100000000000001</v>
      </c>
      <c r="N981">
        <v>73</v>
      </c>
      <c r="O981">
        <v>43</v>
      </c>
      <c r="P981">
        <v>10.4</v>
      </c>
      <c r="Q981" t="s">
        <v>71</v>
      </c>
      <c r="R981">
        <v>10000</v>
      </c>
      <c r="S981">
        <v>20</v>
      </c>
      <c r="T981">
        <v>0</v>
      </c>
      <c r="U981">
        <v>0</v>
      </c>
      <c r="V981">
        <v>2</v>
      </c>
      <c r="W981" t="s">
        <v>39</v>
      </c>
      <c r="X981">
        <v>1</v>
      </c>
      <c r="Y981" t="str">
        <f t="shared" si="15"/>
        <v>Low</v>
      </c>
    </row>
    <row r="982" spans="1:25">
      <c r="A982" t="s">
        <v>1095</v>
      </c>
      <c r="B982" s="1">
        <v>44937</v>
      </c>
      <c r="C982" s="2">
        <v>0.41666666666666669</v>
      </c>
      <c r="D982" t="s">
        <v>34</v>
      </c>
      <c r="E982" t="s">
        <v>57</v>
      </c>
      <c r="F982" t="s">
        <v>76</v>
      </c>
      <c r="G982" t="s">
        <v>113</v>
      </c>
      <c r="H982" s="2">
        <v>0.41805555555555557</v>
      </c>
      <c r="I982" s="2">
        <v>0.44166666666666665</v>
      </c>
      <c r="J982">
        <v>10</v>
      </c>
      <c r="K982">
        <v>11</v>
      </c>
      <c r="L982" t="s">
        <v>30</v>
      </c>
      <c r="M982">
        <v>6</v>
      </c>
      <c r="N982">
        <v>31</v>
      </c>
      <c r="O982">
        <v>37</v>
      </c>
      <c r="P982">
        <v>7.9</v>
      </c>
      <c r="Q982" t="s">
        <v>31</v>
      </c>
      <c r="R982">
        <v>0</v>
      </c>
      <c r="S982">
        <v>20</v>
      </c>
      <c r="T982">
        <v>0</v>
      </c>
      <c r="U982">
        <v>0</v>
      </c>
      <c r="V982">
        <v>2</v>
      </c>
      <c r="W982" t="s">
        <v>39</v>
      </c>
      <c r="X982">
        <v>1</v>
      </c>
      <c r="Y982" t="str">
        <f t="shared" si="15"/>
        <v>Low</v>
      </c>
    </row>
    <row r="983" spans="1:25">
      <c r="A983" t="s">
        <v>1096</v>
      </c>
      <c r="B983" s="1">
        <v>44937</v>
      </c>
      <c r="C983" s="2">
        <v>0.42708333333333331</v>
      </c>
      <c r="D983" t="s">
        <v>34</v>
      </c>
      <c r="E983" t="s">
        <v>89</v>
      </c>
      <c r="F983" t="s">
        <v>151</v>
      </c>
      <c r="G983" t="s">
        <v>148</v>
      </c>
      <c r="H983" s="2">
        <v>0.42777777777777776</v>
      </c>
      <c r="I983" s="2">
        <v>0.45763888888888887</v>
      </c>
      <c r="J983">
        <v>2</v>
      </c>
      <c r="K983">
        <v>12</v>
      </c>
      <c r="L983" t="s">
        <v>30</v>
      </c>
      <c r="M983">
        <v>29.6</v>
      </c>
      <c r="N983">
        <v>88</v>
      </c>
      <c r="O983">
        <v>18</v>
      </c>
      <c r="P983">
        <v>5.9</v>
      </c>
      <c r="Q983" t="s">
        <v>59</v>
      </c>
      <c r="R983">
        <v>0</v>
      </c>
      <c r="S983">
        <v>92</v>
      </c>
      <c r="T983">
        <v>0</v>
      </c>
      <c r="U983">
        <v>0</v>
      </c>
      <c r="V983">
        <v>2</v>
      </c>
      <c r="W983" t="s">
        <v>39</v>
      </c>
      <c r="X983">
        <v>1</v>
      </c>
      <c r="Y983" t="str">
        <f t="shared" si="15"/>
        <v>High</v>
      </c>
    </row>
    <row r="984" spans="1:25">
      <c r="A984" t="s">
        <v>1097</v>
      </c>
      <c r="B984" s="1">
        <v>44937</v>
      </c>
      <c r="C984" s="2">
        <v>0.4375</v>
      </c>
      <c r="D984" t="s">
        <v>34</v>
      </c>
      <c r="E984" t="s">
        <v>57</v>
      </c>
      <c r="F984" t="s">
        <v>122</v>
      </c>
      <c r="G984" t="s">
        <v>203</v>
      </c>
      <c r="H984" s="2">
        <v>0.4375</v>
      </c>
      <c r="I984" s="2">
        <v>0.47708333333333336</v>
      </c>
      <c r="J984">
        <v>10</v>
      </c>
      <c r="K984">
        <v>16</v>
      </c>
      <c r="L984" t="s">
        <v>38</v>
      </c>
      <c r="M984">
        <v>19.3</v>
      </c>
      <c r="N984">
        <v>45</v>
      </c>
      <c r="O984">
        <v>47</v>
      </c>
      <c r="P984">
        <v>15.4</v>
      </c>
      <c r="Q984" t="s">
        <v>59</v>
      </c>
      <c r="R984">
        <v>0</v>
      </c>
      <c r="S984">
        <v>92</v>
      </c>
      <c r="T984">
        <v>0</v>
      </c>
      <c r="U984">
        <v>0</v>
      </c>
      <c r="V984">
        <v>2</v>
      </c>
      <c r="W984" t="s">
        <v>32</v>
      </c>
      <c r="X984">
        <v>1</v>
      </c>
      <c r="Y984" t="str">
        <f t="shared" si="15"/>
        <v>High</v>
      </c>
    </row>
    <row r="985" spans="1:25">
      <c r="A985" t="s">
        <v>1098</v>
      </c>
      <c r="B985" s="1">
        <v>44937</v>
      </c>
      <c r="C985" s="2">
        <v>0.44791666666666669</v>
      </c>
      <c r="D985" t="s">
        <v>41</v>
      </c>
      <c r="E985" t="s">
        <v>89</v>
      </c>
      <c r="F985" t="s">
        <v>118</v>
      </c>
      <c r="G985" t="s">
        <v>66</v>
      </c>
      <c r="H985" s="2">
        <v>0.44791666666666669</v>
      </c>
      <c r="I985" s="2">
        <v>0.46388888888888891</v>
      </c>
      <c r="J985">
        <v>19</v>
      </c>
      <c r="K985">
        <v>9</v>
      </c>
      <c r="L985" t="s">
        <v>30</v>
      </c>
      <c r="M985">
        <v>-5</v>
      </c>
      <c r="N985">
        <v>49</v>
      </c>
      <c r="O985">
        <v>52</v>
      </c>
      <c r="P985">
        <v>18</v>
      </c>
      <c r="Q985" t="s">
        <v>59</v>
      </c>
      <c r="R985">
        <v>0</v>
      </c>
      <c r="S985">
        <v>90</v>
      </c>
      <c r="T985">
        <v>0</v>
      </c>
      <c r="U985">
        <v>0</v>
      </c>
      <c r="V985">
        <v>2</v>
      </c>
      <c r="W985" t="s">
        <v>55</v>
      </c>
      <c r="X985">
        <v>1</v>
      </c>
      <c r="Y985" t="str">
        <f t="shared" si="15"/>
        <v>High</v>
      </c>
    </row>
    <row r="986" spans="1:25">
      <c r="A986" t="s">
        <v>1099</v>
      </c>
      <c r="B986" s="1">
        <v>44937</v>
      </c>
      <c r="C986" s="2">
        <v>0.45833333333333331</v>
      </c>
      <c r="D986" t="s">
        <v>34</v>
      </c>
      <c r="E986" t="s">
        <v>89</v>
      </c>
      <c r="F986" t="s">
        <v>66</v>
      </c>
      <c r="G986" t="s">
        <v>109</v>
      </c>
      <c r="H986" s="2">
        <v>0.46111111111111114</v>
      </c>
      <c r="I986" s="2">
        <v>0.49236111111111114</v>
      </c>
      <c r="J986">
        <v>2</v>
      </c>
      <c r="K986">
        <v>27</v>
      </c>
      <c r="L986" t="s">
        <v>30</v>
      </c>
      <c r="M986">
        <v>27.2</v>
      </c>
      <c r="N986">
        <v>55</v>
      </c>
      <c r="O986">
        <v>54</v>
      </c>
      <c r="P986">
        <v>15.3</v>
      </c>
      <c r="Q986" t="s">
        <v>31</v>
      </c>
      <c r="R986">
        <v>2000</v>
      </c>
      <c r="S986">
        <v>28</v>
      </c>
      <c r="T986">
        <v>1</v>
      </c>
      <c r="U986">
        <v>0</v>
      </c>
      <c r="V986">
        <v>2</v>
      </c>
      <c r="W986" t="s">
        <v>39</v>
      </c>
      <c r="X986">
        <v>1</v>
      </c>
      <c r="Y986" t="str">
        <f t="shared" si="15"/>
        <v>Low</v>
      </c>
    </row>
    <row r="987" spans="1:25">
      <c r="A987" t="s">
        <v>1100</v>
      </c>
      <c r="B987" s="1">
        <v>44937</v>
      </c>
      <c r="C987" s="2">
        <v>0.46875</v>
      </c>
      <c r="D987" t="s">
        <v>74</v>
      </c>
      <c r="E987" t="s">
        <v>161</v>
      </c>
      <c r="F987" t="s">
        <v>44</v>
      </c>
      <c r="G987" t="s">
        <v>44</v>
      </c>
      <c r="H987" s="2">
        <v>0.47013888888888888</v>
      </c>
      <c r="I987" s="2">
        <v>0.49583333333333335</v>
      </c>
      <c r="J987">
        <v>16</v>
      </c>
      <c r="K987">
        <v>25</v>
      </c>
      <c r="L987" t="s">
        <v>54</v>
      </c>
      <c r="M987">
        <v>8.1999999999999993</v>
      </c>
      <c r="N987">
        <v>45</v>
      </c>
      <c r="O987">
        <v>55</v>
      </c>
      <c r="P987">
        <v>16.899999999999999</v>
      </c>
      <c r="Q987" t="s">
        <v>31</v>
      </c>
      <c r="R987">
        <v>0</v>
      </c>
      <c r="S987">
        <v>78</v>
      </c>
      <c r="T987">
        <v>1</v>
      </c>
      <c r="U987">
        <v>1</v>
      </c>
      <c r="V987">
        <v>2</v>
      </c>
      <c r="W987" t="s">
        <v>39</v>
      </c>
      <c r="X987">
        <v>1</v>
      </c>
      <c r="Y987" t="str">
        <f t="shared" si="15"/>
        <v>High</v>
      </c>
    </row>
    <row r="988" spans="1:25">
      <c r="A988" t="s">
        <v>1101</v>
      </c>
      <c r="B988" s="1">
        <v>44937</v>
      </c>
      <c r="C988" s="2">
        <v>0.47916666666666669</v>
      </c>
      <c r="D988" t="s">
        <v>34</v>
      </c>
      <c r="E988" t="s">
        <v>141</v>
      </c>
      <c r="F988" t="s">
        <v>105</v>
      </c>
      <c r="G988" t="s">
        <v>113</v>
      </c>
      <c r="H988" s="2">
        <v>0.47986111111111113</v>
      </c>
      <c r="I988" s="2">
        <v>0.49444444444444446</v>
      </c>
      <c r="J988">
        <v>18</v>
      </c>
      <c r="K988">
        <v>-1</v>
      </c>
      <c r="L988" t="s">
        <v>30</v>
      </c>
      <c r="M988">
        <v>7.8</v>
      </c>
      <c r="N988">
        <v>99</v>
      </c>
      <c r="O988">
        <v>31</v>
      </c>
      <c r="P988">
        <v>18.2</v>
      </c>
      <c r="Q988" t="s">
        <v>63</v>
      </c>
      <c r="R988">
        <v>10000</v>
      </c>
      <c r="S988">
        <v>46</v>
      </c>
      <c r="T988">
        <v>0</v>
      </c>
      <c r="U988">
        <v>0</v>
      </c>
      <c r="V988">
        <v>2</v>
      </c>
      <c r="W988" t="s">
        <v>55</v>
      </c>
      <c r="X988">
        <v>0</v>
      </c>
      <c r="Y988" t="str">
        <f t="shared" si="15"/>
        <v>Medium</v>
      </c>
    </row>
    <row r="989" spans="1:25">
      <c r="A989" t="s">
        <v>1102</v>
      </c>
      <c r="B989" s="1">
        <v>44937</v>
      </c>
      <c r="C989" s="2">
        <v>0.48958333333333331</v>
      </c>
      <c r="D989" t="s">
        <v>34</v>
      </c>
      <c r="E989" t="s">
        <v>42</v>
      </c>
      <c r="F989" t="s">
        <v>96</v>
      </c>
      <c r="G989" t="s">
        <v>144</v>
      </c>
      <c r="H989" s="2">
        <v>0.49027777777777776</v>
      </c>
      <c r="I989" s="2">
        <v>0.51875000000000004</v>
      </c>
      <c r="J989">
        <v>15</v>
      </c>
      <c r="K989">
        <v>5</v>
      </c>
      <c r="L989" t="s">
        <v>84</v>
      </c>
      <c r="M989">
        <v>10.3</v>
      </c>
      <c r="N989">
        <v>52</v>
      </c>
      <c r="O989">
        <v>45</v>
      </c>
      <c r="P989">
        <v>18.3</v>
      </c>
      <c r="Q989" t="s">
        <v>63</v>
      </c>
      <c r="R989">
        <v>0</v>
      </c>
      <c r="S989">
        <v>11</v>
      </c>
      <c r="T989">
        <v>0</v>
      </c>
      <c r="U989">
        <v>1</v>
      </c>
      <c r="V989">
        <v>2</v>
      </c>
      <c r="W989" t="s">
        <v>55</v>
      </c>
      <c r="X989">
        <v>0</v>
      </c>
      <c r="Y989" t="str">
        <f t="shared" si="15"/>
        <v>Low</v>
      </c>
    </row>
    <row r="990" spans="1:25">
      <c r="A990" t="s">
        <v>1103</v>
      </c>
      <c r="B990" s="1">
        <v>44937</v>
      </c>
      <c r="C990" s="2">
        <v>0.5</v>
      </c>
      <c r="D990" t="s">
        <v>74</v>
      </c>
      <c r="E990" t="s">
        <v>161</v>
      </c>
      <c r="F990" t="s">
        <v>142</v>
      </c>
      <c r="G990" t="s">
        <v>118</v>
      </c>
      <c r="H990" s="2">
        <v>0.5</v>
      </c>
      <c r="I990" s="2">
        <v>0.52569444444444446</v>
      </c>
      <c r="J990">
        <v>18</v>
      </c>
      <c r="K990">
        <v>7</v>
      </c>
      <c r="L990" t="s">
        <v>45</v>
      </c>
      <c r="M990">
        <v>20.2</v>
      </c>
      <c r="N990">
        <v>71</v>
      </c>
      <c r="O990">
        <v>27</v>
      </c>
      <c r="P990">
        <v>2.2999999999999998</v>
      </c>
      <c r="Q990" t="s">
        <v>31</v>
      </c>
      <c r="R990">
        <v>50000</v>
      </c>
      <c r="S990">
        <v>57</v>
      </c>
      <c r="T990">
        <v>0</v>
      </c>
      <c r="U990">
        <v>0</v>
      </c>
      <c r="V990">
        <v>2</v>
      </c>
      <c r="W990" t="s">
        <v>72</v>
      </c>
      <c r="X990">
        <v>1</v>
      </c>
      <c r="Y990" t="str">
        <f t="shared" si="15"/>
        <v>Medium</v>
      </c>
    </row>
    <row r="991" spans="1:25">
      <c r="A991" t="s">
        <v>1104</v>
      </c>
      <c r="B991" s="1">
        <v>44937</v>
      </c>
      <c r="C991" s="2">
        <v>0.51041666666666663</v>
      </c>
      <c r="D991" t="s">
        <v>34</v>
      </c>
      <c r="E991" t="s">
        <v>98</v>
      </c>
      <c r="F991" t="s">
        <v>185</v>
      </c>
      <c r="G991" t="s">
        <v>203</v>
      </c>
      <c r="H991" s="2">
        <v>0.5131944444444444</v>
      </c>
      <c r="I991" s="2">
        <v>0.54166666666666663</v>
      </c>
      <c r="J991">
        <v>19</v>
      </c>
      <c r="K991">
        <v>7</v>
      </c>
      <c r="L991" t="s">
        <v>38</v>
      </c>
      <c r="M991">
        <v>12.7</v>
      </c>
      <c r="N991">
        <v>66</v>
      </c>
      <c r="O991">
        <v>35</v>
      </c>
      <c r="P991">
        <v>9.1</v>
      </c>
      <c r="Q991" t="s">
        <v>63</v>
      </c>
      <c r="R991">
        <v>0</v>
      </c>
      <c r="S991">
        <v>40</v>
      </c>
      <c r="T991">
        <v>0</v>
      </c>
      <c r="U991">
        <v>1</v>
      </c>
      <c r="V991">
        <v>2</v>
      </c>
      <c r="W991" t="s">
        <v>55</v>
      </c>
      <c r="X991">
        <v>1</v>
      </c>
      <c r="Y991" t="str">
        <f t="shared" si="15"/>
        <v>Medium</v>
      </c>
    </row>
    <row r="992" spans="1:25">
      <c r="A992" t="s">
        <v>1105</v>
      </c>
      <c r="B992" s="1">
        <v>44937</v>
      </c>
      <c r="C992" s="2">
        <v>0.52083333333333337</v>
      </c>
      <c r="D992" t="s">
        <v>74</v>
      </c>
      <c r="E992" t="s">
        <v>79</v>
      </c>
      <c r="F992" t="s">
        <v>151</v>
      </c>
      <c r="G992" t="s">
        <v>99</v>
      </c>
      <c r="H992" s="2">
        <v>0.52083333333333337</v>
      </c>
      <c r="I992" s="2">
        <v>0.55902777777777779</v>
      </c>
      <c r="J992">
        <v>7</v>
      </c>
      <c r="K992">
        <v>21</v>
      </c>
      <c r="L992" t="s">
        <v>38</v>
      </c>
      <c r="M992">
        <v>20.100000000000001</v>
      </c>
      <c r="N992">
        <v>35</v>
      </c>
      <c r="O992">
        <v>17</v>
      </c>
      <c r="P992">
        <v>0</v>
      </c>
      <c r="Q992" t="s">
        <v>46</v>
      </c>
      <c r="R992">
        <v>10000</v>
      </c>
      <c r="S992">
        <v>18</v>
      </c>
      <c r="T992">
        <v>0</v>
      </c>
      <c r="U992">
        <v>0</v>
      </c>
      <c r="V992">
        <v>2</v>
      </c>
      <c r="W992" t="s">
        <v>55</v>
      </c>
      <c r="X992">
        <v>1</v>
      </c>
      <c r="Y992" t="str">
        <f t="shared" si="15"/>
        <v>Low</v>
      </c>
    </row>
    <row r="993" spans="1:25">
      <c r="A993" t="s">
        <v>1106</v>
      </c>
      <c r="B993" s="1">
        <v>44937</v>
      </c>
      <c r="C993" s="2">
        <v>0.53125</v>
      </c>
      <c r="D993" t="s">
        <v>34</v>
      </c>
      <c r="E993" t="s">
        <v>52</v>
      </c>
      <c r="F993" t="s">
        <v>113</v>
      </c>
      <c r="G993" t="s">
        <v>58</v>
      </c>
      <c r="H993" s="2">
        <v>0.53125</v>
      </c>
      <c r="I993" s="2">
        <v>0.55000000000000004</v>
      </c>
      <c r="J993">
        <v>5</v>
      </c>
      <c r="K993">
        <v>18</v>
      </c>
      <c r="L993" t="s">
        <v>84</v>
      </c>
      <c r="M993">
        <v>0.9</v>
      </c>
      <c r="N993">
        <v>66</v>
      </c>
      <c r="O993">
        <v>9</v>
      </c>
      <c r="P993">
        <v>10.1</v>
      </c>
      <c r="Q993" t="s">
        <v>31</v>
      </c>
      <c r="R993">
        <v>0</v>
      </c>
      <c r="S993">
        <v>11</v>
      </c>
      <c r="T993">
        <v>0</v>
      </c>
      <c r="U993">
        <v>1</v>
      </c>
      <c r="V993">
        <v>2</v>
      </c>
      <c r="W993" t="s">
        <v>32</v>
      </c>
      <c r="X993">
        <v>1</v>
      </c>
      <c r="Y993" t="str">
        <f t="shared" si="15"/>
        <v>Low</v>
      </c>
    </row>
    <row r="994" spans="1:25">
      <c r="A994" t="s">
        <v>1107</v>
      </c>
      <c r="B994" s="1">
        <v>44937</v>
      </c>
      <c r="C994" s="2">
        <v>0.54166666666666663</v>
      </c>
      <c r="D994" t="s">
        <v>74</v>
      </c>
      <c r="E994" t="s">
        <v>147</v>
      </c>
      <c r="F994" t="s">
        <v>53</v>
      </c>
      <c r="G994" t="s">
        <v>50</v>
      </c>
      <c r="H994" s="2">
        <v>0.5444444444444444</v>
      </c>
      <c r="I994" s="2">
        <v>0.56666666666666665</v>
      </c>
      <c r="J994">
        <v>12</v>
      </c>
      <c r="K994">
        <v>5</v>
      </c>
      <c r="L994" t="s">
        <v>45</v>
      </c>
      <c r="M994">
        <v>33.799999999999997</v>
      </c>
      <c r="N994">
        <v>51</v>
      </c>
      <c r="O994">
        <v>31</v>
      </c>
      <c r="P994">
        <v>18.5</v>
      </c>
      <c r="Q994" t="s">
        <v>31</v>
      </c>
      <c r="R994">
        <v>0</v>
      </c>
      <c r="S994">
        <v>22</v>
      </c>
      <c r="T994">
        <v>0</v>
      </c>
      <c r="U994">
        <v>0</v>
      </c>
      <c r="V994">
        <v>2</v>
      </c>
      <c r="W994" t="s">
        <v>72</v>
      </c>
      <c r="X994">
        <v>0</v>
      </c>
      <c r="Y994" t="str">
        <f t="shared" si="15"/>
        <v>Low</v>
      </c>
    </row>
    <row r="995" spans="1:25">
      <c r="A995" t="s">
        <v>1108</v>
      </c>
      <c r="B995" s="1">
        <v>44937</v>
      </c>
      <c r="C995" s="2">
        <v>0.55208333333333337</v>
      </c>
      <c r="D995" t="s">
        <v>34</v>
      </c>
      <c r="E995" t="s">
        <v>141</v>
      </c>
      <c r="F995" t="s">
        <v>105</v>
      </c>
      <c r="G995" t="s">
        <v>118</v>
      </c>
      <c r="H995" s="2">
        <v>0.55347222222222225</v>
      </c>
      <c r="I995" s="2">
        <v>0.58680555555555558</v>
      </c>
      <c r="J995">
        <v>18</v>
      </c>
      <c r="K995">
        <v>16</v>
      </c>
      <c r="L995" t="s">
        <v>45</v>
      </c>
      <c r="M995">
        <v>24.2</v>
      </c>
      <c r="N995">
        <v>35</v>
      </c>
      <c r="O995">
        <v>17</v>
      </c>
      <c r="P995">
        <v>4</v>
      </c>
      <c r="Q995" t="s">
        <v>31</v>
      </c>
      <c r="R995">
        <v>0</v>
      </c>
      <c r="S995">
        <v>4</v>
      </c>
      <c r="T995">
        <v>0</v>
      </c>
      <c r="U995">
        <v>0</v>
      </c>
      <c r="V995">
        <v>2</v>
      </c>
      <c r="W995" t="s">
        <v>32</v>
      </c>
      <c r="X995">
        <v>1</v>
      </c>
      <c r="Y995" t="str">
        <f t="shared" si="15"/>
        <v>Low</v>
      </c>
    </row>
    <row r="996" spans="1:25">
      <c r="A996" t="s">
        <v>1109</v>
      </c>
      <c r="B996" s="1">
        <v>44937</v>
      </c>
      <c r="C996" s="2">
        <v>0.5625</v>
      </c>
      <c r="D996" t="s">
        <v>34</v>
      </c>
      <c r="E996" t="s">
        <v>52</v>
      </c>
      <c r="F996" t="s">
        <v>80</v>
      </c>
      <c r="G996" t="s">
        <v>148</v>
      </c>
      <c r="H996" s="2">
        <v>0.56319444444444444</v>
      </c>
      <c r="I996" s="2">
        <v>0.60138888888888886</v>
      </c>
      <c r="J996">
        <v>17</v>
      </c>
      <c r="K996">
        <v>17</v>
      </c>
      <c r="L996" t="s">
        <v>84</v>
      </c>
      <c r="M996">
        <v>5</v>
      </c>
      <c r="N996">
        <v>61</v>
      </c>
      <c r="O996">
        <v>11</v>
      </c>
      <c r="P996">
        <v>12.8</v>
      </c>
      <c r="Q996" t="s">
        <v>31</v>
      </c>
      <c r="R996">
        <v>10000</v>
      </c>
      <c r="S996">
        <v>25</v>
      </c>
      <c r="T996">
        <v>0</v>
      </c>
      <c r="U996">
        <v>0</v>
      </c>
      <c r="V996">
        <v>2</v>
      </c>
      <c r="W996" t="s">
        <v>55</v>
      </c>
      <c r="X996">
        <v>1</v>
      </c>
      <c r="Y996" t="str">
        <f t="shared" si="15"/>
        <v>Low</v>
      </c>
    </row>
    <row r="997" spans="1:25">
      <c r="A997" t="s">
        <v>1110</v>
      </c>
      <c r="B997" s="1">
        <v>44937</v>
      </c>
      <c r="C997" s="2">
        <v>0.57291666666666663</v>
      </c>
      <c r="D997" t="s">
        <v>41</v>
      </c>
      <c r="E997" t="s">
        <v>52</v>
      </c>
      <c r="F997" t="s">
        <v>86</v>
      </c>
      <c r="G997" t="s">
        <v>168</v>
      </c>
      <c r="H997" s="2">
        <v>0.57430555555555551</v>
      </c>
      <c r="I997" s="2">
        <v>0.60902777777777772</v>
      </c>
      <c r="J997">
        <v>19</v>
      </c>
      <c r="K997">
        <v>6</v>
      </c>
      <c r="L997" t="s">
        <v>77</v>
      </c>
      <c r="M997">
        <v>24</v>
      </c>
      <c r="N997">
        <v>46</v>
      </c>
      <c r="O997">
        <v>50</v>
      </c>
      <c r="P997">
        <v>12.9</v>
      </c>
      <c r="Q997" t="s">
        <v>63</v>
      </c>
      <c r="R997">
        <v>0</v>
      </c>
      <c r="S997">
        <v>62</v>
      </c>
      <c r="T997">
        <v>0</v>
      </c>
      <c r="U997">
        <v>1</v>
      </c>
      <c r="V997">
        <v>2</v>
      </c>
      <c r="W997" t="s">
        <v>39</v>
      </c>
      <c r="X997">
        <v>1</v>
      </c>
      <c r="Y997" t="str">
        <f t="shared" si="15"/>
        <v>Medium</v>
      </c>
    </row>
    <row r="998" spans="1:25">
      <c r="A998" t="s">
        <v>1111</v>
      </c>
      <c r="B998" s="1">
        <v>44937</v>
      </c>
      <c r="C998" s="2">
        <v>0.58333333333333337</v>
      </c>
      <c r="D998" t="s">
        <v>41</v>
      </c>
      <c r="E998" t="s">
        <v>57</v>
      </c>
      <c r="F998" t="s">
        <v>100</v>
      </c>
      <c r="G998" t="s">
        <v>29</v>
      </c>
      <c r="H998" s="2">
        <v>0.5854166666666667</v>
      </c>
      <c r="I998" s="2">
        <v>0.61527777777777781</v>
      </c>
      <c r="J998">
        <v>1</v>
      </c>
      <c r="K998">
        <v>18</v>
      </c>
      <c r="L998" t="s">
        <v>77</v>
      </c>
      <c r="M998">
        <v>18</v>
      </c>
      <c r="N998">
        <v>67</v>
      </c>
      <c r="O998">
        <v>7</v>
      </c>
      <c r="P998">
        <v>3.2</v>
      </c>
      <c r="Q998" t="s">
        <v>31</v>
      </c>
      <c r="R998">
        <v>0</v>
      </c>
      <c r="S998">
        <v>51</v>
      </c>
      <c r="T998">
        <v>0</v>
      </c>
      <c r="U998">
        <v>1</v>
      </c>
      <c r="V998">
        <v>2</v>
      </c>
      <c r="W998" t="s">
        <v>72</v>
      </c>
      <c r="X998">
        <v>1</v>
      </c>
      <c r="Y998" t="str">
        <f t="shared" si="15"/>
        <v>Medium</v>
      </c>
    </row>
    <row r="999" spans="1:25">
      <c r="A999" t="s">
        <v>1112</v>
      </c>
      <c r="B999" s="1">
        <v>44937</v>
      </c>
      <c r="C999" s="2">
        <v>0.59375</v>
      </c>
      <c r="D999" t="s">
        <v>34</v>
      </c>
      <c r="E999" t="s">
        <v>27</v>
      </c>
      <c r="F999" t="s">
        <v>66</v>
      </c>
      <c r="G999" t="s">
        <v>154</v>
      </c>
      <c r="H999" s="2">
        <v>0.59583333333333333</v>
      </c>
      <c r="I999" s="2">
        <v>0.60972222222222228</v>
      </c>
      <c r="J999">
        <v>-1</v>
      </c>
      <c r="K999">
        <v>25</v>
      </c>
      <c r="L999" t="s">
        <v>45</v>
      </c>
      <c r="M999">
        <v>-0.6</v>
      </c>
      <c r="N999">
        <v>46</v>
      </c>
      <c r="O999">
        <v>32</v>
      </c>
      <c r="P999">
        <v>4.8</v>
      </c>
      <c r="Q999" t="s">
        <v>59</v>
      </c>
      <c r="R999">
        <v>0</v>
      </c>
      <c r="S999">
        <v>9</v>
      </c>
      <c r="T999">
        <v>0</v>
      </c>
      <c r="U999">
        <v>0</v>
      </c>
      <c r="V999">
        <v>2</v>
      </c>
      <c r="W999" t="s">
        <v>55</v>
      </c>
      <c r="X999">
        <v>1</v>
      </c>
      <c r="Y999" t="str">
        <f t="shared" si="15"/>
        <v>Low</v>
      </c>
    </row>
    <row r="1000" spans="1:25">
      <c r="A1000" t="s">
        <v>1113</v>
      </c>
      <c r="B1000" s="1">
        <v>44937</v>
      </c>
      <c r="C1000" s="2">
        <v>0.60416666666666663</v>
      </c>
      <c r="D1000" t="s">
        <v>34</v>
      </c>
      <c r="E1000" t="s">
        <v>57</v>
      </c>
      <c r="F1000" t="s">
        <v>151</v>
      </c>
      <c r="G1000" t="s">
        <v>29</v>
      </c>
      <c r="H1000" s="2">
        <v>0.60624999999999996</v>
      </c>
      <c r="I1000" s="2">
        <v>0.63263888888888886</v>
      </c>
      <c r="J1000">
        <v>3</v>
      </c>
      <c r="K1000">
        <v>5</v>
      </c>
      <c r="L1000" t="s">
        <v>77</v>
      </c>
      <c r="M1000">
        <v>2.1</v>
      </c>
      <c r="N1000">
        <v>66</v>
      </c>
      <c r="O1000">
        <v>45</v>
      </c>
      <c r="P1000">
        <v>9.1999999999999993</v>
      </c>
      <c r="Q1000" t="s">
        <v>59</v>
      </c>
      <c r="R1000">
        <v>50000</v>
      </c>
      <c r="S1000">
        <v>85</v>
      </c>
      <c r="T1000">
        <v>0</v>
      </c>
      <c r="U1000">
        <v>0</v>
      </c>
      <c r="V1000">
        <v>2</v>
      </c>
      <c r="W1000" t="s">
        <v>55</v>
      </c>
      <c r="X1000">
        <v>0</v>
      </c>
      <c r="Y1000" t="str">
        <f t="shared" si="15"/>
        <v>High</v>
      </c>
    </row>
    <row r="1001" spans="1:25">
      <c r="A1001" t="s">
        <v>1114</v>
      </c>
      <c r="B1001" s="1">
        <v>44937</v>
      </c>
      <c r="C1001" s="2">
        <v>0.61458333333333337</v>
      </c>
      <c r="D1001" t="s">
        <v>26</v>
      </c>
      <c r="E1001" t="s">
        <v>93</v>
      </c>
      <c r="F1001" t="s">
        <v>144</v>
      </c>
      <c r="G1001" t="s">
        <v>37</v>
      </c>
      <c r="H1001" s="2">
        <v>0.61736111111111114</v>
      </c>
      <c r="I1001" s="2">
        <v>0.64583333333333337</v>
      </c>
      <c r="J1001">
        <v>0</v>
      </c>
      <c r="K1001">
        <v>1</v>
      </c>
      <c r="L1001" t="s">
        <v>77</v>
      </c>
      <c r="M1001">
        <v>-3.3</v>
      </c>
      <c r="N1001">
        <v>52</v>
      </c>
      <c r="O1001">
        <v>54</v>
      </c>
      <c r="P1001">
        <v>3.8</v>
      </c>
      <c r="Q1001" t="s">
        <v>31</v>
      </c>
      <c r="R1001">
        <v>0</v>
      </c>
      <c r="S1001">
        <v>38</v>
      </c>
      <c r="T1001">
        <v>0</v>
      </c>
      <c r="U1001">
        <v>0</v>
      </c>
      <c r="V1001">
        <v>2</v>
      </c>
      <c r="W1001" t="s">
        <v>39</v>
      </c>
      <c r="X1001">
        <v>0</v>
      </c>
      <c r="Y1001" t="str">
        <f t="shared" si="15"/>
        <v>Medium</v>
      </c>
    </row>
    <row r="1002" spans="1:25">
      <c r="A1002" t="s">
        <v>1115</v>
      </c>
      <c r="B1002" s="1">
        <v>44937</v>
      </c>
      <c r="C1002" s="2">
        <v>0.625</v>
      </c>
      <c r="D1002" t="s">
        <v>74</v>
      </c>
      <c r="E1002" t="s">
        <v>48</v>
      </c>
      <c r="F1002" t="s">
        <v>144</v>
      </c>
      <c r="G1002" t="s">
        <v>90</v>
      </c>
      <c r="H1002" s="2">
        <v>0.625</v>
      </c>
      <c r="I1002" s="2">
        <v>0.66041666666666665</v>
      </c>
      <c r="J1002">
        <v>4</v>
      </c>
      <c r="K1002">
        <v>7</v>
      </c>
      <c r="L1002" t="s">
        <v>77</v>
      </c>
      <c r="M1002">
        <v>27.4</v>
      </c>
      <c r="N1002">
        <v>78</v>
      </c>
      <c r="O1002">
        <v>37</v>
      </c>
      <c r="P1002">
        <v>11.7</v>
      </c>
      <c r="Q1002" t="s">
        <v>31</v>
      </c>
      <c r="R1002">
        <v>0</v>
      </c>
      <c r="S1002">
        <v>22</v>
      </c>
      <c r="T1002">
        <v>0</v>
      </c>
      <c r="U1002">
        <v>0</v>
      </c>
      <c r="V1002">
        <v>2</v>
      </c>
      <c r="W1002" t="s">
        <v>39</v>
      </c>
      <c r="X1002">
        <v>1</v>
      </c>
      <c r="Y1002" t="str">
        <f t="shared" si="15"/>
        <v>Low</v>
      </c>
    </row>
    <row r="1003" spans="1:25">
      <c r="A1003" t="s">
        <v>1116</v>
      </c>
      <c r="B1003" s="1">
        <v>44937</v>
      </c>
      <c r="C1003" s="2">
        <v>0.63541666666666663</v>
      </c>
      <c r="D1003" t="s">
        <v>26</v>
      </c>
      <c r="E1003" t="s">
        <v>61</v>
      </c>
      <c r="F1003" t="s">
        <v>113</v>
      </c>
      <c r="G1003" t="s">
        <v>87</v>
      </c>
      <c r="H1003" s="2">
        <v>0.63680555555555551</v>
      </c>
      <c r="I1003" s="2">
        <v>0.66527777777777775</v>
      </c>
      <c r="J1003">
        <v>7</v>
      </c>
      <c r="K1003">
        <v>-3</v>
      </c>
      <c r="L1003" t="s">
        <v>45</v>
      </c>
      <c r="M1003">
        <v>17.100000000000001</v>
      </c>
      <c r="N1003">
        <v>90</v>
      </c>
      <c r="O1003">
        <v>13</v>
      </c>
      <c r="P1003">
        <v>9.6999999999999993</v>
      </c>
      <c r="Q1003" t="s">
        <v>71</v>
      </c>
      <c r="R1003">
        <v>50000</v>
      </c>
      <c r="S1003">
        <v>10</v>
      </c>
      <c r="T1003">
        <v>0</v>
      </c>
      <c r="U1003">
        <v>0</v>
      </c>
      <c r="V1003">
        <v>2</v>
      </c>
      <c r="W1003" t="s">
        <v>39</v>
      </c>
      <c r="X1003">
        <v>0</v>
      </c>
      <c r="Y1003" t="str">
        <f t="shared" si="15"/>
        <v>Low</v>
      </c>
    </row>
    <row r="1004" spans="1:25">
      <c r="A1004" t="s">
        <v>1117</v>
      </c>
      <c r="B1004" s="1">
        <v>44937</v>
      </c>
      <c r="C1004" s="2">
        <v>0.64583333333333337</v>
      </c>
      <c r="D1004" t="s">
        <v>41</v>
      </c>
      <c r="E1004" t="s">
        <v>35</v>
      </c>
      <c r="F1004" t="s">
        <v>91</v>
      </c>
      <c r="G1004" t="s">
        <v>100</v>
      </c>
      <c r="H1004" s="2">
        <v>0.64652777777777781</v>
      </c>
      <c r="I1004" s="2">
        <v>0.68333333333333335</v>
      </c>
      <c r="J1004">
        <v>3</v>
      </c>
      <c r="K1004">
        <v>-3</v>
      </c>
      <c r="L1004" t="s">
        <v>77</v>
      </c>
      <c r="M1004">
        <v>7.7</v>
      </c>
      <c r="N1004">
        <v>78</v>
      </c>
      <c r="O1004">
        <v>1</v>
      </c>
      <c r="P1004">
        <v>10.4</v>
      </c>
      <c r="Q1004" t="s">
        <v>31</v>
      </c>
      <c r="R1004">
        <v>50000</v>
      </c>
      <c r="S1004">
        <v>91</v>
      </c>
      <c r="T1004">
        <v>0</v>
      </c>
      <c r="U1004">
        <v>1</v>
      </c>
      <c r="V1004">
        <v>2</v>
      </c>
      <c r="W1004" t="s">
        <v>72</v>
      </c>
      <c r="X1004">
        <v>0</v>
      </c>
      <c r="Y1004" t="str">
        <f t="shared" si="15"/>
        <v>High</v>
      </c>
    </row>
    <row r="1005" spans="1:25">
      <c r="A1005" t="s">
        <v>1118</v>
      </c>
      <c r="B1005" s="1">
        <v>44937</v>
      </c>
      <c r="C1005" s="2">
        <v>0.65625</v>
      </c>
      <c r="D1005" t="s">
        <v>41</v>
      </c>
      <c r="E1005" t="s">
        <v>161</v>
      </c>
      <c r="F1005" t="s">
        <v>76</v>
      </c>
      <c r="G1005" t="s">
        <v>185</v>
      </c>
      <c r="H1005" s="2">
        <v>0.65833333333333333</v>
      </c>
      <c r="I1005" s="2">
        <v>0.69513888888888886</v>
      </c>
      <c r="J1005">
        <v>13</v>
      </c>
      <c r="K1005">
        <v>1</v>
      </c>
      <c r="L1005" t="s">
        <v>38</v>
      </c>
      <c r="M1005">
        <v>0.1</v>
      </c>
      <c r="N1005">
        <v>90</v>
      </c>
      <c r="O1005">
        <v>8</v>
      </c>
      <c r="P1005">
        <v>2.7</v>
      </c>
      <c r="Q1005" t="s">
        <v>71</v>
      </c>
      <c r="R1005">
        <v>0</v>
      </c>
      <c r="S1005">
        <v>94</v>
      </c>
      <c r="T1005">
        <v>1</v>
      </c>
      <c r="U1005">
        <v>0</v>
      </c>
      <c r="V1005">
        <v>2</v>
      </c>
      <c r="W1005" t="s">
        <v>32</v>
      </c>
      <c r="X1005">
        <v>0</v>
      </c>
      <c r="Y1005" t="str">
        <f t="shared" si="15"/>
        <v>High</v>
      </c>
    </row>
    <row r="1006" spans="1:25">
      <c r="A1006" t="s">
        <v>1119</v>
      </c>
      <c r="B1006" s="1">
        <v>44937</v>
      </c>
      <c r="C1006" s="2">
        <v>0.66666666666666663</v>
      </c>
      <c r="D1006" t="s">
        <v>41</v>
      </c>
      <c r="E1006" t="s">
        <v>61</v>
      </c>
      <c r="F1006" t="s">
        <v>58</v>
      </c>
      <c r="G1006" t="s">
        <v>28</v>
      </c>
      <c r="H1006" s="2">
        <v>0.66805555555555551</v>
      </c>
      <c r="I1006" s="2">
        <v>0.70208333333333328</v>
      </c>
      <c r="J1006">
        <v>-1</v>
      </c>
      <c r="K1006">
        <v>18</v>
      </c>
      <c r="L1006" t="s">
        <v>54</v>
      </c>
      <c r="M1006">
        <v>14.4</v>
      </c>
      <c r="N1006">
        <v>61</v>
      </c>
      <c r="O1006">
        <v>43</v>
      </c>
      <c r="P1006">
        <v>10.3</v>
      </c>
      <c r="Q1006" t="s">
        <v>31</v>
      </c>
      <c r="R1006">
        <v>10000</v>
      </c>
      <c r="S1006">
        <v>71</v>
      </c>
      <c r="T1006">
        <v>0</v>
      </c>
      <c r="U1006">
        <v>0</v>
      </c>
      <c r="V1006">
        <v>2</v>
      </c>
      <c r="W1006" t="s">
        <v>72</v>
      </c>
      <c r="X1006">
        <v>1</v>
      </c>
      <c r="Y1006" t="str">
        <f t="shared" si="15"/>
        <v>High</v>
      </c>
    </row>
    <row r="1007" spans="1:25">
      <c r="A1007" t="s">
        <v>1120</v>
      </c>
      <c r="B1007" s="1">
        <v>44937</v>
      </c>
      <c r="C1007" s="2">
        <v>0.67708333333333337</v>
      </c>
      <c r="D1007" t="s">
        <v>41</v>
      </c>
      <c r="E1007" t="s">
        <v>52</v>
      </c>
      <c r="F1007" t="s">
        <v>151</v>
      </c>
      <c r="G1007" t="s">
        <v>44</v>
      </c>
      <c r="H1007" s="2">
        <v>0.6791666666666667</v>
      </c>
      <c r="I1007" s="2">
        <v>0.69513888888888886</v>
      </c>
      <c r="J1007">
        <v>14</v>
      </c>
      <c r="K1007">
        <v>22</v>
      </c>
      <c r="L1007" t="s">
        <v>45</v>
      </c>
      <c r="M1007">
        <v>16</v>
      </c>
      <c r="N1007">
        <v>92</v>
      </c>
      <c r="O1007">
        <v>4</v>
      </c>
      <c r="P1007">
        <v>1</v>
      </c>
      <c r="Q1007" t="s">
        <v>31</v>
      </c>
      <c r="R1007">
        <v>0</v>
      </c>
      <c r="S1007">
        <v>47</v>
      </c>
      <c r="T1007">
        <v>0</v>
      </c>
      <c r="U1007">
        <v>0</v>
      </c>
      <c r="V1007">
        <v>2</v>
      </c>
      <c r="W1007" t="s">
        <v>39</v>
      </c>
      <c r="X1007">
        <v>1</v>
      </c>
      <c r="Y1007" t="str">
        <f t="shared" si="15"/>
        <v>Medium</v>
      </c>
    </row>
    <row r="1008" spans="1:25">
      <c r="A1008" t="s">
        <v>1121</v>
      </c>
      <c r="B1008" s="1">
        <v>44937</v>
      </c>
      <c r="C1008" s="2">
        <v>0.6875</v>
      </c>
      <c r="D1008" t="s">
        <v>34</v>
      </c>
      <c r="E1008" t="s">
        <v>93</v>
      </c>
      <c r="F1008" t="s">
        <v>44</v>
      </c>
      <c r="G1008" t="s">
        <v>76</v>
      </c>
      <c r="H1008" s="2">
        <v>0.68958333333333333</v>
      </c>
      <c r="I1008" s="2">
        <v>0.72361111111111109</v>
      </c>
      <c r="J1008">
        <v>10</v>
      </c>
      <c r="K1008">
        <v>2</v>
      </c>
      <c r="L1008" t="s">
        <v>84</v>
      </c>
      <c r="M1008">
        <v>23.1</v>
      </c>
      <c r="N1008">
        <v>36</v>
      </c>
      <c r="O1008">
        <v>33</v>
      </c>
      <c r="P1008">
        <v>17.600000000000001</v>
      </c>
      <c r="Q1008" t="s">
        <v>31</v>
      </c>
      <c r="R1008">
        <v>0</v>
      </c>
      <c r="S1008">
        <v>91</v>
      </c>
      <c r="T1008">
        <v>0</v>
      </c>
      <c r="U1008">
        <v>0</v>
      </c>
      <c r="V1008">
        <v>2</v>
      </c>
      <c r="W1008" t="s">
        <v>72</v>
      </c>
      <c r="X1008">
        <v>0</v>
      </c>
      <c r="Y1008" t="str">
        <f t="shared" si="15"/>
        <v>High</v>
      </c>
    </row>
    <row r="1009" spans="1:25">
      <c r="A1009" t="s">
        <v>1122</v>
      </c>
      <c r="B1009" s="1">
        <v>44937</v>
      </c>
      <c r="C1009" s="2">
        <v>0.69791666666666663</v>
      </c>
      <c r="D1009" t="s">
        <v>41</v>
      </c>
      <c r="E1009" t="s">
        <v>52</v>
      </c>
      <c r="F1009" t="s">
        <v>109</v>
      </c>
      <c r="G1009" t="s">
        <v>163</v>
      </c>
      <c r="H1009" s="2">
        <v>0.69861111111111107</v>
      </c>
      <c r="I1009" s="2">
        <v>0.73263888888888884</v>
      </c>
      <c r="J1009">
        <v>-2</v>
      </c>
      <c r="K1009">
        <v>28</v>
      </c>
      <c r="L1009" t="s">
        <v>77</v>
      </c>
      <c r="M1009">
        <v>33.799999999999997</v>
      </c>
      <c r="N1009">
        <v>51</v>
      </c>
      <c r="O1009">
        <v>18</v>
      </c>
      <c r="P1009">
        <v>6.9</v>
      </c>
      <c r="Q1009" t="s">
        <v>31</v>
      </c>
      <c r="R1009">
        <v>10000</v>
      </c>
      <c r="S1009">
        <v>15</v>
      </c>
      <c r="T1009">
        <v>1</v>
      </c>
      <c r="U1009">
        <v>0</v>
      </c>
      <c r="V1009">
        <v>2</v>
      </c>
      <c r="W1009" t="s">
        <v>39</v>
      </c>
      <c r="X1009">
        <v>1</v>
      </c>
      <c r="Y1009" t="str">
        <f t="shared" si="15"/>
        <v>Low</v>
      </c>
    </row>
    <row r="1010" spans="1:25">
      <c r="A1010" t="s">
        <v>1123</v>
      </c>
      <c r="B1010" s="1">
        <v>44937</v>
      </c>
      <c r="C1010" s="2">
        <v>0.70833333333333337</v>
      </c>
      <c r="D1010" t="s">
        <v>34</v>
      </c>
      <c r="E1010" t="s">
        <v>147</v>
      </c>
      <c r="F1010" t="s">
        <v>43</v>
      </c>
      <c r="G1010" t="s">
        <v>50</v>
      </c>
      <c r="H1010" s="2">
        <v>0.71111111111111114</v>
      </c>
      <c r="I1010" s="2">
        <v>0.72986111111111107</v>
      </c>
      <c r="J1010">
        <v>3</v>
      </c>
      <c r="K1010">
        <v>7</v>
      </c>
      <c r="L1010" t="s">
        <v>30</v>
      </c>
      <c r="M1010">
        <v>12.4</v>
      </c>
      <c r="N1010">
        <v>35</v>
      </c>
      <c r="O1010">
        <v>6</v>
      </c>
      <c r="P1010">
        <v>17.100000000000001</v>
      </c>
      <c r="Q1010" t="s">
        <v>31</v>
      </c>
      <c r="R1010">
        <v>2000</v>
      </c>
      <c r="S1010">
        <v>45</v>
      </c>
      <c r="T1010">
        <v>0</v>
      </c>
      <c r="U1010">
        <v>0</v>
      </c>
      <c r="V1010">
        <v>2</v>
      </c>
      <c r="W1010" t="s">
        <v>32</v>
      </c>
      <c r="X1010">
        <v>1</v>
      </c>
      <c r="Y1010" t="str">
        <f t="shared" si="15"/>
        <v>Medium</v>
      </c>
    </row>
    <row r="1011" spans="1:25">
      <c r="A1011" t="s">
        <v>1124</v>
      </c>
      <c r="B1011" s="1">
        <v>44937</v>
      </c>
      <c r="C1011" s="2">
        <v>0.71875</v>
      </c>
      <c r="D1011" t="s">
        <v>34</v>
      </c>
      <c r="E1011" t="s">
        <v>161</v>
      </c>
      <c r="F1011" t="s">
        <v>83</v>
      </c>
      <c r="G1011" t="s">
        <v>80</v>
      </c>
      <c r="H1011" s="2">
        <v>0.71875</v>
      </c>
      <c r="I1011" s="2">
        <v>0.73958333333333337</v>
      </c>
      <c r="J1011">
        <v>2</v>
      </c>
      <c r="K1011">
        <v>6</v>
      </c>
      <c r="L1011" t="s">
        <v>45</v>
      </c>
      <c r="M1011">
        <v>11.2</v>
      </c>
      <c r="N1011">
        <v>90</v>
      </c>
      <c r="O1011">
        <v>38</v>
      </c>
      <c r="P1011">
        <v>14</v>
      </c>
      <c r="Q1011" t="s">
        <v>63</v>
      </c>
      <c r="R1011">
        <v>0</v>
      </c>
      <c r="S1011">
        <v>46</v>
      </c>
      <c r="T1011">
        <v>0</v>
      </c>
      <c r="U1011">
        <v>0</v>
      </c>
      <c r="V1011">
        <v>2</v>
      </c>
      <c r="W1011" t="s">
        <v>72</v>
      </c>
      <c r="X1011">
        <v>1</v>
      </c>
      <c r="Y1011" t="str">
        <f t="shared" si="15"/>
        <v>Medium</v>
      </c>
    </row>
    <row r="1012" spans="1:25">
      <c r="A1012" t="s">
        <v>1125</v>
      </c>
      <c r="B1012" s="1">
        <v>44937</v>
      </c>
      <c r="C1012" s="2">
        <v>0.72916666666666663</v>
      </c>
      <c r="D1012" t="s">
        <v>41</v>
      </c>
      <c r="E1012" t="s">
        <v>93</v>
      </c>
      <c r="F1012" t="s">
        <v>118</v>
      </c>
      <c r="G1012" t="s">
        <v>66</v>
      </c>
      <c r="H1012" s="2">
        <v>0.7319444444444444</v>
      </c>
      <c r="I1012" s="2">
        <v>0.75902777777777775</v>
      </c>
      <c r="J1012">
        <v>10</v>
      </c>
      <c r="K1012">
        <v>27</v>
      </c>
      <c r="L1012" t="s">
        <v>84</v>
      </c>
      <c r="M1012">
        <v>9.8000000000000007</v>
      </c>
      <c r="N1012">
        <v>43</v>
      </c>
      <c r="O1012">
        <v>41</v>
      </c>
      <c r="P1012">
        <v>15.3</v>
      </c>
      <c r="Q1012" t="s">
        <v>31</v>
      </c>
      <c r="R1012">
        <v>0</v>
      </c>
      <c r="S1012">
        <v>94</v>
      </c>
      <c r="T1012">
        <v>0</v>
      </c>
      <c r="U1012">
        <v>0</v>
      </c>
      <c r="V1012">
        <v>2</v>
      </c>
      <c r="W1012" t="s">
        <v>32</v>
      </c>
      <c r="X1012">
        <v>1</v>
      </c>
      <c r="Y1012" t="str">
        <f t="shared" si="15"/>
        <v>High</v>
      </c>
    </row>
    <row r="1013" spans="1:25">
      <c r="A1013" t="s">
        <v>1126</v>
      </c>
      <c r="B1013" s="1">
        <v>44937</v>
      </c>
      <c r="C1013" s="2">
        <v>0.73958333333333337</v>
      </c>
      <c r="D1013" t="s">
        <v>41</v>
      </c>
      <c r="E1013" t="s">
        <v>48</v>
      </c>
      <c r="F1013" t="s">
        <v>128</v>
      </c>
      <c r="G1013" t="s">
        <v>28</v>
      </c>
      <c r="H1013" s="2">
        <v>0.74097222222222225</v>
      </c>
      <c r="I1013" s="2">
        <v>0.7583333333333333</v>
      </c>
      <c r="J1013">
        <v>15</v>
      </c>
      <c r="K1013">
        <v>8</v>
      </c>
      <c r="L1013" t="s">
        <v>54</v>
      </c>
      <c r="M1013">
        <v>28.1</v>
      </c>
      <c r="N1013">
        <v>45</v>
      </c>
      <c r="O1013">
        <v>16</v>
      </c>
      <c r="P1013">
        <v>6.3</v>
      </c>
      <c r="Q1013" t="s">
        <v>101</v>
      </c>
      <c r="R1013">
        <v>0</v>
      </c>
      <c r="S1013">
        <v>47</v>
      </c>
      <c r="T1013">
        <v>0</v>
      </c>
      <c r="U1013">
        <v>0</v>
      </c>
      <c r="V1013">
        <v>2</v>
      </c>
      <c r="W1013" t="s">
        <v>32</v>
      </c>
      <c r="X1013">
        <v>1</v>
      </c>
      <c r="Y1013" t="str">
        <f t="shared" si="15"/>
        <v>Medium</v>
      </c>
    </row>
    <row r="1014" spans="1:25">
      <c r="A1014" t="s">
        <v>1127</v>
      </c>
      <c r="B1014" s="1">
        <v>44937</v>
      </c>
      <c r="C1014" s="2">
        <v>0.75</v>
      </c>
      <c r="D1014" t="s">
        <v>74</v>
      </c>
      <c r="E1014" t="s">
        <v>130</v>
      </c>
      <c r="F1014" t="s">
        <v>109</v>
      </c>
      <c r="G1014" t="s">
        <v>53</v>
      </c>
      <c r="H1014" s="2">
        <v>0.75277777777777777</v>
      </c>
      <c r="I1014" s="2">
        <v>0.78541666666666665</v>
      </c>
      <c r="J1014">
        <v>9</v>
      </c>
      <c r="K1014">
        <v>12</v>
      </c>
      <c r="L1014" t="s">
        <v>38</v>
      </c>
      <c r="M1014">
        <v>1.3</v>
      </c>
      <c r="N1014">
        <v>32</v>
      </c>
      <c r="O1014">
        <v>25</v>
      </c>
      <c r="P1014">
        <v>4.5999999999999996</v>
      </c>
      <c r="Q1014" t="s">
        <v>63</v>
      </c>
      <c r="R1014">
        <v>2000</v>
      </c>
      <c r="S1014">
        <v>79</v>
      </c>
      <c r="T1014">
        <v>0</v>
      </c>
      <c r="U1014">
        <v>0</v>
      </c>
      <c r="V1014">
        <v>2</v>
      </c>
      <c r="W1014" t="s">
        <v>39</v>
      </c>
      <c r="X1014">
        <v>1</v>
      </c>
      <c r="Y1014" t="str">
        <f t="shared" si="15"/>
        <v>High</v>
      </c>
    </row>
    <row r="1015" spans="1:25">
      <c r="A1015" t="s">
        <v>1128</v>
      </c>
      <c r="B1015" s="1">
        <v>44937</v>
      </c>
      <c r="C1015" s="2">
        <v>0.76041666666666663</v>
      </c>
      <c r="D1015" t="s">
        <v>26</v>
      </c>
      <c r="E1015" t="s">
        <v>57</v>
      </c>
      <c r="F1015" t="s">
        <v>118</v>
      </c>
      <c r="G1015" t="s">
        <v>107</v>
      </c>
      <c r="H1015" s="2">
        <v>0.76180555555555551</v>
      </c>
      <c r="I1015" s="2">
        <v>0.8</v>
      </c>
      <c r="J1015">
        <v>4</v>
      </c>
      <c r="K1015">
        <v>-1</v>
      </c>
      <c r="L1015" t="s">
        <v>84</v>
      </c>
      <c r="M1015">
        <v>8.8000000000000007</v>
      </c>
      <c r="N1015">
        <v>38</v>
      </c>
      <c r="O1015">
        <v>45</v>
      </c>
      <c r="P1015">
        <v>8.1</v>
      </c>
      <c r="Q1015" t="s">
        <v>101</v>
      </c>
      <c r="R1015">
        <v>50000</v>
      </c>
      <c r="S1015">
        <v>68</v>
      </c>
      <c r="T1015">
        <v>0</v>
      </c>
      <c r="U1015">
        <v>1</v>
      </c>
      <c r="V1015">
        <v>2</v>
      </c>
      <c r="W1015" t="s">
        <v>72</v>
      </c>
      <c r="X1015">
        <v>0</v>
      </c>
      <c r="Y1015" t="str">
        <f t="shared" si="15"/>
        <v>High</v>
      </c>
    </row>
    <row r="1016" spans="1:25">
      <c r="A1016" t="s">
        <v>1129</v>
      </c>
      <c r="B1016" s="1">
        <v>44937</v>
      </c>
      <c r="C1016" s="2">
        <v>0.77083333333333337</v>
      </c>
      <c r="D1016" t="s">
        <v>41</v>
      </c>
      <c r="E1016" t="s">
        <v>61</v>
      </c>
      <c r="F1016" t="s">
        <v>43</v>
      </c>
      <c r="G1016" t="s">
        <v>58</v>
      </c>
      <c r="H1016" s="2">
        <v>0.77222222222222225</v>
      </c>
      <c r="I1016" s="2">
        <v>0.7993055555555556</v>
      </c>
      <c r="J1016">
        <v>12</v>
      </c>
      <c r="K1016">
        <v>-2</v>
      </c>
      <c r="L1016" t="s">
        <v>77</v>
      </c>
      <c r="M1016">
        <v>24</v>
      </c>
      <c r="N1016">
        <v>76</v>
      </c>
      <c r="O1016">
        <v>26</v>
      </c>
      <c r="P1016">
        <v>0.5</v>
      </c>
      <c r="Q1016" t="s">
        <v>31</v>
      </c>
      <c r="R1016">
        <v>0</v>
      </c>
      <c r="S1016">
        <v>98</v>
      </c>
      <c r="T1016">
        <v>0</v>
      </c>
      <c r="U1016">
        <v>0</v>
      </c>
      <c r="V1016">
        <v>2</v>
      </c>
      <c r="W1016" t="s">
        <v>72</v>
      </c>
      <c r="X1016">
        <v>0</v>
      </c>
      <c r="Y1016" t="str">
        <f t="shared" si="15"/>
        <v>High</v>
      </c>
    </row>
    <row r="1017" spans="1:25">
      <c r="A1017" t="s">
        <v>1130</v>
      </c>
      <c r="B1017" s="1">
        <v>44937</v>
      </c>
      <c r="C1017" s="2">
        <v>0.78125</v>
      </c>
      <c r="D1017" t="s">
        <v>74</v>
      </c>
      <c r="E1017" t="s">
        <v>126</v>
      </c>
      <c r="F1017" t="s">
        <v>87</v>
      </c>
      <c r="G1017" t="s">
        <v>66</v>
      </c>
      <c r="H1017" s="2">
        <v>0.78125</v>
      </c>
      <c r="I1017" s="2">
        <v>0.81805555555555554</v>
      </c>
      <c r="J1017">
        <v>0</v>
      </c>
      <c r="K1017">
        <v>1</v>
      </c>
      <c r="L1017" t="s">
        <v>30</v>
      </c>
      <c r="M1017">
        <v>-4.4000000000000004</v>
      </c>
      <c r="N1017">
        <v>71</v>
      </c>
      <c r="O1017">
        <v>42</v>
      </c>
      <c r="P1017">
        <v>18.399999999999999</v>
      </c>
      <c r="Q1017" t="s">
        <v>46</v>
      </c>
      <c r="R1017">
        <v>10000</v>
      </c>
      <c r="S1017">
        <v>24</v>
      </c>
      <c r="T1017">
        <v>0</v>
      </c>
      <c r="U1017">
        <v>1</v>
      </c>
      <c r="V1017">
        <v>2</v>
      </c>
      <c r="W1017" t="s">
        <v>32</v>
      </c>
      <c r="X1017">
        <v>0</v>
      </c>
      <c r="Y1017" t="str">
        <f t="shared" si="15"/>
        <v>Low</v>
      </c>
    </row>
    <row r="1018" spans="1:25">
      <c r="A1018" t="s">
        <v>1131</v>
      </c>
      <c r="B1018" s="1">
        <v>44937</v>
      </c>
      <c r="C1018" s="2">
        <v>0.79166666666666663</v>
      </c>
      <c r="D1018" t="s">
        <v>74</v>
      </c>
      <c r="E1018" t="s">
        <v>52</v>
      </c>
      <c r="F1018" t="s">
        <v>151</v>
      </c>
      <c r="G1018" t="s">
        <v>168</v>
      </c>
      <c r="H1018" s="2">
        <v>0.79236111111111107</v>
      </c>
      <c r="I1018" s="2">
        <v>0.81805555555555554</v>
      </c>
      <c r="J1018">
        <v>13</v>
      </c>
      <c r="K1018">
        <v>7</v>
      </c>
      <c r="L1018" t="s">
        <v>77</v>
      </c>
      <c r="M1018">
        <v>6.6</v>
      </c>
      <c r="N1018">
        <v>71</v>
      </c>
      <c r="O1018">
        <v>27</v>
      </c>
      <c r="P1018">
        <v>7.7</v>
      </c>
      <c r="Q1018" t="s">
        <v>31</v>
      </c>
      <c r="R1018">
        <v>0</v>
      </c>
      <c r="S1018">
        <v>76</v>
      </c>
      <c r="T1018">
        <v>0</v>
      </c>
      <c r="U1018">
        <v>0</v>
      </c>
      <c r="V1018">
        <v>2</v>
      </c>
      <c r="W1018" t="s">
        <v>39</v>
      </c>
      <c r="X1018">
        <v>1</v>
      </c>
      <c r="Y1018" t="str">
        <f t="shared" si="15"/>
        <v>High</v>
      </c>
    </row>
    <row r="1019" spans="1:25">
      <c r="A1019" t="s">
        <v>1132</v>
      </c>
      <c r="B1019" s="1">
        <v>44937</v>
      </c>
      <c r="C1019" s="2">
        <v>0.80208333333333337</v>
      </c>
      <c r="D1019" t="s">
        <v>26</v>
      </c>
      <c r="E1019" t="s">
        <v>111</v>
      </c>
      <c r="F1019" t="s">
        <v>128</v>
      </c>
      <c r="G1019" t="s">
        <v>66</v>
      </c>
      <c r="H1019" s="2">
        <v>0.80208333333333337</v>
      </c>
      <c r="I1019" s="2">
        <v>0.82916666666666672</v>
      </c>
      <c r="J1019">
        <v>-2</v>
      </c>
      <c r="K1019">
        <v>21</v>
      </c>
      <c r="L1019" t="s">
        <v>84</v>
      </c>
      <c r="M1019">
        <v>20.7</v>
      </c>
      <c r="N1019">
        <v>52</v>
      </c>
      <c r="O1019">
        <v>19</v>
      </c>
      <c r="P1019">
        <v>19.8</v>
      </c>
      <c r="Q1019" t="s">
        <v>31</v>
      </c>
      <c r="R1019">
        <v>500</v>
      </c>
      <c r="S1019">
        <v>92</v>
      </c>
      <c r="T1019">
        <v>0</v>
      </c>
      <c r="U1019">
        <v>0</v>
      </c>
      <c r="V1019">
        <v>2</v>
      </c>
      <c r="W1019" t="s">
        <v>32</v>
      </c>
      <c r="X1019">
        <v>1</v>
      </c>
      <c r="Y1019" t="str">
        <f t="shared" si="15"/>
        <v>High</v>
      </c>
    </row>
    <row r="1020" spans="1:25">
      <c r="A1020" t="s">
        <v>1133</v>
      </c>
      <c r="B1020" s="1">
        <v>44937</v>
      </c>
      <c r="C1020" s="2">
        <v>0.8125</v>
      </c>
      <c r="D1020" t="s">
        <v>34</v>
      </c>
      <c r="E1020" t="s">
        <v>157</v>
      </c>
      <c r="F1020" t="s">
        <v>87</v>
      </c>
      <c r="G1020" t="s">
        <v>49</v>
      </c>
      <c r="H1020" s="2">
        <v>0.81527777777777777</v>
      </c>
      <c r="I1020" s="2">
        <v>0.8354166666666667</v>
      </c>
      <c r="J1020">
        <v>13</v>
      </c>
      <c r="K1020">
        <v>18</v>
      </c>
      <c r="L1020" t="s">
        <v>45</v>
      </c>
      <c r="M1020">
        <v>2.4</v>
      </c>
      <c r="N1020">
        <v>32</v>
      </c>
      <c r="O1020">
        <v>5</v>
      </c>
      <c r="P1020">
        <v>15.2</v>
      </c>
      <c r="Q1020" t="s">
        <v>101</v>
      </c>
      <c r="R1020">
        <v>0</v>
      </c>
      <c r="S1020">
        <v>90</v>
      </c>
      <c r="T1020">
        <v>0</v>
      </c>
      <c r="U1020">
        <v>0</v>
      </c>
      <c r="V1020">
        <v>2</v>
      </c>
      <c r="W1020" t="s">
        <v>32</v>
      </c>
      <c r="X1020">
        <v>1</v>
      </c>
      <c r="Y1020" t="str">
        <f t="shared" si="15"/>
        <v>High</v>
      </c>
    </row>
    <row r="1021" spans="1:25">
      <c r="A1021" t="s">
        <v>1134</v>
      </c>
      <c r="B1021" s="1">
        <v>44937</v>
      </c>
      <c r="C1021" s="2">
        <v>0.82291666666666663</v>
      </c>
      <c r="D1021" t="s">
        <v>41</v>
      </c>
      <c r="E1021" t="s">
        <v>147</v>
      </c>
      <c r="F1021" t="s">
        <v>36</v>
      </c>
      <c r="G1021" t="s">
        <v>107</v>
      </c>
      <c r="H1021" s="2">
        <v>0.82430555555555551</v>
      </c>
      <c r="I1021" s="2">
        <v>0.85902777777777772</v>
      </c>
      <c r="J1021">
        <v>9</v>
      </c>
      <c r="K1021">
        <v>18</v>
      </c>
      <c r="L1021" t="s">
        <v>30</v>
      </c>
      <c r="M1021">
        <v>7.1</v>
      </c>
      <c r="N1021">
        <v>30</v>
      </c>
      <c r="O1021">
        <v>7</v>
      </c>
      <c r="P1021">
        <v>1.6</v>
      </c>
      <c r="Q1021" t="s">
        <v>31</v>
      </c>
      <c r="R1021">
        <v>0</v>
      </c>
      <c r="S1021">
        <v>80</v>
      </c>
      <c r="T1021">
        <v>0</v>
      </c>
      <c r="U1021">
        <v>0</v>
      </c>
      <c r="V1021">
        <v>2</v>
      </c>
      <c r="W1021" t="s">
        <v>32</v>
      </c>
      <c r="X1021">
        <v>1</v>
      </c>
      <c r="Y1021" t="str">
        <f t="shared" si="15"/>
        <v>High</v>
      </c>
    </row>
    <row r="1022" spans="1:25">
      <c r="A1022" t="s">
        <v>1135</v>
      </c>
      <c r="B1022" s="1">
        <v>44937</v>
      </c>
      <c r="C1022" s="2">
        <v>0.83333333333333337</v>
      </c>
      <c r="D1022" t="s">
        <v>26</v>
      </c>
      <c r="E1022" t="s">
        <v>126</v>
      </c>
      <c r="F1022" t="s">
        <v>43</v>
      </c>
      <c r="G1022" t="s">
        <v>69</v>
      </c>
      <c r="H1022" s="2">
        <v>0.8354166666666667</v>
      </c>
      <c r="I1022" s="2">
        <v>0.85347222222222219</v>
      </c>
      <c r="J1022">
        <v>16</v>
      </c>
      <c r="K1022">
        <v>7</v>
      </c>
      <c r="L1022" t="s">
        <v>30</v>
      </c>
      <c r="M1022">
        <v>14.4</v>
      </c>
      <c r="N1022">
        <v>96</v>
      </c>
      <c r="O1022">
        <v>31</v>
      </c>
      <c r="P1022">
        <v>13.2</v>
      </c>
      <c r="Q1022" t="s">
        <v>63</v>
      </c>
      <c r="R1022">
        <v>0</v>
      </c>
      <c r="S1022">
        <v>36</v>
      </c>
      <c r="T1022">
        <v>0</v>
      </c>
      <c r="U1022">
        <v>1</v>
      </c>
      <c r="V1022">
        <v>2</v>
      </c>
      <c r="W1022" t="s">
        <v>32</v>
      </c>
      <c r="X1022">
        <v>1</v>
      </c>
      <c r="Y1022" t="str">
        <f t="shared" si="15"/>
        <v>Medium</v>
      </c>
    </row>
    <row r="1023" spans="1:25">
      <c r="A1023" t="s">
        <v>1136</v>
      </c>
      <c r="B1023" s="1">
        <v>44937</v>
      </c>
      <c r="C1023" s="2">
        <v>0.84375</v>
      </c>
      <c r="D1023" t="s">
        <v>41</v>
      </c>
      <c r="E1023" t="s">
        <v>27</v>
      </c>
      <c r="F1023" t="s">
        <v>185</v>
      </c>
      <c r="G1023" t="s">
        <v>203</v>
      </c>
      <c r="H1023" s="2">
        <v>0.84583333333333333</v>
      </c>
      <c r="I1023" s="2">
        <v>0.86805555555555558</v>
      </c>
      <c r="J1023">
        <v>5</v>
      </c>
      <c r="K1023">
        <v>28</v>
      </c>
      <c r="L1023" t="s">
        <v>84</v>
      </c>
      <c r="M1023">
        <v>11.9</v>
      </c>
      <c r="N1023">
        <v>32</v>
      </c>
      <c r="O1023">
        <v>18</v>
      </c>
      <c r="P1023">
        <v>5.4</v>
      </c>
      <c r="Q1023" t="s">
        <v>71</v>
      </c>
      <c r="R1023">
        <v>50000</v>
      </c>
      <c r="S1023">
        <v>62</v>
      </c>
      <c r="T1023">
        <v>0</v>
      </c>
      <c r="U1023">
        <v>0</v>
      </c>
      <c r="V1023">
        <v>2</v>
      </c>
      <c r="W1023" t="s">
        <v>72</v>
      </c>
      <c r="X1023">
        <v>1</v>
      </c>
      <c r="Y1023" t="str">
        <f t="shared" si="15"/>
        <v>Medium</v>
      </c>
    </row>
    <row r="1024" spans="1:25">
      <c r="A1024" t="s">
        <v>1137</v>
      </c>
      <c r="B1024" s="1">
        <v>44937</v>
      </c>
      <c r="C1024" s="2">
        <v>0.85416666666666663</v>
      </c>
      <c r="D1024" t="s">
        <v>74</v>
      </c>
      <c r="E1024" t="s">
        <v>48</v>
      </c>
      <c r="F1024" t="s">
        <v>80</v>
      </c>
      <c r="G1024" t="s">
        <v>53</v>
      </c>
      <c r="H1024" s="2">
        <v>0.85555555555555551</v>
      </c>
      <c r="I1024" s="2">
        <v>0.87013888888888891</v>
      </c>
      <c r="J1024">
        <v>9</v>
      </c>
      <c r="K1024">
        <v>27</v>
      </c>
      <c r="L1024" t="s">
        <v>54</v>
      </c>
      <c r="M1024">
        <v>-0.8</v>
      </c>
      <c r="N1024">
        <v>78</v>
      </c>
      <c r="O1024">
        <v>31</v>
      </c>
      <c r="P1024">
        <v>4.9000000000000004</v>
      </c>
      <c r="Q1024" t="s">
        <v>31</v>
      </c>
      <c r="R1024">
        <v>0</v>
      </c>
      <c r="S1024">
        <v>28</v>
      </c>
      <c r="T1024">
        <v>0</v>
      </c>
      <c r="U1024">
        <v>0</v>
      </c>
      <c r="V1024">
        <v>2</v>
      </c>
      <c r="W1024" t="s">
        <v>55</v>
      </c>
      <c r="X1024">
        <v>1</v>
      </c>
      <c r="Y1024" t="str">
        <f t="shared" si="15"/>
        <v>Low</v>
      </c>
    </row>
    <row r="1025" spans="1:25">
      <c r="A1025" t="s">
        <v>1138</v>
      </c>
      <c r="B1025" s="1">
        <v>44937</v>
      </c>
      <c r="C1025" s="2">
        <v>0.86458333333333337</v>
      </c>
      <c r="D1025" t="s">
        <v>74</v>
      </c>
      <c r="E1025" t="s">
        <v>104</v>
      </c>
      <c r="F1025" t="s">
        <v>49</v>
      </c>
      <c r="G1025" t="s">
        <v>123</v>
      </c>
      <c r="H1025" s="2">
        <v>0.86458333333333337</v>
      </c>
      <c r="I1025" s="2">
        <v>0.89652777777777781</v>
      </c>
      <c r="J1025">
        <v>12</v>
      </c>
      <c r="K1025">
        <v>4</v>
      </c>
      <c r="L1025" t="s">
        <v>54</v>
      </c>
      <c r="M1025">
        <v>32.5</v>
      </c>
      <c r="N1025">
        <v>96</v>
      </c>
      <c r="O1025">
        <v>18</v>
      </c>
      <c r="P1025">
        <v>5.0999999999999996</v>
      </c>
      <c r="Q1025" t="s">
        <v>31</v>
      </c>
      <c r="R1025">
        <v>0</v>
      </c>
      <c r="S1025">
        <v>57</v>
      </c>
      <c r="T1025">
        <v>0</v>
      </c>
      <c r="U1025">
        <v>0</v>
      </c>
      <c r="V1025">
        <v>2</v>
      </c>
      <c r="W1025" t="s">
        <v>72</v>
      </c>
      <c r="X1025">
        <v>0</v>
      </c>
      <c r="Y1025" t="str">
        <f t="shared" si="15"/>
        <v>Medium</v>
      </c>
    </row>
    <row r="1026" spans="1:25">
      <c r="A1026" t="s">
        <v>1139</v>
      </c>
      <c r="B1026" s="1">
        <v>44937</v>
      </c>
      <c r="C1026" s="2">
        <v>0.875</v>
      </c>
      <c r="D1026" t="s">
        <v>34</v>
      </c>
      <c r="E1026" t="s">
        <v>48</v>
      </c>
      <c r="F1026" t="s">
        <v>69</v>
      </c>
      <c r="G1026" t="s">
        <v>95</v>
      </c>
      <c r="H1026" s="2">
        <v>0.87569444444444444</v>
      </c>
      <c r="I1026" s="2">
        <v>0.90763888888888888</v>
      </c>
      <c r="J1026">
        <v>-1</v>
      </c>
      <c r="K1026">
        <v>16</v>
      </c>
      <c r="L1026" t="s">
        <v>77</v>
      </c>
      <c r="M1026">
        <v>-3.2</v>
      </c>
      <c r="N1026">
        <v>84</v>
      </c>
      <c r="O1026">
        <v>23</v>
      </c>
      <c r="P1026">
        <v>18.3</v>
      </c>
      <c r="Q1026" t="s">
        <v>46</v>
      </c>
      <c r="R1026">
        <v>10000</v>
      </c>
      <c r="S1026">
        <v>97</v>
      </c>
      <c r="T1026">
        <v>0</v>
      </c>
      <c r="U1026">
        <v>0</v>
      </c>
      <c r="V1026">
        <v>2</v>
      </c>
      <c r="W1026" t="s">
        <v>39</v>
      </c>
      <c r="X1026">
        <v>1</v>
      </c>
      <c r="Y1026" t="str">
        <f t="shared" ref="Y1026:Y1089" si="16">IF(S1026&lt;=33,"Low",IF(S1026&lt;=66,"Medium","High"))</f>
        <v>High</v>
      </c>
    </row>
    <row r="1027" spans="1:25">
      <c r="A1027" t="s">
        <v>1140</v>
      </c>
      <c r="B1027" s="1">
        <v>44937</v>
      </c>
      <c r="C1027" s="2">
        <v>0.88541666666666663</v>
      </c>
      <c r="D1027" t="s">
        <v>74</v>
      </c>
      <c r="E1027" t="s">
        <v>48</v>
      </c>
      <c r="F1027" t="s">
        <v>194</v>
      </c>
      <c r="G1027" t="s">
        <v>95</v>
      </c>
      <c r="H1027" s="2">
        <v>0.88541666666666663</v>
      </c>
      <c r="I1027" s="2">
        <v>0.90972222222222221</v>
      </c>
      <c r="J1027">
        <v>14</v>
      </c>
      <c r="K1027">
        <v>0</v>
      </c>
      <c r="L1027" t="s">
        <v>84</v>
      </c>
      <c r="M1027">
        <v>25</v>
      </c>
      <c r="N1027">
        <v>33</v>
      </c>
      <c r="O1027">
        <v>23</v>
      </c>
      <c r="P1027">
        <v>10</v>
      </c>
      <c r="Q1027" t="s">
        <v>31</v>
      </c>
      <c r="R1027">
        <v>0</v>
      </c>
      <c r="S1027">
        <v>93</v>
      </c>
      <c r="T1027">
        <v>0</v>
      </c>
      <c r="U1027">
        <v>0</v>
      </c>
      <c r="V1027">
        <v>2</v>
      </c>
      <c r="W1027" t="s">
        <v>55</v>
      </c>
      <c r="X1027">
        <v>0</v>
      </c>
      <c r="Y1027" t="str">
        <f t="shared" si="16"/>
        <v>High</v>
      </c>
    </row>
    <row r="1028" spans="1:25">
      <c r="A1028" t="s">
        <v>1141</v>
      </c>
      <c r="B1028" s="1">
        <v>44937</v>
      </c>
      <c r="C1028" s="2">
        <v>0.89583333333333337</v>
      </c>
      <c r="D1028" t="s">
        <v>74</v>
      </c>
      <c r="E1028" t="s">
        <v>147</v>
      </c>
      <c r="F1028" t="s">
        <v>128</v>
      </c>
      <c r="G1028" t="s">
        <v>81</v>
      </c>
      <c r="H1028" s="2">
        <v>0.89722222222222225</v>
      </c>
      <c r="I1028" s="2">
        <v>0.93194444444444446</v>
      </c>
      <c r="J1028">
        <v>4</v>
      </c>
      <c r="K1028">
        <v>14</v>
      </c>
      <c r="L1028" t="s">
        <v>30</v>
      </c>
      <c r="M1028">
        <v>-2.1</v>
      </c>
      <c r="N1028">
        <v>60</v>
      </c>
      <c r="O1028">
        <v>55</v>
      </c>
      <c r="P1028">
        <v>13.4</v>
      </c>
      <c r="Q1028" t="s">
        <v>46</v>
      </c>
      <c r="R1028">
        <v>0</v>
      </c>
      <c r="S1028">
        <v>30</v>
      </c>
      <c r="T1028">
        <v>0</v>
      </c>
      <c r="U1028">
        <v>0</v>
      </c>
      <c r="V1028">
        <v>2</v>
      </c>
      <c r="W1028" t="s">
        <v>32</v>
      </c>
      <c r="X1028">
        <v>1</v>
      </c>
      <c r="Y1028" t="str">
        <f t="shared" si="16"/>
        <v>Low</v>
      </c>
    </row>
    <row r="1029" spans="1:25">
      <c r="A1029" t="s">
        <v>1142</v>
      </c>
      <c r="B1029" s="1">
        <v>44937</v>
      </c>
      <c r="C1029" s="2">
        <v>0.90625</v>
      </c>
      <c r="D1029" t="s">
        <v>26</v>
      </c>
      <c r="E1029" t="s">
        <v>61</v>
      </c>
      <c r="F1029" t="s">
        <v>95</v>
      </c>
      <c r="G1029" t="s">
        <v>53</v>
      </c>
      <c r="H1029" s="2">
        <v>0.90763888888888888</v>
      </c>
      <c r="I1029" s="2">
        <v>0.93263888888888891</v>
      </c>
      <c r="J1029">
        <v>10</v>
      </c>
      <c r="K1029">
        <v>0</v>
      </c>
      <c r="L1029" t="s">
        <v>84</v>
      </c>
      <c r="M1029">
        <v>13.7</v>
      </c>
      <c r="N1029">
        <v>95</v>
      </c>
      <c r="O1029">
        <v>16</v>
      </c>
      <c r="P1029">
        <v>5.6</v>
      </c>
      <c r="Q1029" t="s">
        <v>31</v>
      </c>
      <c r="R1029">
        <v>0</v>
      </c>
      <c r="S1029">
        <v>85</v>
      </c>
      <c r="T1029">
        <v>0</v>
      </c>
      <c r="U1029">
        <v>0</v>
      </c>
      <c r="V1029">
        <v>2</v>
      </c>
      <c r="W1029" t="s">
        <v>72</v>
      </c>
      <c r="X1029">
        <v>0</v>
      </c>
      <c r="Y1029" t="str">
        <f t="shared" si="16"/>
        <v>High</v>
      </c>
    </row>
    <row r="1030" spans="1:25">
      <c r="A1030" t="s">
        <v>1143</v>
      </c>
      <c r="B1030" s="1">
        <v>44937</v>
      </c>
      <c r="C1030" s="2">
        <v>0.91666666666666663</v>
      </c>
      <c r="D1030" t="s">
        <v>41</v>
      </c>
      <c r="E1030" t="s">
        <v>61</v>
      </c>
      <c r="F1030" t="s">
        <v>49</v>
      </c>
      <c r="G1030" t="s">
        <v>50</v>
      </c>
      <c r="H1030" s="2">
        <v>0.91736111111111107</v>
      </c>
      <c r="I1030" s="2">
        <v>0.94444444444444442</v>
      </c>
      <c r="J1030">
        <v>-2</v>
      </c>
      <c r="K1030">
        <v>16</v>
      </c>
      <c r="L1030" t="s">
        <v>30</v>
      </c>
      <c r="M1030">
        <v>2</v>
      </c>
      <c r="N1030">
        <v>93</v>
      </c>
      <c r="O1030">
        <v>55</v>
      </c>
      <c r="P1030">
        <v>10.5</v>
      </c>
      <c r="Q1030" t="s">
        <v>31</v>
      </c>
      <c r="R1030">
        <v>10000</v>
      </c>
      <c r="S1030">
        <v>88</v>
      </c>
      <c r="T1030">
        <v>1</v>
      </c>
      <c r="U1030">
        <v>0</v>
      </c>
      <c r="V1030">
        <v>2</v>
      </c>
      <c r="W1030" t="s">
        <v>55</v>
      </c>
      <c r="X1030">
        <v>1</v>
      </c>
      <c r="Y1030" t="str">
        <f t="shared" si="16"/>
        <v>High</v>
      </c>
    </row>
    <row r="1031" spans="1:25">
      <c r="A1031" t="s">
        <v>1144</v>
      </c>
      <c r="B1031" s="1">
        <v>44937</v>
      </c>
      <c r="C1031" s="2">
        <v>0.92708333333333337</v>
      </c>
      <c r="D1031" t="s">
        <v>41</v>
      </c>
      <c r="E1031" t="s">
        <v>52</v>
      </c>
      <c r="F1031" t="s">
        <v>36</v>
      </c>
      <c r="G1031" t="s">
        <v>151</v>
      </c>
      <c r="H1031" s="2">
        <v>0.92986111111111114</v>
      </c>
      <c r="I1031" s="2">
        <v>0.9555555555555556</v>
      </c>
      <c r="J1031">
        <v>3</v>
      </c>
      <c r="K1031">
        <v>5</v>
      </c>
      <c r="L1031" t="s">
        <v>77</v>
      </c>
      <c r="M1031">
        <v>0.6</v>
      </c>
      <c r="N1031">
        <v>60</v>
      </c>
      <c r="O1031">
        <v>55</v>
      </c>
      <c r="P1031">
        <v>7</v>
      </c>
      <c r="Q1031" t="s">
        <v>31</v>
      </c>
      <c r="R1031">
        <v>0</v>
      </c>
      <c r="S1031">
        <v>67</v>
      </c>
      <c r="T1031">
        <v>0</v>
      </c>
      <c r="U1031">
        <v>0</v>
      </c>
      <c r="V1031">
        <v>2</v>
      </c>
      <c r="W1031" t="s">
        <v>32</v>
      </c>
      <c r="X1031">
        <v>0</v>
      </c>
      <c r="Y1031" t="str">
        <f t="shared" si="16"/>
        <v>High</v>
      </c>
    </row>
    <row r="1032" spans="1:25">
      <c r="A1032" t="s">
        <v>1145</v>
      </c>
      <c r="B1032" s="1">
        <v>44937</v>
      </c>
      <c r="C1032" s="2">
        <v>0.9375</v>
      </c>
      <c r="D1032" t="s">
        <v>26</v>
      </c>
      <c r="E1032" t="s">
        <v>98</v>
      </c>
      <c r="F1032" t="s">
        <v>91</v>
      </c>
      <c r="G1032" t="s">
        <v>197</v>
      </c>
      <c r="H1032" s="2">
        <v>0.94027777777777777</v>
      </c>
      <c r="I1032" s="2">
        <v>0.95694444444444449</v>
      </c>
      <c r="J1032">
        <v>10</v>
      </c>
      <c r="K1032">
        <v>12</v>
      </c>
      <c r="L1032" t="s">
        <v>45</v>
      </c>
      <c r="M1032">
        <v>0</v>
      </c>
      <c r="N1032">
        <v>92</v>
      </c>
      <c r="O1032">
        <v>17</v>
      </c>
      <c r="P1032">
        <v>6.4</v>
      </c>
      <c r="Q1032" t="s">
        <v>31</v>
      </c>
      <c r="R1032">
        <v>0</v>
      </c>
      <c r="S1032">
        <v>98</v>
      </c>
      <c r="T1032">
        <v>0</v>
      </c>
      <c r="U1032">
        <v>0</v>
      </c>
      <c r="V1032">
        <v>2</v>
      </c>
      <c r="W1032" t="s">
        <v>72</v>
      </c>
      <c r="X1032">
        <v>1</v>
      </c>
      <c r="Y1032" t="str">
        <f t="shared" si="16"/>
        <v>High</v>
      </c>
    </row>
    <row r="1033" spans="1:25">
      <c r="A1033" t="s">
        <v>1146</v>
      </c>
      <c r="B1033" s="1">
        <v>44937</v>
      </c>
      <c r="C1033" s="2">
        <v>0.94791666666666663</v>
      </c>
      <c r="D1033" t="s">
        <v>34</v>
      </c>
      <c r="E1033" t="s">
        <v>68</v>
      </c>
      <c r="F1033" t="s">
        <v>194</v>
      </c>
      <c r="G1033" t="s">
        <v>43</v>
      </c>
      <c r="H1033" s="2">
        <v>0.94861111111111107</v>
      </c>
      <c r="I1033" s="2">
        <v>0.96736111111111112</v>
      </c>
      <c r="J1033">
        <v>8</v>
      </c>
      <c r="K1033">
        <v>22</v>
      </c>
      <c r="L1033" t="s">
        <v>45</v>
      </c>
      <c r="M1033">
        <v>13.1</v>
      </c>
      <c r="N1033">
        <v>95</v>
      </c>
      <c r="O1033">
        <v>11</v>
      </c>
      <c r="P1033">
        <v>4.9000000000000004</v>
      </c>
      <c r="Q1033" t="s">
        <v>31</v>
      </c>
      <c r="R1033">
        <v>0</v>
      </c>
      <c r="S1033">
        <v>40</v>
      </c>
      <c r="T1033">
        <v>1</v>
      </c>
      <c r="U1033">
        <v>0</v>
      </c>
      <c r="V1033">
        <v>2</v>
      </c>
      <c r="W1033" t="s">
        <v>55</v>
      </c>
      <c r="X1033">
        <v>1</v>
      </c>
      <c r="Y1033" t="str">
        <f t="shared" si="16"/>
        <v>Medium</v>
      </c>
    </row>
    <row r="1034" spans="1:25">
      <c r="A1034" t="s">
        <v>1147</v>
      </c>
      <c r="B1034" s="1">
        <v>44937</v>
      </c>
      <c r="C1034" s="2">
        <v>0.95833333333333337</v>
      </c>
      <c r="D1034" t="s">
        <v>41</v>
      </c>
      <c r="E1034" t="s">
        <v>27</v>
      </c>
      <c r="F1034" t="s">
        <v>36</v>
      </c>
      <c r="G1034" t="s">
        <v>128</v>
      </c>
      <c r="H1034" s="2">
        <v>0.96111111111111114</v>
      </c>
      <c r="I1034" s="2">
        <v>0.97777777777777775</v>
      </c>
      <c r="J1034">
        <v>7</v>
      </c>
      <c r="K1034">
        <v>21</v>
      </c>
      <c r="L1034" t="s">
        <v>84</v>
      </c>
      <c r="M1034">
        <v>15.6</v>
      </c>
      <c r="N1034">
        <v>60</v>
      </c>
      <c r="O1034">
        <v>40</v>
      </c>
      <c r="P1034">
        <v>8.1999999999999993</v>
      </c>
      <c r="Q1034" t="s">
        <v>31</v>
      </c>
      <c r="R1034">
        <v>50000</v>
      </c>
      <c r="S1034">
        <v>49</v>
      </c>
      <c r="T1034">
        <v>0</v>
      </c>
      <c r="U1034">
        <v>0</v>
      </c>
      <c r="V1034">
        <v>2</v>
      </c>
      <c r="W1034" t="s">
        <v>72</v>
      </c>
      <c r="X1034">
        <v>1</v>
      </c>
      <c r="Y1034" t="str">
        <f t="shared" si="16"/>
        <v>Medium</v>
      </c>
    </row>
    <row r="1035" spans="1:25">
      <c r="A1035" t="s">
        <v>1148</v>
      </c>
      <c r="B1035" s="1">
        <v>44937</v>
      </c>
      <c r="C1035" s="2">
        <v>0.96875</v>
      </c>
      <c r="D1035" t="s">
        <v>74</v>
      </c>
      <c r="E1035" t="s">
        <v>42</v>
      </c>
      <c r="F1035" t="s">
        <v>185</v>
      </c>
      <c r="G1035" t="s">
        <v>107</v>
      </c>
      <c r="H1035" s="2">
        <v>0.97083333333333333</v>
      </c>
      <c r="I1035" s="2">
        <v>6.9444444444444447E-4</v>
      </c>
      <c r="J1035">
        <v>13</v>
      </c>
      <c r="K1035">
        <v>0</v>
      </c>
      <c r="L1035" t="s">
        <v>30</v>
      </c>
      <c r="M1035">
        <v>0.3</v>
      </c>
      <c r="N1035">
        <v>76</v>
      </c>
      <c r="O1035">
        <v>22</v>
      </c>
      <c r="P1035">
        <v>13.2</v>
      </c>
      <c r="Q1035" t="s">
        <v>31</v>
      </c>
      <c r="R1035">
        <v>0</v>
      </c>
      <c r="S1035">
        <v>43</v>
      </c>
      <c r="T1035">
        <v>0</v>
      </c>
      <c r="U1035">
        <v>0</v>
      </c>
      <c r="V1035">
        <v>2</v>
      </c>
      <c r="W1035" t="s">
        <v>55</v>
      </c>
      <c r="X1035">
        <v>0</v>
      </c>
      <c r="Y1035" t="str">
        <f t="shared" si="16"/>
        <v>Medium</v>
      </c>
    </row>
    <row r="1036" spans="1:25">
      <c r="A1036" t="s">
        <v>1149</v>
      </c>
      <c r="B1036" s="1">
        <v>44937</v>
      </c>
      <c r="C1036" s="2">
        <v>0.97916666666666663</v>
      </c>
      <c r="D1036" t="s">
        <v>41</v>
      </c>
      <c r="E1036" t="s">
        <v>57</v>
      </c>
      <c r="F1036" t="s">
        <v>109</v>
      </c>
      <c r="G1036" t="s">
        <v>44</v>
      </c>
      <c r="H1036" s="2">
        <v>0.9819444444444444</v>
      </c>
      <c r="I1036" s="2">
        <v>4.1666666666666666E-3</v>
      </c>
      <c r="J1036">
        <v>17</v>
      </c>
      <c r="K1036">
        <v>15</v>
      </c>
      <c r="L1036" t="s">
        <v>45</v>
      </c>
      <c r="M1036">
        <v>34.200000000000003</v>
      </c>
      <c r="N1036">
        <v>51</v>
      </c>
      <c r="O1036">
        <v>55</v>
      </c>
      <c r="P1036">
        <v>4.4000000000000004</v>
      </c>
      <c r="Q1036" t="s">
        <v>46</v>
      </c>
      <c r="R1036">
        <v>0</v>
      </c>
      <c r="S1036">
        <v>8</v>
      </c>
      <c r="T1036">
        <v>0</v>
      </c>
      <c r="U1036">
        <v>0</v>
      </c>
      <c r="V1036">
        <v>2</v>
      </c>
      <c r="W1036" t="s">
        <v>39</v>
      </c>
      <c r="X1036">
        <v>1</v>
      </c>
      <c r="Y1036" t="str">
        <f t="shared" si="16"/>
        <v>Low</v>
      </c>
    </row>
    <row r="1037" spans="1:25">
      <c r="A1037" t="s">
        <v>1150</v>
      </c>
      <c r="B1037" s="1">
        <v>44937</v>
      </c>
      <c r="C1037" s="2">
        <v>0.98958333333333337</v>
      </c>
      <c r="D1037" t="s">
        <v>74</v>
      </c>
      <c r="E1037" t="s">
        <v>52</v>
      </c>
      <c r="F1037" t="s">
        <v>36</v>
      </c>
      <c r="G1037" t="s">
        <v>168</v>
      </c>
      <c r="H1037" s="2">
        <v>0.99236111111111114</v>
      </c>
      <c r="I1037" s="2">
        <v>8.3333333333333332E-3</v>
      </c>
      <c r="J1037">
        <v>14</v>
      </c>
      <c r="K1037">
        <v>10</v>
      </c>
      <c r="L1037" t="s">
        <v>30</v>
      </c>
      <c r="M1037">
        <v>5.3</v>
      </c>
      <c r="N1037">
        <v>75</v>
      </c>
      <c r="O1037">
        <v>47</v>
      </c>
      <c r="P1037">
        <v>19.3</v>
      </c>
      <c r="Q1037" t="s">
        <v>71</v>
      </c>
      <c r="R1037">
        <v>500</v>
      </c>
      <c r="S1037">
        <v>58</v>
      </c>
      <c r="T1037">
        <v>0</v>
      </c>
      <c r="U1037">
        <v>0</v>
      </c>
      <c r="V1037">
        <v>2</v>
      </c>
      <c r="W1037" t="s">
        <v>72</v>
      </c>
      <c r="X1037">
        <v>1</v>
      </c>
      <c r="Y1037" t="str">
        <f t="shared" si="16"/>
        <v>Medium</v>
      </c>
    </row>
    <row r="1038" spans="1:25">
      <c r="A1038" t="s">
        <v>1151</v>
      </c>
      <c r="B1038" s="1">
        <v>44938</v>
      </c>
      <c r="C1038" s="2">
        <v>0</v>
      </c>
      <c r="D1038" t="s">
        <v>34</v>
      </c>
      <c r="E1038" t="s">
        <v>52</v>
      </c>
      <c r="F1038" t="s">
        <v>69</v>
      </c>
      <c r="G1038" t="s">
        <v>76</v>
      </c>
      <c r="H1038" s="2">
        <v>2.7777777777777779E-3</v>
      </c>
      <c r="I1038" s="2">
        <v>2.4305555555555556E-2</v>
      </c>
      <c r="J1038">
        <v>14</v>
      </c>
      <c r="K1038">
        <v>17</v>
      </c>
      <c r="L1038" t="s">
        <v>77</v>
      </c>
      <c r="M1038">
        <v>13.4</v>
      </c>
      <c r="N1038">
        <v>87</v>
      </c>
      <c r="O1038">
        <v>17</v>
      </c>
      <c r="P1038">
        <v>2.5</v>
      </c>
      <c r="Q1038" t="s">
        <v>31</v>
      </c>
      <c r="R1038">
        <v>0</v>
      </c>
      <c r="S1038">
        <v>89</v>
      </c>
      <c r="T1038">
        <v>0</v>
      </c>
      <c r="U1038">
        <v>1</v>
      </c>
      <c r="V1038">
        <v>3</v>
      </c>
      <c r="W1038" t="s">
        <v>72</v>
      </c>
      <c r="X1038">
        <v>1</v>
      </c>
      <c r="Y1038" t="str">
        <f t="shared" si="16"/>
        <v>High</v>
      </c>
    </row>
    <row r="1039" spans="1:25">
      <c r="A1039" t="s">
        <v>1152</v>
      </c>
      <c r="B1039" s="1">
        <v>44938</v>
      </c>
      <c r="C1039" s="2">
        <v>1.0416666666666666E-2</v>
      </c>
      <c r="D1039" t="s">
        <v>26</v>
      </c>
      <c r="E1039" t="s">
        <v>89</v>
      </c>
      <c r="F1039" t="s">
        <v>100</v>
      </c>
      <c r="G1039" t="s">
        <v>28</v>
      </c>
      <c r="H1039" s="2">
        <v>1.2500000000000001E-2</v>
      </c>
      <c r="I1039" s="2">
        <v>3.6111111111111108E-2</v>
      </c>
      <c r="J1039">
        <v>1</v>
      </c>
      <c r="K1039">
        <v>11</v>
      </c>
      <c r="L1039" t="s">
        <v>84</v>
      </c>
      <c r="M1039">
        <v>3.7</v>
      </c>
      <c r="N1039">
        <v>90</v>
      </c>
      <c r="O1039">
        <v>15</v>
      </c>
      <c r="P1039">
        <v>9.6</v>
      </c>
      <c r="Q1039" t="s">
        <v>71</v>
      </c>
      <c r="R1039">
        <v>0</v>
      </c>
      <c r="S1039">
        <v>90</v>
      </c>
      <c r="T1039">
        <v>0</v>
      </c>
      <c r="U1039">
        <v>0</v>
      </c>
      <c r="V1039">
        <v>3</v>
      </c>
      <c r="W1039" t="s">
        <v>55</v>
      </c>
      <c r="X1039">
        <v>1</v>
      </c>
      <c r="Y1039" t="str">
        <f t="shared" si="16"/>
        <v>High</v>
      </c>
    </row>
    <row r="1040" spans="1:25">
      <c r="A1040" t="s">
        <v>1153</v>
      </c>
      <c r="B1040" s="1">
        <v>44938</v>
      </c>
      <c r="C1040" s="2">
        <v>2.0833333333333332E-2</v>
      </c>
      <c r="D1040" t="s">
        <v>41</v>
      </c>
      <c r="E1040" t="s">
        <v>141</v>
      </c>
      <c r="F1040" t="s">
        <v>148</v>
      </c>
      <c r="G1040" t="s">
        <v>90</v>
      </c>
      <c r="H1040" s="2">
        <v>2.361111111111111E-2</v>
      </c>
      <c r="I1040" s="2">
        <v>5.6944444444444443E-2</v>
      </c>
      <c r="J1040">
        <v>2</v>
      </c>
      <c r="K1040">
        <v>-1</v>
      </c>
      <c r="L1040" t="s">
        <v>30</v>
      </c>
      <c r="M1040">
        <v>14.8</v>
      </c>
      <c r="N1040">
        <v>75</v>
      </c>
      <c r="O1040">
        <v>15</v>
      </c>
      <c r="P1040">
        <v>1.7</v>
      </c>
      <c r="Q1040" t="s">
        <v>71</v>
      </c>
      <c r="R1040">
        <v>50000</v>
      </c>
      <c r="S1040">
        <v>26</v>
      </c>
      <c r="T1040">
        <v>0</v>
      </c>
      <c r="U1040">
        <v>0</v>
      </c>
      <c r="V1040">
        <v>3</v>
      </c>
      <c r="W1040" t="s">
        <v>39</v>
      </c>
      <c r="X1040">
        <v>0</v>
      </c>
      <c r="Y1040" t="str">
        <f t="shared" si="16"/>
        <v>Low</v>
      </c>
    </row>
    <row r="1041" spans="1:25">
      <c r="A1041" t="s">
        <v>1154</v>
      </c>
      <c r="B1041" s="1">
        <v>44938</v>
      </c>
      <c r="C1041" s="2">
        <v>3.125E-2</v>
      </c>
      <c r="D1041" t="s">
        <v>26</v>
      </c>
      <c r="E1041" t="s">
        <v>27</v>
      </c>
      <c r="F1041" t="s">
        <v>91</v>
      </c>
      <c r="G1041" t="s">
        <v>86</v>
      </c>
      <c r="H1041" s="2">
        <v>3.3333333333333333E-2</v>
      </c>
      <c r="I1041" s="2">
        <v>4.5138888888888888E-2</v>
      </c>
      <c r="J1041">
        <v>11</v>
      </c>
      <c r="K1041">
        <v>12</v>
      </c>
      <c r="L1041" t="s">
        <v>84</v>
      </c>
      <c r="M1041">
        <v>25.2</v>
      </c>
      <c r="N1041">
        <v>30</v>
      </c>
      <c r="O1041">
        <v>35</v>
      </c>
      <c r="P1041">
        <v>0.5</v>
      </c>
      <c r="Q1041" t="s">
        <v>31</v>
      </c>
      <c r="R1041">
        <v>0</v>
      </c>
      <c r="S1041">
        <v>81</v>
      </c>
      <c r="T1041">
        <v>0</v>
      </c>
      <c r="U1041">
        <v>1</v>
      </c>
      <c r="V1041">
        <v>3</v>
      </c>
      <c r="W1041" t="s">
        <v>72</v>
      </c>
      <c r="X1041">
        <v>1</v>
      </c>
      <c r="Y1041" t="str">
        <f t="shared" si="16"/>
        <v>High</v>
      </c>
    </row>
    <row r="1042" spans="1:25">
      <c r="A1042" t="s">
        <v>1155</v>
      </c>
      <c r="B1042" s="1">
        <v>44938</v>
      </c>
      <c r="C1042" s="2">
        <v>4.1666666666666664E-2</v>
      </c>
      <c r="D1042" t="s">
        <v>41</v>
      </c>
      <c r="E1042" t="s">
        <v>79</v>
      </c>
      <c r="F1042" t="s">
        <v>53</v>
      </c>
      <c r="G1042" t="s">
        <v>91</v>
      </c>
      <c r="H1042" s="2">
        <v>4.2361111111111113E-2</v>
      </c>
      <c r="I1042" s="2">
        <v>6.3194444444444442E-2</v>
      </c>
      <c r="J1042">
        <v>17</v>
      </c>
      <c r="K1042">
        <v>10</v>
      </c>
      <c r="L1042" t="s">
        <v>30</v>
      </c>
      <c r="M1042">
        <v>15.8</v>
      </c>
      <c r="N1042">
        <v>54</v>
      </c>
      <c r="O1042">
        <v>22</v>
      </c>
      <c r="P1042">
        <v>18.5</v>
      </c>
      <c r="Q1042" t="s">
        <v>31</v>
      </c>
      <c r="R1042">
        <v>2000</v>
      </c>
      <c r="S1042">
        <v>93</v>
      </c>
      <c r="T1042">
        <v>0</v>
      </c>
      <c r="U1042">
        <v>0</v>
      </c>
      <c r="V1042">
        <v>3</v>
      </c>
      <c r="W1042" t="s">
        <v>39</v>
      </c>
      <c r="X1042">
        <v>1</v>
      </c>
      <c r="Y1042" t="str">
        <f t="shared" si="16"/>
        <v>High</v>
      </c>
    </row>
    <row r="1043" spans="1:25">
      <c r="A1043" t="s">
        <v>1156</v>
      </c>
      <c r="B1043" s="1">
        <v>44938</v>
      </c>
      <c r="C1043" s="2">
        <v>5.2083333333333336E-2</v>
      </c>
      <c r="D1043" t="s">
        <v>74</v>
      </c>
      <c r="E1043" t="s">
        <v>130</v>
      </c>
      <c r="F1043" t="s">
        <v>43</v>
      </c>
      <c r="G1043" t="s">
        <v>87</v>
      </c>
      <c r="H1043" s="2">
        <v>5.2083333333333336E-2</v>
      </c>
      <c r="I1043" s="2">
        <v>6.9444444444444448E-2</v>
      </c>
      <c r="J1043">
        <v>7</v>
      </c>
      <c r="K1043">
        <v>5</v>
      </c>
      <c r="L1043" t="s">
        <v>54</v>
      </c>
      <c r="M1043">
        <v>6.4</v>
      </c>
      <c r="N1043">
        <v>90</v>
      </c>
      <c r="O1043">
        <v>21</v>
      </c>
      <c r="P1043">
        <v>16.2</v>
      </c>
      <c r="Q1043" t="s">
        <v>31</v>
      </c>
      <c r="R1043">
        <v>10000</v>
      </c>
      <c r="S1043">
        <v>58</v>
      </c>
      <c r="T1043">
        <v>0</v>
      </c>
      <c r="U1043">
        <v>0</v>
      </c>
      <c r="V1043">
        <v>3</v>
      </c>
      <c r="W1043" t="s">
        <v>39</v>
      </c>
      <c r="X1043">
        <v>0</v>
      </c>
      <c r="Y1043" t="str">
        <f t="shared" si="16"/>
        <v>Medium</v>
      </c>
    </row>
    <row r="1044" spans="1:25">
      <c r="A1044" t="s">
        <v>1157</v>
      </c>
      <c r="B1044" s="1">
        <v>44938</v>
      </c>
      <c r="C1044" s="2">
        <v>6.25E-2</v>
      </c>
      <c r="D1044" t="s">
        <v>26</v>
      </c>
      <c r="E1044" t="s">
        <v>57</v>
      </c>
      <c r="F1044" t="s">
        <v>100</v>
      </c>
      <c r="G1044" t="s">
        <v>176</v>
      </c>
      <c r="H1044" s="2">
        <v>6.3194444444444442E-2</v>
      </c>
      <c r="I1044" s="2">
        <v>7.9166666666666663E-2</v>
      </c>
      <c r="J1044">
        <v>11</v>
      </c>
      <c r="K1044">
        <v>3</v>
      </c>
      <c r="L1044" t="s">
        <v>54</v>
      </c>
      <c r="M1044">
        <v>4.9000000000000004</v>
      </c>
      <c r="N1044">
        <v>43</v>
      </c>
      <c r="O1044">
        <v>38</v>
      </c>
      <c r="P1044">
        <v>13.9</v>
      </c>
      <c r="Q1044" t="s">
        <v>31</v>
      </c>
      <c r="R1044">
        <v>0</v>
      </c>
      <c r="S1044">
        <v>94</v>
      </c>
      <c r="T1044">
        <v>0</v>
      </c>
      <c r="U1044">
        <v>0</v>
      </c>
      <c r="V1044">
        <v>3</v>
      </c>
      <c r="W1044" t="s">
        <v>72</v>
      </c>
      <c r="X1044">
        <v>0</v>
      </c>
      <c r="Y1044" t="str">
        <f t="shared" si="16"/>
        <v>High</v>
      </c>
    </row>
    <row r="1045" spans="1:25">
      <c r="A1045" t="s">
        <v>1158</v>
      </c>
      <c r="B1045" s="1">
        <v>44938</v>
      </c>
      <c r="C1045" s="2">
        <v>7.2916666666666671E-2</v>
      </c>
      <c r="D1045" t="s">
        <v>41</v>
      </c>
      <c r="E1045" t="s">
        <v>157</v>
      </c>
      <c r="F1045" t="s">
        <v>37</v>
      </c>
      <c r="G1045" t="s">
        <v>66</v>
      </c>
      <c r="H1045" s="2">
        <v>7.2916666666666671E-2</v>
      </c>
      <c r="I1045" s="2">
        <v>9.7222222222222224E-2</v>
      </c>
      <c r="J1045">
        <v>-2</v>
      </c>
      <c r="K1045">
        <v>10</v>
      </c>
      <c r="L1045" t="s">
        <v>30</v>
      </c>
      <c r="M1045">
        <v>25.4</v>
      </c>
      <c r="N1045">
        <v>74</v>
      </c>
      <c r="O1045">
        <v>32</v>
      </c>
      <c r="P1045">
        <v>17.3</v>
      </c>
      <c r="Q1045" t="s">
        <v>31</v>
      </c>
      <c r="R1045">
        <v>0</v>
      </c>
      <c r="S1045">
        <v>2</v>
      </c>
      <c r="T1045">
        <v>0</v>
      </c>
      <c r="U1045">
        <v>1</v>
      </c>
      <c r="V1045">
        <v>3</v>
      </c>
      <c r="W1045" t="s">
        <v>32</v>
      </c>
      <c r="X1045">
        <v>1</v>
      </c>
      <c r="Y1045" t="str">
        <f t="shared" si="16"/>
        <v>Low</v>
      </c>
    </row>
    <row r="1046" spans="1:25">
      <c r="A1046" t="s">
        <v>1159</v>
      </c>
      <c r="B1046" s="1">
        <v>44938</v>
      </c>
      <c r="C1046" s="2">
        <v>8.3333333333333329E-2</v>
      </c>
      <c r="D1046" t="s">
        <v>74</v>
      </c>
      <c r="E1046" t="s">
        <v>157</v>
      </c>
      <c r="F1046" t="s">
        <v>49</v>
      </c>
      <c r="G1046" t="s">
        <v>163</v>
      </c>
      <c r="H1046" s="2">
        <v>8.4027777777777785E-2</v>
      </c>
      <c r="I1046" s="2">
        <v>0.10902777777777778</v>
      </c>
      <c r="J1046">
        <v>8</v>
      </c>
      <c r="K1046">
        <v>2</v>
      </c>
      <c r="L1046" t="s">
        <v>77</v>
      </c>
      <c r="M1046">
        <v>-0.3</v>
      </c>
      <c r="N1046">
        <v>68</v>
      </c>
      <c r="O1046">
        <v>23</v>
      </c>
      <c r="P1046">
        <v>16.100000000000001</v>
      </c>
      <c r="Q1046" t="s">
        <v>31</v>
      </c>
      <c r="R1046">
        <v>50000</v>
      </c>
      <c r="S1046">
        <v>92</v>
      </c>
      <c r="T1046">
        <v>0</v>
      </c>
      <c r="U1046">
        <v>1</v>
      </c>
      <c r="V1046">
        <v>3</v>
      </c>
      <c r="W1046" t="s">
        <v>55</v>
      </c>
      <c r="X1046">
        <v>0</v>
      </c>
      <c r="Y1046" t="str">
        <f t="shared" si="16"/>
        <v>High</v>
      </c>
    </row>
    <row r="1047" spans="1:25">
      <c r="A1047" t="s">
        <v>1160</v>
      </c>
      <c r="B1047" s="1">
        <v>44938</v>
      </c>
      <c r="C1047" s="2">
        <v>9.375E-2</v>
      </c>
      <c r="D1047" t="s">
        <v>26</v>
      </c>
      <c r="E1047" t="s">
        <v>111</v>
      </c>
      <c r="F1047" t="s">
        <v>203</v>
      </c>
      <c r="G1047" t="s">
        <v>96</v>
      </c>
      <c r="H1047" s="2">
        <v>9.375E-2</v>
      </c>
      <c r="I1047" s="2">
        <v>0.11944444444444445</v>
      </c>
      <c r="J1047">
        <v>15</v>
      </c>
      <c r="K1047">
        <v>17</v>
      </c>
      <c r="L1047" t="s">
        <v>84</v>
      </c>
      <c r="M1047">
        <v>9.8000000000000007</v>
      </c>
      <c r="N1047">
        <v>95</v>
      </c>
      <c r="O1047">
        <v>54</v>
      </c>
      <c r="P1047">
        <v>12.9</v>
      </c>
      <c r="Q1047" t="s">
        <v>31</v>
      </c>
      <c r="R1047">
        <v>2000</v>
      </c>
      <c r="S1047">
        <v>6</v>
      </c>
      <c r="T1047">
        <v>0</v>
      </c>
      <c r="U1047">
        <v>0</v>
      </c>
      <c r="V1047">
        <v>3</v>
      </c>
      <c r="W1047" t="s">
        <v>72</v>
      </c>
      <c r="X1047">
        <v>1</v>
      </c>
      <c r="Y1047" t="str">
        <f t="shared" si="16"/>
        <v>Low</v>
      </c>
    </row>
    <row r="1048" spans="1:25">
      <c r="A1048" t="s">
        <v>1161</v>
      </c>
      <c r="B1048" s="1">
        <v>44938</v>
      </c>
      <c r="C1048" s="2">
        <v>0.10416666666666667</v>
      </c>
      <c r="D1048" t="s">
        <v>26</v>
      </c>
      <c r="E1048" t="s">
        <v>89</v>
      </c>
      <c r="F1048" t="s">
        <v>148</v>
      </c>
      <c r="G1048" t="s">
        <v>123</v>
      </c>
      <c r="H1048" s="2">
        <v>0.10416666666666667</v>
      </c>
      <c r="I1048" s="2">
        <v>0.11805555555555555</v>
      </c>
      <c r="J1048">
        <v>13</v>
      </c>
      <c r="K1048">
        <v>11</v>
      </c>
      <c r="L1048" t="s">
        <v>38</v>
      </c>
      <c r="M1048">
        <v>1.1000000000000001</v>
      </c>
      <c r="N1048">
        <v>61</v>
      </c>
      <c r="O1048">
        <v>19</v>
      </c>
      <c r="P1048">
        <v>16.899999999999999</v>
      </c>
      <c r="Q1048" t="s">
        <v>101</v>
      </c>
      <c r="R1048">
        <v>0</v>
      </c>
      <c r="S1048">
        <v>81</v>
      </c>
      <c r="T1048">
        <v>0</v>
      </c>
      <c r="U1048">
        <v>0</v>
      </c>
      <c r="V1048">
        <v>3</v>
      </c>
      <c r="W1048" t="s">
        <v>39</v>
      </c>
      <c r="X1048">
        <v>1</v>
      </c>
      <c r="Y1048" t="str">
        <f t="shared" si="16"/>
        <v>High</v>
      </c>
    </row>
    <row r="1049" spans="1:25">
      <c r="A1049" t="s">
        <v>1162</v>
      </c>
      <c r="B1049" s="1">
        <v>44938</v>
      </c>
      <c r="C1049" s="2">
        <v>0.11458333333333333</v>
      </c>
      <c r="D1049" t="s">
        <v>41</v>
      </c>
      <c r="E1049" t="s">
        <v>89</v>
      </c>
      <c r="F1049" t="s">
        <v>105</v>
      </c>
      <c r="G1049" t="s">
        <v>70</v>
      </c>
      <c r="H1049" s="2">
        <v>0.11597222222222223</v>
      </c>
      <c r="I1049" s="2">
        <v>0.14097222222222222</v>
      </c>
      <c r="J1049">
        <v>15</v>
      </c>
      <c r="K1049">
        <v>4</v>
      </c>
      <c r="L1049" t="s">
        <v>30</v>
      </c>
      <c r="M1049">
        <v>5.3</v>
      </c>
      <c r="N1049">
        <v>87</v>
      </c>
      <c r="O1049">
        <v>32</v>
      </c>
      <c r="P1049">
        <v>7.8</v>
      </c>
      <c r="Q1049" t="s">
        <v>31</v>
      </c>
      <c r="R1049">
        <v>0</v>
      </c>
      <c r="S1049">
        <v>15</v>
      </c>
      <c r="T1049">
        <v>0</v>
      </c>
      <c r="U1049">
        <v>0</v>
      </c>
      <c r="V1049">
        <v>3</v>
      </c>
      <c r="W1049" t="s">
        <v>55</v>
      </c>
      <c r="X1049">
        <v>0</v>
      </c>
      <c r="Y1049" t="str">
        <f t="shared" si="16"/>
        <v>Low</v>
      </c>
    </row>
    <row r="1050" spans="1:25">
      <c r="A1050" t="s">
        <v>1163</v>
      </c>
      <c r="B1050" s="1">
        <v>44938</v>
      </c>
      <c r="C1050" s="2">
        <v>0.125</v>
      </c>
      <c r="D1050" t="s">
        <v>41</v>
      </c>
      <c r="E1050" t="s">
        <v>79</v>
      </c>
      <c r="F1050" t="s">
        <v>66</v>
      </c>
      <c r="G1050" t="s">
        <v>44</v>
      </c>
      <c r="H1050" s="2">
        <v>0.125</v>
      </c>
      <c r="I1050" s="2">
        <v>0.14374999999999999</v>
      </c>
      <c r="J1050">
        <v>5</v>
      </c>
      <c r="K1050">
        <v>-3</v>
      </c>
      <c r="L1050" t="s">
        <v>30</v>
      </c>
      <c r="M1050">
        <v>1.1000000000000001</v>
      </c>
      <c r="N1050">
        <v>85</v>
      </c>
      <c r="O1050">
        <v>30</v>
      </c>
      <c r="P1050">
        <v>11.1</v>
      </c>
      <c r="Q1050" t="s">
        <v>46</v>
      </c>
      <c r="R1050">
        <v>500</v>
      </c>
      <c r="S1050">
        <v>48</v>
      </c>
      <c r="T1050">
        <v>0</v>
      </c>
      <c r="U1050">
        <v>0</v>
      </c>
      <c r="V1050">
        <v>3</v>
      </c>
      <c r="W1050" t="s">
        <v>72</v>
      </c>
      <c r="X1050">
        <v>0</v>
      </c>
      <c r="Y1050" t="str">
        <f t="shared" si="16"/>
        <v>Medium</v>
      </c>
    </row>
    <row r="1051" spans="1:25">
      <c r="A1051" t="s">
        <v>1164</v>
      </c>
      <c r="B1051" s="1">
        <v>44938</v>
      </c>
      <c r="C1051" s="2">
        <v>0.13541666666666666</v>
      </c>
      <c r="D1051" t="s">
        <v>41</v>
      </c>
      <c r="E1051" t="s">
        <v>98</v>
      </c>
      <c r="F1051" t="s">
        <v>109</v>
      </c>
      <c r="G1051" t="s">
        <v>128</v>
      </c>
      <c r="H1051" s="2">
        <v>0.13541666666666666</v>
      </c>
      <c r="I1051" s="2">
        <v>0.15069444444444444</v>
      </c>
      <c r="J1051">
        <v>7</v>
      </c>
      <c r="K1051">
        <v>28</v>
      </c>
      <c r="L1051" t="s">
        <v>54</v>
      </c>
      <c r="M1051">
        <v>30.5</v>
      </c>
      <c r="N1051">
        <v>35</v>
      </c>
      <c r="O1051">
        <v>39</v>
      </c>
      <c r="P1051">
        <v>15.5</v>
      </c>
      <c r="Q1051" t="s">
        <v>59</v>
      </c>
      <c r="R1051">
        <v>0</v>
      </c>
      <c r="S1051">
        <v>31</v>
      </c>
      <c r="T1051">
        <v>0</v>
      </c>
      <c r="U1051">
        <v>0</v>
      </c>
      <c r="V1051">
        <v>3</v>
      </c>
      <c r="W1051" t="s">
        <v>55</v>
      </c>
      <c r="X1051">
        <v>1</v>
      </c>
      <c r="Y1051" t="str">
        <f t="shared" si="16"/>
        <v>Low</v>
      </c>
    </row>
    <row r="1052" spans="1:25">
      <c r="A1052" t="s">
        <v>1165</v>
      </c>
      <c r="B1052" s="1">
        <v>44938</v>
      </c>
      <c r="C1052" s="2">
        <v>0.14583333333333334</v>
      </c>
      <c r="D1052" t="s">
        <v>74</v>
      </c>
      <c r="E1052" t="s">
        <v>157</v>
      </c>
      <c r="F1052" t="s">
        <v>43</v>
      </c>
      <c r="G1052" t="s">
        <v>122</v>
      </c>
      <c r="H1052" s="2">
        <v>0.14722222222222223</v>
      </c>
      <c r="I1052" s="2">
        <v>0.1763888888888889</v>
      </c>
      <c r="J1052">
        <v>7</v>
      </c>
      <c r="K1052">
        <v>1</v>
      </c>
      <c r="L1052" t="s">
        <v>45</v>
      </c>
      <c r="M1052">
        <v>24.3</v>
      </c>
      <c r="N1052">
        <v>96</v>
      </c>
      <c r="O1052">
        <v>57</v>
      </c>
      <c r="P1052">
        <v>1.7</v>
      </c>
      <c r="Q1052" t="s">
        <v>31</v>
      </c>
      <c r="R1052">
        <v>0</v>
      </c>
      <c r="S1052">
        <v>88</v>
      </c>
      <c r="T1052">
        <v>0</v>
      </c>
      <c r="U1052">
        <v>0</v>
      </c>
      <c r="V1052">
        <v>3</v>
      </c>
      <c r="W1052" t="s">
        <v>55</v>
      </c>
      <c r="X1052">
        <v>0</v>
      </c>
      <c r="Y1052" t="str">
        <f t="shared" si="16"/>
        <v>High</v>
      </c>
    </row>
    <row r="1053" spans="1:25">
      <c r="A1053" t="s">
        <v>1166</v>
      </c>
      <c r="B1053" s="1">
        <v>44938</v>
      </c>
      <c r="C1053" s="2">
        <v>0.15625</v>
      </c>
      <c r="D1053" t="s">
        <v>41</v>
      </c>
      <c r="E1053" t="s">
        <v>35</v>
      </c>
      <c r="F1053" t="s">
        <v>62</v>
      </c>
      <c r="G1053" t="s">
        <v>128</v>
      </c>
      <c r="H1053" s="2">
        <v>0.15902777777777777</v>
      </c>
      <c r="I1053" s="2">
        <v>0.17291666666666666</v>
      </c>
      <c r="J1053">
        <v>2</v>
      </c>
      <c r="K1053">
        <v>26</v>
      </c>
      <c r="L1053" t="s">
        <v>54</v>
      </c>
      <c r="M1053">
        <v>17.399999999999999</v>
      </c>
      <c r="N1053">
        <v>79</v>
      </c>
      <c r="O1053">
        <v>54</v>
      </c>
      <c r="P1053">
        <v>17.2</v>
      </c>
      <c r="Q1053" t="s">
        <v>101</v>
      </c>
      <c r="R1053">
        <v>50000</v>
      </c>
      <c r="S1053">
        <v>43</v>
      </c>
      <c r="T1053">
        <v>0</v>
      </c>
      <c r="U1053">
        <v>0</v>
      </c>
      <c r="V1053">
        <v>3</v>
      </c>
      <c r="W1053" t="s">
        <v>39</v>
      </c>
      <c r="X1053">
        <v>1</v>
      </c>
      <c r="Y1053" t="str">
        <f t="shared" si="16"/>
        <v>Medium</v>
      </c>
    </row>
    <row r="1054" spans="1:25">
      <c r="A1054" t="s">
        <v>1167</v>
      </c>
      <c r="B1054" s="1">
        <v>44938</v>
      </c>
      <c r="C1054" s="2">
        <v>0.16666666666666666</v>
      </c>
      <c r="D1054" t="s">
        <v>26</v>
      </c>
      <c r="E1054" t="s">
        <v>52</v>
      </c>
      <c r="F1054" t="s">
        <v>203</v>
      </c>
      <c r="G1054" t="s">
        <v>135</v>
      </c>
      <c r="H1054" s="2">
        <v>0.16944444444444445</v>
      </c>
      <c r="I1054" s="2">
        <v>0.2076388888888889</v>
      </c>
      <c r="J1054">
        <v>7</v>
      </c>
      <c r="K1054">
        <v>18</v>
      </c>
      <c r="L1054" t="s">
        <v>84</v>
      </c>
      <c r="M1054">
        <v>4</v>
      </c>
      <c r="N1054">
        <v>67</v>
      </c>
      <c r="O1054">
        <v>7</v>
      </c>
      <c r="P1054">
        <v>3.1</v>
      </c>
      <c r="Q1054" t="s">
        <v>31</v>
      </c>
      <c r="R1054">
        <v>0</v>
      </c>
      <c r="S1054">
        <v>95</v>
      </c>
      <c r="T1054">
        <v>0</v>
      </c>
      <c r="U1054">
        <v>1</v>
      </c>
      <c r="V1054">
        <v>3</v>
      </c>
      <c r="W1054" t="s">
        <v>32</v>
      </c>
      <c r="X1054">
        <v>1</v>
      </c>
      <c r="Y1054" t="str">
        <f t="shared" si="16"/>
        <v>High</v>
      </c>
    </row>
    <row r="1055" spans="1:25">
      <c r="A1055" t="s">
        <v>1168</v>
      </c>
      <c r="B1055" s="1">
        <v>44938</v>
      </c>
      <c r="C1055" s="2">
        <v>0.17708333333333334</v>
      </c>
      <c r="D1055" t="s">
        <v>26</v>
      </c>
      <c r="E1055" t="s">
        <v>141</v>
      </c>
      <c r="F1055" t="s">
        <v>90</v>
      </c>
      <c r="G1055" t="s">
        <v>70</v>
      </c>
      <c r="H1055" s="2">
        <v>0.17847222222222223</v>
      </c>
      <c r="I1055" s="2">
        <v>0.20347222222222222</v>
      </c>
      <c r="J1055">
        <v>15</v>
      </c>
      <c r="K1055">
        <v>16</v>
      </c>
      <c r="L1055" t="s">
        <v>54</v>
      </c>
      <c r="M1055">
        <v>15.4</v>
      </c>
      <c r="N1055">
        <v>32</v>
      </c>
      <c r="O1055">
        <v>9</v>
      </c>
      <c r="P1055">
        <v>17.3</v>
      </c>
      <c r="Q1055" t="s">
        <v>101</v>
      </c>
      <c r="R1055">
        <v>10000</v>
      </c>
      <c r="S1055">
        <v>18</v>
      </c>
      <c r="T1055">
        <v>0</v>
      </c>
      <c r="U1055">
        <v>0</v>
      </c>
      <c r="V1055">
        <v>3</v>
      </c>
      <c r="W1055" t="s">
        <v>32</v>
      </c>
      <c r="X1055">
        <v>1</v>
      </c>
      <c r="Y1055" t="str">
        <f t="shared" si="16"/>
        <v>Low</v>
      </c>
    </row>
    <row r="1056" spans="1:25">
      <c r="A1056" t="s">
        <v>1169</v>
      </c>
      <c r="B1056" s="1">
        <v>44938</v>
      </c>
      <c r="C1056" s="2">
        <v>0.1875</v>
      </c>
      <c r="D1056" t="s">
        <v>41</v>
      </c>
      <c r="E1056" t="s">
        <v>93</v>
      </c>
      <c r="F1056" t="s">
        <v>99</v>
      </c>
      <c r="G1056" t="s">
        <v>76</v>
      </c>
      <c r="H1056" s="2">
        <v>0.18958333333333333</v>
      </c>
      <c r="I1056" s="2">
        <v>0.21319444444444444</v>
      </c>
      <c r="J1056">
        <v>18</v>
      </c>
      <c r="K1056">
        <v>12</v>
      </c>
      <c r="L1056" t="s">
        <v>38</v>
      </c>
      <c r="M1056">
        <v>15.8</v>
      </c>
      <c r="N1056">
        <v>34</v>
      </c>
      <c r="O1056">
        <v>0</v>
      </c>
      <c r="P1056">
        <v>6.2</v>
      </c>
      <c r="Q1056" t="s">
        <v>31</v>
      </c>
      <c r="R1056">
        <v>500</v>
      </c>
      <c r="S1056">
        <v>2</v>
      </c>
      <c r="T1056">
        <v>0</v>
      </c>
      <c r="U1056">
        <v>0</v>
      </c>
      <c r="V1056">
        <v>3</v>
      </c>
      <c r="W1056" t="s">
        <v>55</v>
      </c>
      <c r="X1056">
        <v>1</v>
      </c>
      <c r="Y1056" t="str">
        <f t="shared" si="16"/>
        <v>Low</v>
      </c>
    </row>
    <row r="1057" spans="1:25">
      <c r="A1057" t="s">
        <v>1170</v>
      </c>
      <c r="B1057" s="1">
        <v>44938</v>
      </c>
      <c r="C1057" s="2">
        <v>0.19791666666666666</v>
      </c>
      <c r="D1057" t="s">
        <v>41</v>
      </c>
      <c r="E1057" t="s">
        <v>42</v>
      </c>
      <c r="F1057" t="s">
        <v>90</v>
      </c>
      <c r="G1057" t="s">
        <v>66</v>
      </c>
      <c r="H1057" s="2">
        <v>0.19791666666666666</v>
      </c>
      <c r="I1057" s="2">
        <v>0.2326388888888889</v>
      </c>
      <c r="J1057">
        <v>3</v>
      </c>
      <c r="K1057">
        <v>3</v>
      </c>
      <c r="L1057" t="s">
        <v>77</v>
      </c>
      <c r="M1057">
        <v>18.600000000000001</v>
      </c>
      <c r="N1057">
        <v>53</v>
      </c>
      <c r="O1057">
        <v>20</v>
      </c>
      <c r="P1057">
        <v>6.5</v>
      </c>
      <c r="Q1057" t="s">
        <v>31</v>
      </c>
      <c r="R1057">
        <v>0</v>
      </c>
      <c r="S1057">
        <v>59</v>
      </c>
      <c r="T1057">
        <v>0</v>
      </c>
      <c r="U1057">
        <v>1</v>
      </c>
      <c r="V1057">
        <v>3</v>
      </c>
      <c r="W1057" t="s">
        <v>39</v>
      </c>
      <c r="X1057">
        <v>0</v>
      </c>
      <c r="Y1057" t="str">
        <f t="shared" si="16"/>
        <v>Medium</v>
      </c>
    </row>
    <row r="1058" spans="1:25">
      <c r="A1058" t="s">
        <v>1171</v>
      </c>
      <c r="B1058" s="1">
        <v>44938</v>
      </c>
      <c r="C1058" s="2">
        <v>0.20833333333333334</v>
      </c>
      <c r="D1058" t="s">
        <v>34</v>
      </c>
      <c r="E1058" t="s">
        <v>141</v>
      </c>
      <c r="F1058" t="s">
        <v>194</v>
      </c>
      <c r="G1058" t="s">
        <v>194</v>
      </c>
      <c r="H1058" s="2">
        <v>0.20833333333333334</v>
      </c>
      <c r="I1058" s="2">
        <v>0.24444444444444444</v>
      </c>
      <c r="J1058">
        <v>0</v>
      </c>
      <c r="K1058">
        <v>3</v>
      </c>
      <c r="L1058" t="s">
        <v>38</v>
      </c>
      <c r="M1058">
        <v>-2.6</v>
      </c>
      <c r="N1058">
        <v>83</v>
      </c>
      <c r="O1058">
        <v>24</v>
      </c>
      <c r="P1058">
        <v>1.5</v>
      </c>
      <c r="Q1058" t="s">
        <v>71</v>
      </c>
      <c r="R1058">
        <v>2000</v>
      </c>
      <c r="S1058">
        <v>34</v>
      </c>
      <c r="T1058">
        <v>0</v>
      </c>
      <c r="U1058">
        <v>1</v>
      </c>
      <c r="V1058">
        <v>3</v>
      </c>
      <c r="W1058" t="s">
        <v>39</v>
      </c>
      <c r="X1058">
        <v>0</v>
      </c>
      <c r="Y1058" t="str">
        <f t="shared" si="16"/>
        <v>Medium</v>
      </c>
    </row>
    <row r="1059" spans="1:25">
      <c r="A1059" t="s">
        <v>1172</v>
      </c>
      <c r="B1059" s="1">
        <v>44938</v>
      </c>
      <c r="C1059" s="2">
        <v>0.21875</v>
      </c>
      <c r="D1059" t="s">
        <v>26</v>
      </c>
      <c r="E1059" t="s">
        <v>147</v>
      </c>
      <c r="F1059" t="s">
        <v>142</v>
      </c>
      <c r="G1059" t="s">
        <v>197</v>
      </c>
      <c r="H1059" s="2">
        <v>0.22013888888888888</v>
      </c>
      <c r="I1059" s="2">
        <v>0.24444444444444444</v>
      </c>
      <c r="J1059">
        <v>5</v>
      </c>
      <c r="K1059">
        <v>-2</v>
      </c>
      <c r="L1059" t="s">
        <v>77</v>
      </c>
      <c r="M1059">
        <v>33.9</v>
      </c>
      <c r="N1059">
        <v>63</v>
      </c>
      <c r="O1059">
        <v>31</v>
      </c>
      <c r="P1059">
        <v>17.7</v>
      </c>
      <c r="Q1059" t="s">
        <v>101</v>
      </c>
      <c r="R1059">
        <v>0</v>
      </c>
      <c r="S1059">
        <v>28</v>
      </c>
      <c r="T1059">
        <v>0</v>
      </c>
      <c r="U1059">
        <v>0</v>
      </c>
      <c r="V1059">
        <v>3</v>
      </c>
      <c r="W1059" t="s">
        <v>72</v>
      </c>
      <c r="X1059">
        <v>0</v>
      </c>
      <c r="Y1059" t="str">
        <f t="shared" si="16"/>
        <v>Low</v>
      </c>
    </row>
    <row r="1060" spans="1:25">
      <c r="A1060" t="s">
        <v>1173</v>
      </c>
      <c r="B1060" s="1">
        <v>44938</v>
      </c>
      <c r="C1060" s="2">
        <v>0.22916666666666666</v>
      </c>
      <c r="D1060" t="s">
        <v>74</v>
      </c>
      <c r="E1060" t="s">
        <v>98</v>
      </c>
      <c r="F1060" t="s">
        <v>43</v>
      </c>
      <c r="G1060" t="s">
        <v>75</v>
      </c>
      <c r="H1060" s="2">
        <v>0.23055555555555557</v>
      </c>
      <c r="I1060" s="2">
        <v>0.26944444444444443</v>
      </c>
      <c r="J1060">
        <v>6</v>
      </c>
      <c r="K1060">
        <v>10</v>
      </c>
      <c r="L1060" t="s">
        <v>38</v>
      </c>
      <c r="M1060">
        <v>13.6</v>
      </c>
      <c r="N1060">
        <v>68</v>
      </c>
      <c r="O1060">
        <v>52</v>
      </c>
      <c r="P1060">
        <v>3.5</v>
      </c>
      <c r="Q1060" t="s">
        <v>31</v>
      </c>
      <c r="R1060">
        <v>0</v>
      </c>
      <c r="S1060">
        <v>74</v>
      </c>
      <c r="T1060">
        <v>1</v>
      </c>
      <c r="U1060">
        <v>0</v>
      </c>
      <c r="V1060">
        <v>3</v>
      </c>
      <c r="W1060" t="s">
        <v>55</v>
      </c>
      <c r="X1060">
        <v>1</v>
      </c>
      <c r="Y1060" t="str">
        <f t="shared" si="16"/>
        <v>High</v>
      </c>
    </row>
    <row r="1061" spans="1:25">
      <c r="A1061" t="s">
        <v>1174</v>
      </c>
      <c r="B1061" s="1">
        <v>44938</v>
      </c>
      <c r="C1061" s="2">
        <v>0.23958333333333334</v>
      </c>
      <c r="D1061" t="s">
        <v>34</v>
      </c>
      <c r="E1061" t="s">
        <v>27</v>
      </c>
      <c r="F1061" t="s">
        <v>113</v>
      </c>
      <c r="G1061" t="s">
        <v>185</v>
      </c>
      <c r="H1061" s="2">
        <v>0.24166666666666667</v>
      </c>
      <c r="I1061" s="2">
        <v>0.2638888888888889</v>
      </c>
      <c r="J1061">
        <v>2</v>
      </c>
      <c r="K1061">
        <v>27</v>
      </c>
      <c r="L1061" t="s">
        <v>54</v>
      </c>
      <c r="M1061">
        <v>32.1</v>
      </c>
      <c r="N1061">
        <v>77</v>
      </c>
      <c r="O1061">
        <v>45</v>
      </c>
      <c r="P1061">
        <v>12.6</v>
      </c>
      <c r="Q1061" t="s">
        <v>46</v>
      </c>
      <c r="R1061">
        <v>0</v>
      </c>
      <c r="S1061">
        <v>69</v>
      </c>
      <c r="T1061">
        <v>0</v>
      </c>
      <c r="U1061">
        <v>0</v>
      </c>
      <c r="V1061">
        <v>3</v>
      </c>
      <c r="W1061" t="s">
        <v>72</v>
      </c>
      <c r="X1061">
        <v>1</v>
      </c>
      <c r="Y1061" t="str">
        <f t="shared" si="16"/>
        <v>High</v>
      </c>
    </row>
    <row r="1062" spans="1:25">
      <c r="A1062" t="s">
        <v>1175</v>
      </c>
      <c r="B1062" s="1">
        <v>44938</v>
      </c>
      <c r="C1062" s="2">
        <v>0.25</v>
      </c>
      <c r="D1062" t="s">
        <v>41</v>
      </c>
      <c r="E1062" t="s">
        <v>57</v>
      </c>
      <c r="F1062" t="s">
        <v>113</v>
      </c>
      <c r="G1062" t="s">
        <v>58</v>
      </c>
      <c r="H1062" s="2">
        <v>0.25277777777777777</v>
      </c>
      <c r="I1062" s="2">
        <v>0.27430555555555558</v>
      </c>
      <c r="J1062">
        <v>-1</v>
      </c>
      <c r="K1062">
        <v>10</v>
      </c>
      <c r="L1062" t="s">
        <v>38</v>
      </c>
      <c r="M1062">
        <v>-4.5999999999999996</v>
      </c>
      <c r="N1062">
        <v>78</v>
      </c>
      <c r="O1062">
        <v>45</v>
      </c>
      <c r="P1062">
        <v>12.9</v>
      </c>
      <c r="Q1062" t="s">
        <v>46</v>
      </c>
      <c r="R1062">
        <v>0</v>
      </c>
      <c r="S1062">
        <v>82</v>
      </c>
      <c r="T1062">
        <v>0</v>
      </c>
      <c r="U1062">
        <v>1</v>
      </c>
      <c r="V1062">
        <v>3</v>
      </c>
      <c r="W1062" t="s">
        <v>39</v>
      </c>
      <c r="X1062">
        <v>1</v>
      </c>
      <c r="Y1062" t="str">
        <f t="shared" si="16"/>
        <v>High</v>
      </c>
    </row>
    <row r="1063" spans="1:25">
      <c r="A1063" t="s">
        <v>1176</v>
      </c>
      <c r="B1063" s="1">
        <v>44938</v>
      </c>
      <c r="C1063" s="2">
        <v>0.26041666666666669</v>
      </c>
      <c r="D1063" t="s">
        <v>41</v>
      </c>
      <c r="E1063" t="s">
        <v>52</v>
      </c>
      <c r="F1063" t="s">
        <v>197</v>
      </c>
      <c r="G1063" t="s">
        <v>185</v>
      </c>
      <c r="H1063" s="2">
        <v>0.26111111111111113</v>
      </c>
      <c r="I1063" s="2">
        <v>0.3</v>
      </c>
      <c r="J1063">
        <v>-1</v>
      </c>
      <c r="K1063">
        <v>1</v>
      </c>
      <c r="L1063" t="s">
        <v>54</v>
      </c>
      <c r="M1063">
        <v>4.9000000000000004</v>
      </c>
      <c r="N1063">
        <v>63</v>
      </c>
      <c r="O1063">
        <v>9</v>
      </c>
      <c r="P1063">
        <v>5.6</v>
      </c>
      <c r="Q1063" t="s">
        <v>31</v>
      </c>
      <c r="R1063">
        <v>500</v>
      </c>
      <c r="S1063">
        <v>44</v>
      </c>
      <c r="T1063">
        <v>0</v>
      </c>
      <c r="U1063">
        <v>0</v>
      </c>
      <c r="V1063">
        <v>3</v>
      </c>
      <c r="W1063" t="s">
        <v>55</v>
      </c>
      <c r="X1063">
        <v>0</v>
      </c>
      <c r="Y1063" t="str">
        <f t="shared" si="16"/>
        <v>Medium</v>
      </c>
    </row>
    <row r="1064" spans="1:25">
      <c r="A1064" t="s">
        <v>1177</v>
      </c>
      <c r="B1064" s="1">
        <v>44938</v>
      </c>
      <c r="C1064" s="2">
        <v>0.27083333333333331</v>
      </c>
      <c r="D1064" t="s">
        <v>26</v>
      </c>
      <c r="E1064" t="s">
        <v>79</v>
      </c>
      <c r="F1064" t="s">
        <v>90</v>
      </c>
      <c r="G1064" t="s">
        <v>154</v>
      </c>
      <c r="H1064" s="2">
        <v>0.27361111111111114</v>
      </c>
      <c r="I1064" s="2">
        <v>0.28888888888888886</v>
      </c>
      <c r="J1064">
        <v>4</v>
      </c>
      <c r="K1064">
        <v>7</v>
      </c>
      <c r="L1064" t="s">
        <v>54</v>
      </c>
      <c r="M1064">
        <v>-0.8</v>
      </c>
      <c r="N1064">
        <v>36</v>
      </c>
      <c r="O1064">
        <v>59</v>
      </c>
      <c r="P1064">
        <v>19.7</v>
      </c>
      <c r="Q1064" t="s">
        <v>31</v>
      </c>
      <c r="R1064">
        <v>50000</v>
      </c>
      <c r="S1064">
        <v>26</v>
      </c>
      <c r="T1064">
        <v>0</v>
      </c>
      <c r="U1064">
        <v>0</v>
      </c>
      <c r="V1064">
        <v>3</v>
      </c>
      <c r="W1064" t="s">
        <v>32</v>
      </c>
      <c r="X1064">
        <v>1</v>
      </c>
      <c r="Y1064" t="str">
        <f t="shared" si="16"/>
        <v>Low</v>
      </c>
    </row>
    <row r="1065" spans="1:25">
      <c r="A1065" t="s">
        <v>1178</v>
      </c>
      <c r="B1065" s="1">
        <v>44938</v>
      </c>
      <c r="C1065" s="2">
        <v>0.28125</v>
      </c>
      <c r="D1065" t="s">
        <v>41</v>
      </c>
      <c r="E1065" t="s">
        <v>89</v>
      </c>
      <c r="F1065" t="s">
        <v>168</v>
      </c>
      <c r="G1065" t="s">
        <v>75</v>
      </c>
      <c r="H1065" s="2">
        <v>0.28125</v>
      </c>
      <c r="I1065" s="2">
        <v>0.30416666666666664</v>
      </c>
      <c r="J1065">
        <v>14</v>
      </c>
      <c r="K1065">
        <v>1</v>
      </c>
      <c r="L1065" t="s">
        <v>84</v>
      </c>
      <c r="M1065">
        <v>25.8</v>
      </c>
      <c r="N1065">
        <v>47</v>
      </c>
      <c r="O1065">
        <v>50</v>
      </c>
      <c r="P1065">
        <v>1.3</v>
      </c>
      <c r="Q1065" t="s">
        <v>31</v>
      </c>
      <c r="R1065">
        <v>10000</v>
      </c>
      <c r="S1065">
        <v>68</v>
      </c>
      <c r="T1065">
        <v>1</v>
      </c>
      <c r="U1065">
        <v>0</v>
      </c>
      <c r="V1065">
        <v>3</v>
      </c>
      <c r="W1065" t="s">
        <v>32</v>
      </c>
      <c r="X1065">
        <v>0</v>
      </c>
      <c r="Y1065" t="str">
        <f t="shared" si="16"/>
        <v>High</v>
      </c>
    </row>
    <row r="1066" spans="1:25">
      <c r="A1066" t="s">
        <v>1179</v>
      </c>
      <c r="B1066" s="1">
        <v>44938</v>
      </c>
      <c r="C1066" s="2">
        <v>0.29166666666666669</v>
      </c>
      <c r="D1066" t="s">
        <v>74</v>
      </c>
      <c r="E1066" t="s">
        <v>52</v>
      </c>
      <c r="F1066" t="s">
        <v>53</v>
      </c>
      <c r="G1066" t="s">
        <v>43</v>
      </c>
      <c r="H1066" s="2">
        <v>0.29305555555555557</v>
      </c>
      <c r="I1066" s="2">
        <v>0.32222222222222224</v>
      </c>
      <c r="J1066">
        <v>7</v>
      </c>
      <c r="K1066">
        <v>25</v>
      </c>
      <c r="L1066" t="s">
        <v>54</v>
      </c>
      <c r="M1066">
        <v>7.8</v>
      </c>
      <c r="N1066">
        <v>99</v>
      </c>
      <c r="O1066">
        <v>56</v>
      </c>
      <c r="P1066">
        <v>12.2</v>
      </c>
      <c r="Q1066" t="s">
        <v>31</v>
      </c>
      <c r="R1066">
        <v>0</v>
      </c>
      <c r="S1066">
        <v>89</v>
      </c>
      <c r="T1066">
        <v>0</v>
      </c>
      <c r="U1066">
        <v>0</v>
      </c>
      <c r="V1066">
        <v>3</v>
      </c>
      <c r="W1066" t="s">
        <v>72</v>
      </c>
      <c r="X1066">
        <v>1</v>
      </c>
      <c r="Y1066" t="str">
        <f t="shared" si="16"/>
        <v>High</v>
      </c>
    </row>
    <row r="1067" spans="1:25">
      <c r="A1067" t="s">
        <v>1180</v>
      </c>
      <c r="B1067" s="1">
        <v>44938</v>
      </c>
      <c r="C1067" s="2">
        <v>0.30208333333333331</v>
      </c>
      <c r="D1067" t="s">
        <v>26</v>
      </c>
      <c r="E1067" t="s">
        <v>111</v>
      </c>
      <c r="F1067" t="s">
        <v>91</v>
      </c>
      <c r="G1067" t="s">
        <v>142</v>
      </c>
      <c r="H1067" s="2">
        <v>0.30416666666666664</v>
      </c>
      <c r="I1067" s="2">
        <v>0.33750000000000002</v>
      </c>
      <c r="J1067">
        <v>9</v>
      </c>
      <c r="K1067">
        <v>7</v>
      </c>
      <c r="L1067" t="s">
        <v>45</v>
      </c>
      <c r="M1067">
        <v>28.6</v>
      </c>
      <c r="N1067">
        <v>63</v>
      </c>
      <c r="O1067">
        <v>47</v>
      </c>
      <c r="P1067">
        <v>9.6</v>
      </c>
      <c r="Q1067" t="s">
        <v>46</v>
      </c>
      <c r="R1067">
        <v>2000</v>
      </c>
      <c r="S1067">
        <v>34</v>
      </c>
      <c r="T1067">
        <v>0</v>
      </c>
      <c r="U1067">
        <v>1</v>
      </c>
      <c r="V1067">
        <v>3</v>
      </c>
      <c r="W1067" t="s">
        <v>55</v>
      </c>
      <c r="X1067">
        <v>1</v>
      </c>
      <c r="Y1067" t="str">
        <f t="shared" si="16"/>
        <v>Medium</v>
      </c>
    </row>
    <row r="1068" spans="1:25">
      <c r="A1068" t="s">
        <v>1181</v>
      </c>
      <c r="B1068" s="1">
        <v>44938</v>
      </c>
      <c r="C1068" s="2">
        <v>0.3125</v>
      </c>
      <c r="D1068" t="s">
        <v>41</v>
      </c>
      <c r="E1068" t="s">
        <v>79</v>
      </c>
      <c r="F1068" t="s">
        <v>96</v>
      </c>
      <c r="G1068" t="s">
        <v>49</v>
      </c>
      <c r="H1068" s="2">
        <v>0.31527777777777777</v>
      </c>
      <c r="I1068" s="2">
        <v>0.35208333333333336</v>
      </c>
      <c r="J1068">
        <v>-1</v>
      </c>
      <c r="K1068">
        <v>1</v>
      </c>
      <c r="L1068" t="s">
        <v>38</v>
      </c>
      <c r="M1068">
        <v>28.3</v>
      </c>
      <c r="N1068">
        <v>80</v>
      </c>
      <c r="O1068">
        <v>8</v>
      </c>
      <c r="P1068">
        <v>4.9000000000000004</v>
      </c>
      <c r="Q1068" t="s">
        <v>101</v>
      </c>
      <c r="R1068">
        <v>0</v>
      </c>
      <c r="S1068">
        <v>18</v>
      </c>
      <c r="T1068">
        <v>1</v>
      </c>
      <c r="U1068">
        <v>0</v>
      </c>
      <c r="V1068">
        <v>3</v>
      </c>
      <c r="W1068" t="s">
        <v>39</v>
      </c>
      <c r="X1068">
        <v>0</v>
      </c>
      <c r="Y1068" t="str">
        <f t="shared" si="16"/>
        <v>Low</v>
      </c>
    </row>
    <row r="1069" spans="1:25">
      <c r="A1069" t="s">
        <v>1182</v>
      </c>
      <c r="B1069" s="1">
        <v>44938</v>
      </c>
      <c r="C1069" s="2">
        <v>0.32291666666666669</v>
      </c>
      <c r="D1069" t="s">
        <v>26</v>
      </c>
      <c r="E1069" t="s">
        <v>126</v>
      </c>
      <c r="F1069" t="s">
        <v>176</v>
      </c>
      <c r="G1069" t="s">
        <v>95</v>
      </c>
      <c r="H1069" s="2">
        <v>0.32500000000000001</v>
      </c>
      <c r="I1069" s="2">
        <v>0.35138888888888886</v>
      </c>
      <c r="J1069">
        <v>7</v>
      </c>
      <c r="K1069">
        <v>28</v>
      </c>
      <c r="L1069" t="s">
        <v>30</v>
      </c>
      <c r="M1069">
        <v>21.7</v>
      </c>
      <c r="N1069">
        <v>97</v>
      </c>
      <c r="O1069">
        <v>19</v>
      </c>
      <c r="P1069">
        <v>3.3</v>
      </c>
      <c r="Q1069" t="s">
        <v>46</v>
      </c>
      <c r="R1069">
        <v>0</v>
      </c>
      <c r="S1069">
        <v>16</v>
      </c>
      <c r="T1069">
        <v>0</v>
      </c>
      <c r="U1069">
        <v>0</v>
      </c>
      <c r="V1069">
        <v>3</v>
      </c>
      <c r="W1069" t="s">
        <v>72</v>
      </c>
      <c r="X1069">
        <v>1</v>
      </c>
      <c r="Y1069" t="str">
        <f t="shared" si="16"/>
        <v>Low</v>
      </c>
    </row>
    <row r="1070" spans="1:25">
      <c r="A1070" t="s">
        <v>1183</v>
      </c>
      <c r="B1070" s="1">
        <v>44938</v>
      </c>
      <c r="C1070" s="2">
        <v>0.33333333333333331</v>
      </c>
      <c r="D1070" t="s">
        <v>41</v>
      </c>
      <c r="E1070" t="s">
        <v>126</v>
      </c>
      <c r="F1070" t="s">
        <v>163</v>
      </c>
      <c r="G1070" t="s">
        <v>28</v>
      </c>
      <c r="H1070" s="2">
        <v>0.33611111111111114</v>
      </c>
      <c r="I1070" s="2">
        <v>0.3576388888888889</v>
      </c>
      <c r="J1070">
        <v>17</v>
      </c>
      <c r="K1070">
        <v>11</v>
      </c>
      <c r="L1070" t="s">
        <v>30</v>
      </c>
      <c r="M1070">
        <v>21.6</v>
      </c>
      <c r="N1070">
        <v>43</v>
      </c>
      <c r="O1070">
        <v>47</v>
      </c>
      <c r="P1070">
        <v>14.7</v>
      </c>
      <c r="Q1070" t="s">
        <v>63</v>
      </c>
      <c r="R1070">
        <v>0</v>
      </c>
      <c r="S1070">
        <v>34</v>
      </c>
      <c r="T1070">
        <v>0</v>
      </c>
      <c r="U1070">
        <v>0</v>
      </c>
      <c r="V1070">
        <v>3</v>
      </c>
      <c r="W1070" t="s">
        <v>32</v>
      </c>
      <c r="X1070">
        <v>1</v>
      </c>
      <c r="Y1070" t="str">
        <f t="shared" si="16"/>
        <v>Medium</v>
      </c>
    </row>
    <row r="1071" spans="1:25">
      <c r="A1071" t="s">
        <v>1184</v>
      </c>
      <c r="B1071" s="1">
        <v>44938</v>
      </c>
      <c r="C1071" s="2">
        <v>0.34375</v>
      </c>
      <c r="D1071" t="s">
        <v>41</v>
      </c>
      <c r="E1071" t="s">
        <v>35</v>
      </c>
      <c r="F1071" t="s">
        <v>58</v>
      </c>
      <c r="G1071" t="s">
        <v>148</v>
      </c>
      <c r="H1071" s="2">
        <v>0.34375</v>
      </c>
      <c r="I1071" s="2">
        <v>0.37708333333333333</v>
      </c>
      <c r="J1071">
        <v>-2</v>
      </c>
      <c r="K1071">
        <v>15</v>
      </c>
      <c r="L1071" t="s">
        <v>30</v>
      </c>
      <c r="M1071">
        <v>23</v>
      </c>
      <c r="N1071">
        <v>98</v>
      </c>
      <c r="O1071">
        <v>19</v>
      </c>
      <c r="P1071">
        <v>18.3</v>
      </c>
      <c r="Q1071" t="s">
        <v>31</v>
      </c>
      <c r="R1071">
        <v>0</v>
      </c>
      <c r="S1071">
        <v>76</v>
      </c>
      <c r="T1071">
        <v>0</v>
      </c>
      <c r="U1071">
        <v>0</v>
      </c>
      <c r="V1071">
        <v>3</v>
      </c>
      <c r="W1071" t="s">
        <v>39</v>
      </c>
      <c r="X1071">
        <v>1</v>
      </c>
      <c r="Y1071" t="str">
        <f t="shared" si="16"/>
        <v>High</v>
      </c>
    </row>
    <row r="1072" spans="1:25">
      <c r="A1072" t="s">
        <v>1185</v>
      </c>
      <c r="B1072" s="1">
        <v>44938</v>
      </c>
      <c r="C1072" s="2">
        <v>0.35416666666666669</v>
      </c>
      <c r="D1072" t="s">
        <v>41</v>
      </c>
      <c r="E1072" t="s">
        <v>48</v>
      </c>
      <c r="F1072" t="s">
        <v>50</v>
      </c>
      <c r="G1072" t="s">
        <v>28</v>
      </c>
      <c r="H1072" s="2">
        <v>0.35486111111111113</v>
      </c>
      <c r="I1072" s="2">
        <v>0.37847222222222221</v>
      </c>
      <c r="J1072">
        <v>1</v>
      </c>
      <c r="K1072">
        <v>18</v>
      </c>
      <c r="L1072" t="s">
        <v>45</v>
      </c>
      <c r="M1072">
        <v>22</v>
      </c>
      <c r="N1072">
        <v>37</v>
      </c>
      <c r="O1072">
        <v>58</v>
      </c>
      <c r="P1072">
        <v>2.2000000000000002</v>
      </c>
      <c r="Q1072" t="s">
        <v>31</v>
      </c>
      <c r="R1072">
        <v>0</v>
      </c>
      <c r="S1072">
        <v>77</v>
      </c>
      <c r="T1072">
        <v>0</v>
      </c>
      <c r="U1072">
        <v>0</v>
      </c>
      <c r="V1072">
        <v>3</v>
      </c>
      <c r="W1072" t="s">
        <v>55</v>
      </c>
      <c r="X1072">
        <v>1</v>
      </c>
      <c r="Y1072" t="str">
        <f t="shared" si="16"/>
        <v>High</v>
      </c>
    </row>
    <row r="1073" spans="1:25">
      <c r="A1073" t="s">
        <v>1186</v>
      </c>
      <c r="B1073" s="1">
        <v>44938</v>
      </c>
      <c r="C1073" s="2">
        <v>0.36458333333333331</v>
      </c>
      <c r="D1073" t="s">
        <v>74</v>
      </c>
      <c r="E1073" t="s">
        <v>111</v>
      </c>
      <c r="F1073" t="s">
        <v>87</v>
      </c>
      <c r="G1073" t="s">
        <v>83</v>
      </c>
      <c r="H1073" s="2">
        <v>0.36666666666666664</v>
      </c>
      <c r="I1073" s="2">
        <v>0.38611111111111113</v>
      </c>
      <c r="J1073">
        <v>10</v>
      </c>
      <c r="K1073">
        <v>13</v>
      </c>
      <c r="L1073" t="s">
        <v>54</v>
      </c>
      <c r="M1073">
        <v>10.5</v>
      </c>
      <c r="N1073">
        <v>44</v>
      </c>
      <c r="O1073">
        <v>39</v>
      </c>
      <c r="P1073">
        <v>3.9</v>
      </c>
      <c r="Q1073" t="s">
        <v>101</v>
      </c>
      <c r="R1073">
        <v>0</v>
      </c>
      <c r="S1073">
        <v>29</v>
      </c>
      <c r="T1073">
        <v>0</v>
      </c>
      <c r="U1073">
        <v>1</v>
      </c>
      <c r="V1073">
        <v>3</v>
      </c>
      <c r="W1073" t="s">
        <v>32</v>
      </c>
      <c r="X1073">
        <v>1</v>
      </c>
      <c r="Y1073" t="str">
        <f t="shared" si="16"/>
        <v>Low</v>
      </c>
    </row>
    <row r="1074" spans="1:25">
      <c r="A1074" t="s">
        <v>1187</v>
      </c>
      <c r="B1074" s="1">
        <v>44938</v>
      </c>
      <c r="C1074" s="2">
        <v>0.375</v>
      </c>
      <c r="D1074" t="s">
        <v>74</v>
      </c>
      <c r="E1074" t="s">
        <v>57</v>
      </c>
      <c r="F1074" t="s">
        <v>197</v>
      </c>
      <c r="G1074" t="s">
        <v>81</v>
      </c>
      <c r="H1074" s="2">
        <v>0.37708333333333333</v>
      </c>
      <c r="I1074" s="2">
        <v>0.4</v>
      </c>
      <c r="J1074">
        <v>9</v>
      </c>
      <c r="K1074">
        <v>8</v>
      </c>
      <c r="L1074" t="s">
        <v>38</v>
      </c>
      <c r="M1074">
        <v>22.3</v>
      </c>
      <c r="N1074">
        <v>88</v>
      </c>
      <c r="O1074">
        <v>6</v>
      </c>
      <c r="P1074">
        <v>19.7</v>
      </c>
      <c r="Q1074" t="s">
        <v>101</v>
      </c>
      <c r="R1074">
        <v>0</v>
      </c>
      <c r="S1074">
        <v>47</v>
      </c>
      <c r="T1074">
        <v>0</v>
      </c>
      <c r="U1074">
        <v>1</v>
      </c>
      <c r="V1074">
        <v>3</v>
      </c>
      <c r="W1074" t="s">
        <v>39</v>
      </c>
      <c r="X1074">
        <v>1</v>
      </c>
      <c r="Y1074" t="str">
        <f t="shared" si="16"/>
        <v>Medium</v>
      </c>
    </row>
    <row r="1075" spans="1:25">
      <c r="A1075" t="s">
        <v>1188</v>
      </c>
      <c r="B1075" s="1">
        <v>44938</v>
      </c>
      <c r="C1075" s="2">
        <v>0.38541666666666669</v>
      </c>
      <c r="D1075" t="s">
        <v>26</v>
      </c>
      <c r="E1075" t="s">
        <v>130</v>
      </c>
      <c r="F1075" t="s">
        <v>37</v>
      </c>
      <c r="G1075" t="s">
        <v>99</v>
      </c>
      <c r="H1075" s="2">
        <v>0.38611111111111113</v>
      </c>
      <c r="I1075" s="2">
        <v>0.42430555555555555</v>
      </c>
      <c r="J1075">
        <v>8</v>
      </c>
      <c r="K1075">
        <v>21</v>
      </c>
      <c r="L1075" t="s">
        <v>77</v>
      </c>
      <c r="M1075">
        <v>30.9</v>
      </c>
      <c r="N1075">
        <v>40</v>
      </c>
      <c r="O1075">
        <v>10</v>
      </c>
      <c r="P1075">
        <v>0.3</v>
      </c>
      <c r="Q1075" t="s">
        <v>31</v>
      </c>
      <c r="R1075">
        <v>0</v>
      </c>
      <c r="S1075">
        <v>56</v>
      </c>
      <c r="T1075">
        <v>0</v>
      </c>
      <c r="U1075">
        <v>0</v>
      </c>
      <c r="V1075">
        <v>3</v>
      </c>
      <c r="W1075" t="s">
        <v>32</v>
      </c>
      <c r="X1075">
        <v>1</v>
      </c>
      <c r="Y1075" t="str">
        <f t="shared" si="16"/>
        <v>Medium</v>
      </c>
    </row>
    <row r="1076" spans="1:25">
      <c r="A1076" t="s">
        <v>1189</v>
      </c>
      <c r="B1076" s="1">
        <v>44938</v>
      </c>
      <c r="C1076" s="2">
        <v>0.39583333333333331</v>
      </c>
      <c r="D1076" t="s">
        <v>41</v>
      </c>
      <c r="E1076" t="s">
        <v>104</v>
      </c>
      <c r="F1076" t="s">
        <v>86</v>
      </c>
      <c r="G1076" t="s">
        <v>69</v>
      </c>
      <c r="H1076" s="2">
        <v>0.39791666666666664</v>
      </c>
      <c r="I1076" s="2">
        <v>0.42777777777777776</v>
      </c>
      <c r="J1076">
        <v>7</v>
      </c>
      <c r="K1076">
        <v>13</v>
      </c>
      <c r="L1076" t="s">
        <v>77</v>
      </c>
      <c r="M1076">
        <v>8.3000000000000007</v>
      </c>
      <c r="N1076">
        <v>49</v>
      </c>
      <c r="O1076">
        <v>20</v>
      </c>
      <c r="P1076">
        <v>10.199999999999999</v>
      </c>
      <c r="Q1076" t="s">
        <v>31</v>
      </c>
      <c r="R1076">
        <v>50000</v>
      </c>
      <c r="S1076">
        <v>16</v>
      </c>
      <c r="T1076">
        <v>0</v>
      </c>
      <c r="U1076">
        <v>0</v>
      </c>
      <c r="V1076">
        <v>3</v>
      </c>
      <c r="W1076" t="s">
        <v>55</v>
      </c>
      <c r="X1076">
        <v>1</v>
      </c>
      <c r="Y1076" t="str">
        <f t="shared" si="16"/>
        <v>Low</v>
      </c>
    </row>
    <row r="1077" spans="1:25">
      <c r="A1077" t="s">
        <v>1190</v>
      </c>
      <c r="B1077" s="1">
        <v>44938</v>
      </c>
      <c r="C1077" s="2">
        <v>0.40625</v>
      </c>
      <c r="D1077" t="s">
        <v>41</v>
      </c>
      <c r="E1077" t="s">
        <v>57</v>
      </c>
      <c r="F1077" t="s">
        <v>62</v>
      </c>
      <c r="G1077" t="s">
        <v>168</v>
      </c>
      <c r="H1077" s="2">
        <v>0.40833333333333333</v>
      </c>
      <c r="I1077" s="2">
        <v>0.43680555555555556</v>
      </c>
      <c r="J1077">
        <v>12</v>
      </c>
      <c r="K1077">
        <v>6</v>
      </c>
      <c r="L1077" t="s">
        <v>84</v>
      </c>
      <c r="M1077">
        <v>32.799999999999997</v>
      </c>
      <c r="N1077">
        <v>84</v>
      </c>
      <c r="O1077">
        <v>37</v>
      </c>
      <c r="P1077">
        <v>10.3</v>
      </c>
      <c r="Q1077" t="s">
        <v>59</v>
      </c>
      <c r="R1077">
        <v>50000</v>
      </c>
      <c r="S1077">
        <v>14</v>
      </c>
      <c r="T1077">
        <v>0</v>
      </c>
      <c r="U1077">
        <v>1</v>
      </c>
      <c r="V1077">
        <v>3</v>
      </c>
      <c r="W1077" t="s">
        <v>72</v>
      </c>
      <c r="X1077">
        <v>1</v>
      </c>
      <c r="Y1077" t="str">
        <f t="shared" si="16"/>
        <v>Low</v>
      </c>
    </row>
    <row r="1078" spans="1:25">
      <c r="A1078" t="s">
        <v>1191</v>
      </c>
      <c r="B1078" s="1">
        <v>44938</v>
      </c>
      <c r="C1078" s="2">
        <v>0.41666666666666669</v>
      </c>
      <c r="D1078" t="s">
        <v>74</v>
      </c>
      <c r="E1078" t="s">
        <v>35</v>
      </c>
      <c r="F1078" t="s">
        <v>29</v>
      </c>
      <c r="G1078" t="s">
        <v>197</v>
      </c>
      <c r="H1078" s="2">
        <v>0.41944444444444445</v>
      </c>
      <c r="I1078" s="2">
        <v>0.43888888888888888</v>
      </c>
      <c r="J1078">
        <v>2</v>
      </c>
      <c r="K1078">
        <v>24</v>
      </c>
      <c r="L1078" t="s">
        <v>45</v>
      </c>
      <c r="M1078">
        <v>-4.5</v>
      </c>
      <c r="N1078">
        <v>65</v>
      </c>
      <c r="O1078">
        <v>46</v>
      </c>
      <c r="P1078">
        <v>5.3</v>
      </c>
      <c r="Q1078" t="s">
        <v>31</v>
      </c>
      <c r="R1078">
        <v>500</v>
      </c>
      <c r="S1078">
        <v>81</v>
      </c>
      <c r="T1078">
        <v>0</v>
      </c>
      <c r="U1078">
        <v>0</v>
      </c>
      <c r="V1078">
        <v>3</v>
      </c>
      <c r="W1078" t="s">
        <v>39</v>
      </c>
      <c r="X1078">
        <v>1</v>
      </c>
      <c r="Y1078" t="str">
        <f t="shared" si="16"/>
        <v>High</v>
      </c>
    </row>
    <row r="1079" spans="1:25">
      <c r="A1079" t="s">
        <v>1192</v>
      </c>
      <c r="B1079" s="1">
        <v>44938</v>
      </c>
      <c r="C1079" s="2">
        <v>0.42708333333333331</v>
      </c>
      <c r="D1079" t="s">
        <v>41</v>
      </c>
      <c r="E1079" t="s">
        <v>89</v>
      </c>
      <c r="F1079" t="s">
        <v>135</v>
      </c>
      <c r="G1079" t="s">
        <v>148</v>
      </c>
      <c r="H1079" s="2">
        <v>0.42986111111111114</v>
      </c>
      <c r="I1079" s="2">
        <v>0.44583333333333336</v>
      </c>
      <c r="J1079">
        <v>14</v>
      </c>
      <c r="K1079">
        <v>14</v>
      </c>
      <c r="L1079" t="s">
        <v>38</v>
      </c>
      <c r="M1079">
        <v>9</v>
      </c>
      <c r="N1079">
        <v>43</v>
      </c>
      <c r="O1079">
        <v>18</v>
      </c>
      <c r="P1079">
        <v>13.3</v>
      </c>
      <c r="Q1079" t="s">
        <v>31</v>
      </c>
      <c r="R1079">
        <v>0</v>
      </c>
      <c r="S1079">
        <v>13</v>
      </c>
      <c r="T1079">
        <v>0</v>
      </c>
      <c r="U1079">
        <v>1</v>
      </c>
      <c r="V1079">
        <v>3</v>
      </c>
      <c r="W1079" t="s">
        <v>39</v>
      </c>
      <c r="X1079">
        <v>1</v>
      </c>
      <c r="Y1079" t="str">
        <f t="shared" si="16"/>
        <v>Low</v>
      </c>
    </row>
    <row r="1080" spans="1:25">
      <c r="A1080" t="s">
        <v>1193</v>
      </c>
      <c r="B1080" s="1">
        <v>44938</v>
      </c>
      <c r="C1080" s="2">
        <v>0.4375</v>
      </c>
      <c r="D1080" t="s">
        <v>74</v>
      </c>
      <c r="E1080" t="s">
        <v>27</v>
      </c>
      <c r="F1080" t="s">
        <v>151</v>
      </c>
      <c r="G1080" t="s">
        <v>128</v>
      </c>
      <c r="H1080" s="2">
        <v>0.43819444444444444</v>
      </c>
      <c r="I1080" s="2">
        <v>0.45416666666666666</v>
      </c>
      <c r="J1080">
        <v>2</v>
      </c>
      <c r="K1080">
        <v>14</v>
      </c>
      <c r="L1080" t="s">
        <v>54</v>
      </c>
      <c r="M1080">
        <v>0.3</v>
      </c>
      <c r="N1080">
        <v>87</v>
      </c>
      <c r="O1080">
        <v>45</v>
      </c>
      <c r="P1080">
        <v>18.899999999999999</v>
      </c>
      <c r="Q1080" t="s">
        <v>71</v>
      </c>
      <c r="R1080">
        <v>2000</v>
      </c>
      <c r="S1080">
        <v>13</v>
      </c>
      <c r="T1080">
        <v>0</v>
      </c>
      <c r="U1080">
        <v>0</v>
      </c>
      <c r="V1080">
        <v>3</v>
      </c>
      <c r="W1080" t="s">
        <v>55</v>
      </c>
      <c r="X1080">
        <v>1</v>
      </c>
      <c r="Y1080" t="str">
        <f t="shared" si="16"/>
        <v>Low</v>
      </c>
    </row>
    <row r="1081" spans="1:25">
      <c r="A1081" t="s">
        <v>1194</v>
      </c>
      <c r="B1081" s="1">
        <v>44938</v>
      </c>
      <c r="C1081" s="2">
        <v>0.44791666666666669</v>
      </c>
      <c r="D1081" t="s">
        <v>41</v>
      </c>
      <c r="E1081" t="s">
        <v>79</v>
      </c>
      <c r="F1081" t="s">
        <v>58</v>
      </c>
      <c r="G1081" t="s">
        <v>185</v>
      </c>
      <c r="H1081" s="2">
        <v>0.44791666666666669</v>
      </c>
      <c r="I1081" s="2">
        <v>0.46944444444444444</v>
      </c>
      <c r="J1081">
        <v>-1</v>
      </c>
      <c r="K1081">
        <v>28</v>
      </c>
      <c r="L1081" t="s">
        <v>30</v>
      </c>
      <c r="M1081">
        <v>0.1</v>
      </c>
      <c r="N1081">
        <v>67</v>
      </c>
      <c r="O1081">
        <v>14</v>
      </c>
      <c r="P1081">
        <v>9</v>
      </c>
      <c r="Q1081" t="s">
        <v>63</v>
      </c>
      <c r="R1081">
        <v>2000</v>
      </c>
      <c r="S1081">
        <v>44</v>
      </c>
      <c r="T1081">
        <v>0</v>
      </c>
      <c r="U1081">
        <v>0</v>
      </c>
      <c r="V1081">
        <v>3</v>
      </c>
      <c r="W1081" t="s">
        <v>32</v>
      </c>
      <c r="X1081">
        <v>1</v>
      </c>
      <c r="Y1081" t="str">
        <f t="shared" si="16"/>
        <v>Medium</v>
      </c>
    </row>
    <row r="1082" spans="1:25">
      <c r="A1082" t="s">
        <v>1195</v>
      </c>
      <c r="B1082" s="1">
        <v>44938</v>
      </c>
      <c r="C1082" s="2">
        <v>0.45833333333333331</v>
      </c>
      <c r="D1082" t="s">
        <v>26</v>
      </c>
      <c r="E1082" t="s">
        <v>93</v>
      </c>
      <c r="F1082" t="s">
        <v>122</v>
      </c>
      <c r="G1082" t="s">
        <v>105</v>
      </c>
      <c r="H1082" s="2">
        <v>0.46041666666666664</v>
      </c>
      <c r="I1082" s="2">
        <v>0.47361111111111109</v>
      </c>
      <c r="J1082">
        <v>6</v>
      </c>
      <c r="K1082">
        <v>10</v>
      </c>
      <c r="L1082" t="s">
        <v>45</v>
      </c>
      <c r="M1082">
        <v>27.6</v>
      </c>
      <c r="N1082">
        <v>30</v>
      </c>
      <c r="O1082">
        <v>5</v>
      </c>
      <c r="P1082">
        <v>15</v>
      </c>
      <c r="Q1082" t="s">
        <v>46</v>
      </c>
      <c r="R1082">
        <v>2000</v>
      </c>
      <c r="S1082">
        <v>96</v>
      </c>
      <c r="T1082">
        <v>0</v>
      </c>
      <c r="U1082">
        <v>0</v>
      </c>
      <c r="V1082">
        <v>3</v>
      </c>
      <c r="W1082" t="s">
        <v>32</v>
      </c>
      <c r="X1082">
        <v>1</v>
      </c>
      <c r="Y1082" t="str">
        <f t="shared" si="16"/>
        <v>High</v>
      </c>
    </row>
    <row r="1083" spans="1:25">
      <c r="A1083" t="s">
        <v>1196</v>
      </c>
      <c r="B1083" s="1">
        <v>44938</v>
      </c>
      <c r="C1083" s="2">
        <v>0.46875</v>
      </c>
      <c r="D1083" t="s">
        <v>41</v>
      </c>
      <c r="E1083" t="s">
        <v>52</v>
      </c>
      <c r="F1083" t="s">
        <v>53</v>
      </c>
      <c r="G1083" t="s">
        <v>44</v>
      </c>
      <c r="H1083" s="2">
        <v>0.46875</v>
      </c>
      <c r="I1083" s="2">
        <v>0.50624999999999998</v>
      </c>
      <c r="J1083">
        <v>3</v>
      </c>
      <c r="K1083">
        <v>12</v>
      </c>
      <c r="L1083" t="s">
        <v>45</v>
      </c>
      <c r="M1083">
        <v>31.7</v>
      </c>
      <c r="N1083">
        <v>94</v>
      </c>
      <c r="O1083">
        <v>55</v>
      </c>
      <c r="P1083">
        <v>12.9</v>
      </c>
      <c r="Q1083" t="s">
        <v>46</v>
      </c>
      <c r="R1083">
        <v>0</v>
      </c>
      <c r="S1083">
        <v>37</v>
      </c>
      <c r="T1083">
        <v>0</v>
      </c>
      <c r="U1083">
        <v>1</v>
      </c>
      <c r="V1083">
        <v>3</v>
      </c>
      <c r="W1083" t="s">
        <v>32</v>
      </c>
      <c r="X1083">
        <v>1</v>
      </c>
      <c r="Y1083" t="str">
        <f t="shared" si="16"/>
        <v>Medium</v>
      </c>
    </row>
    <row r="1084" spans="1:25">
      <c r="A1084" t="s">
        <v>1197</v>
      </c>
      <c r="B1084" s="1">
        <v>44938</v>
      </c>
      <c r="C1084" s="2">
        <v>0.47916666666666669</v>
      </c>
      <c r="D1084" t="s">
        <v>41</v>
      </c>
      <c r="E1084" t="s">
        <v>111</v>
      </c>
      <c r="F1084" t="s">
        <v>105</v>
      </c>
      <c r="G1084" t="s">
        <v>29</v>
      </c>
      <c r="H1084" s="2">
        <v>0.47986111111111113</v>
      </c>
      <c r="I1084" s="2">
        <v>0.51527777777777772</v>
      </c>
      <c r="J1084">
        <v>15</v>
      </c>
      <c r="K1084">
        <v>14</v>
      </c>
      <c r="L1084" t="s">
        <v>38</v>
      </c>
      <c r="M1084">
        <v>26.1</v>
      </c>
      <c r="N1084">
        <v>30</v>
      </c>
      <c r="O1084">
        <v>9</v>
      </c>
      <c r="P1084">
        <v>9.5</v>
      </c>
      <c r="Q1084" t="s">
        <v>31</v>
      </c>
      <c r="R1084">
        <v>0</v>
      </c>
      <c r="S1084">
        <v>62</v>
      </c>
      <c r="T1084">
        <v>0</v>
      </c>
      <c r="U1084">
        <v>1</v>
      </c>
      <c r="V1084">
        <v>3</v>
      </c>
      <c r="W1084" t="s">
        <v>39</v>
      </c>
      <c r="X1084">
        <v>1</v>
      </c>
      <c r="Y1084" t="str">
        <f t="shared" si="16"/>
        <v>Medium</v>
      </c>
    </row>
    <row r="1085" spans="1:25">
      <c r="A1085" t="s">
        <v>1198</v>
      </c>
      <c r="B1085" s="1">
        <v>44938</v>
      </c>
      <c r="C1085" s="2">
        <v>0.48958333333333331</v>
      </c>
      <c r="D1085" t="s">
        <v>34</v>
      </c>
      <c r="E1085" t="s">
        <v>52</v>
      </c>
      <c r="F1085" t="s">
        <v>36</v>
      </c>
      <c r="G1085" t="s">
        <v>91</v>
      </c>
      <c r="H1085" s="2">
        <v>0.49027777777777776</v>
      </c>
      <c r="I1085" s="2">
        <v>0.5180555555555556</v>
      </c>
      <c r="J1085">
        <v>11</v>
      </c>
      <c r="K1085">
        <v>12</v>
      </c>
      <c r="L1085" t="s">
        <v>54</v>
      </c>
      <c r="M1085">
        <v>34.1</v>
      </c>
      <c r="N1085">
        <v>89</v>
      </c>
      <c r="O1085">
        <v>45</v>
      </c>
      <c r="P1085">
        <v>1</v>
      </c>
      <c r="Q1085" t="s">
        <v>71</v>
      </c>
      <c r="R1085">
        <v>0</v>
      </c>
      <c r="S1085">
        <v>74</v>
      </c>
      <c r="T1085">
        <v>0</v>
      </c>
      <c r="U1085">
        <v>0</v>
      </c>
      <c r="V1085">
        <v>3</v>
      </c>
      <c r="W1085" t="s">
        <v>39</v>
      </c>
      <c r="X1085">
        <v>1</v>
      </c>
      <c r="Y1085" t="str">
        <f t="shared" si="16"/>
        <v>High</v>
      </c>
    </row>
    <row r="1086" spans="1:25">
      <c r="A1086" t="s">
        <v>1199</v>
      </c>
      <c r="B1086" s="1">
        <v>44938</v>
      </c>
      <c r="C1086" s="2">
        <v>0.5</v>
      </c>
      <c r="D1086" t="s">
        <v>74</v>
      </c>
      <c r="E1086" t="s">
        <v>111</v>
      </c>
      <c r="F1086" t="s">
        <v>168</v>
      </c>
      <c r="G1086" t="s">
        <v>123</v>
      </c>
      <c r="H1086" s="2">
        <v>0.50277777777777777</v>
      </c>
      <c r="I1086" s="2">
        <v>0.51944444444444449</v>
      </c>
      <c r="J1086">
        <v>16</v>
      </c>
      <c r="K1086">
        <v>13</v>
      </c>
      <c r="L1086" t="s">
        <v>84</v>
      </c>
      <c r="M1086">
        <v>3.7</v>
      </c>
      <c r="N1086">
        <v>54</v>
      </c>
      <c r="O1086">
        <v>15</v>
      </c>
      <c r="P1086">
        <v>14.8</v>
      </c>
      <c r="Q1086" t="s">
        <v>31</v>
      </c>
      <c r="R1086">
        <v>0</v>
      </c>
      <c r="S1086">
        <v>10</v>
      </c>
      <c r="T1086">
        <v>0</v>
      </c>
      <c r="U1086">
        <v>0</v>
      </c>
      <c r="V1086">
        <v>3</v>
      </c>
      <c r="W1086" t="s">
        <v>32</v>
      </c>
      <c r="X1086">
        <v>1</v>
      </c>
      <c r="Y1086" t="str">
        <f t="shared" si="16"/>
        <v>Low</v>
      </c>
    </row>
    <row r="1087" spans="1:25">
      <c r="A1087" t="s">
        <v>1200</v>
      </c>
      <c r="B1087" s="1">
        <v>44938</v>
      </c>
      <c r="C1087" s="2">
        <v>0.51041666666666663</v>
      </c>
      <c r="D1087" t="s">
        <v>41</v>
      </c>
      <c r="E1087" t="s">
        <v>104</v>
      </c>
      <c r="F1087" t="s">
        <v>50</v>
      </c>
      <c r="G1087" t="s">
        <v>50</v>
      </c>
      <c r="H1087" s="2">
        <v>0.51249999999999996</v>
      </c>
      <c r="I1087" s="2">
        <v>0.53611111111111109</v>
      </c>
      <c r="J1087">
        <v>11</v>
      </c>
      <c r="K1087">
        <v>3</v>
      </c>
      <c r="L1087" t="s">
        <v>54</v>
      </c>
      <c r="M1087">
        <v>0.6</v>
      </c>
      <c r="N1087">
        <v>39</v>
      </c>
      <c r="O1087">
        <v>44</v>
      </c>
      <c r="P1087">
        <v>7.3</v>
      </c>
      <c r="Q1087" t="s">
        <v>63</v>
      </c>
      <c r="R1087">
        <v>0</v>
      </c>
      <c r="S1087">
        <v>47</v>
      </c>
      <c r="T1087">
        <v>0</v>
      </c>
      <c r="U1087">
        <v>0</v>
      </c>
      <c r="V1087">
        <v>3</v>
      </c>
      <c r="W1087" t="s">
        <v>39</v>
      </c>
      <c r="X1087">
        <v>0</v>
      </c>
      <c r="Y1087" t="str">
        <f t="shared" si="16"/>
        <v>Medium</v>
      </c>
    </row>
    <row r="1088" spans="1:25">
      <c r="A1088" t="s">
        <v>1201</v>
      </c>
      <c r="B1088" s="1">
        <v>44938</v>
      </c>
      <c r="C1088" s="2">
        <v>0.52083333333333337</v>
      </c>
      <c r="D1088" t="s">
        <v>41</v>
      </c>
      <c r="E1088" t="s">
        <v>35</v>
      </c>
      <c r="F1088" t="s">
        <v>197</v>
      </c>
      <c r="G1088" t="s">
        <v>96</v>
      </c>
      <c r="H1088" s="2">
        <v>0.52222222222222225</v>
      </c>
      <c r="I1088" s="2">
        <v>0.5541666666666667</v>
      </c>
      <c r="J1088">
        <v>5</v>
      </c>
      <c r="K1088">
        <v>8</v>
      </c>
      <c r="L1088" t="s">
        <v>84</v>
      </c>
      <c r="M1088">
        <v>15.8</v>
      </c>
      <c r="N1088">
        <v>79</v>
      </c>
      <c r="O1088">
        <v>10</v>
      </c>
      <c r="P1088">
        <v>4.5</v>
      </c>
      <c r="Q1088" t="s">
        <v>31</v>
      </c>
      <c r="R1088">
        <v>2000</v>
      </c>
      <c r="S1088">
        <v>25</v>
      </c>
      <c r="T1088">
        <v>0</v>
      </c>
      <c r="U1088">
        <v>0</v>
      </c>
      <c r="V1088">
        <v>3</v>
      </c>
      <c r="W1088" t="s">
        <v>72</v>
      </c>
      <c r="X1088">
        <v>1</v>
      </c>
      <c r="Y1088" t="str">
        <f t="shared" si="16"/>
        <v>Low</v>
      </c>
    </row>
    <row r="1089" spans="1:25">
      <c r="A1089" t="s">
        <v>1202</v>
      </c>
      <c r="B1089" s="1">
        <v>44938</v>
      </c>
      <c r="C1089" s="2">
        <v>0.53125</v>
      </c>
      <c r="D1089" t="s">
        <v>34</v>
      </c>
      <c r="E1089" t="s">
        <v>147</v>
      </c>
      <c r="F1089" t="s">
        <v>128</v>
      </c>
      <c r="G1089" t="s">
        <v>81</v>
      </c>
      <c r="H1089" s="2">
        <v>0.53194444444444444</v>
      </c>
      <c r="I1089" s="2">
        <v>0.57152777777777775</v>
      </c>
      <c r="J1089">
        <v>14</v>
      </c>
      <c r="K1089">
        <v>6</v>
      </c>
      <c r="L1089" t="s">
        <v>84</v>
      </c>
      <c r="M1089">
        <v>28.2</v>
      </c>
      <c r="N1089">
        <v>41</v>
      </c>
      <c r="O1089">
        <v>56</v>
      </c>
      <c r="P1089">
        <v>19</v>
      </c>
      <c r="Q1089" t="s">
        <v>71</v>
      </c>
      <c r="R1089">
        <v>2000</v>
      </c>
      <c r="S1089">
        <v>66</v>
      </c>
      <c r="T1089">
        <v>0</v>
      </c>
      <c r="U1089">
        <v>0</v>
      </c>
      <c r="V1089">
        <v>3</v>
      </c>
      <c r="W1089" t="s">
        <v>55</v>
      </c>
      <c r="X1089">
        <v>1</v>
      </c>
      <c r="Y1089" t="str">
        <f t="shared" si="16"/>
        <v>Medium</v>
      </c>
    </row>
    <row r="1090" spans="1:25">
      <c r="A1090" t="s">
        <v>1203</v>
      </c>
      <c r="B1090" s="1">
        <v>44938</v>
      </c>
      <c r="C1090" s="2">
        <v>0.54166666666666663</v>
      </c>
      <c r="D1090" t="s">
        <v>34</v>
      </c>
      <c r="E1090" t="s">
        <v>147</v>
      </c>
      <c r="F1090" t="s">
        <v>168</v>
      </c>
      <c r="G1090" t="s">
        <v>95</v>
      </c>
      <c r="H1090" s="2">
        <v>0.54374999999999996</v>
      </c>
      <c r="I1090" s="2">
        <v>0.57361111111111107</v>
      </c>
      <c r="J1090">
        <v>0</v>
      </c>
      <c r="K1090">
        <v>1</v>
      </c>
      <c r="L1090" t="s">
        <v>30</v>
      </c>
      <c r="M1090">
        <v>-3.4</v>
      </c>
      <c r="N1090">
        <v>61</v>
      </c>
      <c r="O1090">
        <v>34</v>
      </c>
      <c r="P1090">
        <v>15.5</v>
      </c>
      <c r="Q1090" t="s">
        <v>101</v>
      </c>
      <c r="R1090">
        <v>0</v>
      </c>
      <c r="S1090">
        <v>24</v>
      </c>
      <c r="T1090">
        <v>0</v>
      </c>
      <c r="U1090">
        <v>0</v>
      </c>
      <c r="V1090">
        <v>3</v>
      </c>
      <c r="W1090" t="s">
        <v>55</v>
      </c>
      <c r="X1090">
        <v>0</v>
      </c>
      <c r="Y1090" t="str">
        <f t="shared" ref="Y1090:Y1153" si="17">IF(S1090&lt;=33,"Low",IF(S1090&lt;=66,"Medium","High"))</f>
        <v>Low</v>
      </c>
    </row>
    <row r="1091" spans="1:25">
      <c r="A1091" t="s">
        <v>1204</v>
      </c>
      <c r="B1091" s="1">
        <v>44938</v>
      </c>
      <c r="C1091" s="2">
        <v>0.55208333333333337</v>
      </c>
      <c r="D1091" t="s">
        <v>74</v>
      </c>
      <c r="E1091" t="s">
        <v>93</v>
      </c>
      <c r="F1091" t="s">
        <v>53</v>
      </c>
      <c r="G1091" t="s">
        <v>113</v>
      </c>
      <c r="H1091" s="2">
        <v>0.55208333333333337</v>
      </c>
      <c r="I1091" s="2">
        <v>0.59027777777777779</v>
      </c>
      <c r="J1091">
        <v>7</v>
      </c>
      <c r="K1091">
        <v>17</v>
      </c>
      <c r="L1091" t="s">
        <v>30</v>
      </c>
      <c r="M1091">
        <v>34.799999999999997</v>
      </c>
      <c r="N1091">
        <v>62</v>
      </c>
      <c r="O1091">
        <v>7</v>
      </c>
      <c r="P1091">
        <v>19.2</v>
      </c>
      <c r="Q1091" t="s">
        <v>31</v>
      </c>
      <c r="R1091">
        <v>0</v>
      </c>
      <c r="S1091">
        <v>80</v>
      </c>
      <c r="T1091">
        <v>0</v>
      </c>
      <c r="U1091">
        <v>0</v>
      </c>
      <c r="V1091">
        <v>3</v>
      </c>
      <c r="W1091" t="s">
        <v>39</v>
      </c>
      <c r="X1091">
        <v>1</v>
      </c>
      <c r="Y1091" t="str">
        <f t="shared" si="17"/>
        <v>High</v>
      </c>
    </row>
    <row r="1092" spans="1:25">
      <c r="A1092" t="s">
        <v>1205</v>
      </c>
      <c r="B1092" s="1">
        <v>44938</v>
      </c>
      <c r="C1092" s="2">
        <v>0.5625</v>
      </c>
      <c r="D1092" t="s">
        <v>34</v>
      </c>
      <c r="E1092" t="s">
        <v>79</v>
      </c>
      <c r="F1092" t="s">
        <v>81</v>
      </c>
      <c r="G1092" t="s">
        <v>62</v>
      </c>
      <c r="H1092" s="2">
        <v>0.56527777777777777</v>
      </c>
      <c r="I1092" s="2">
        <v>0.58750000000000002</v>
      </c>
      <c r="J1092">
        <v>14</v>
      </c>
      <c r="K1092">
        <v>-1</v>
      </c>
      <c r="L1092" t="s">
        <v>38</v>
      </c>
      <c r="M1092">
        <v>19.100000000000001</v>
      </c>
      <c r="N1092">
        <v>55</v>
      </c>
      <c r="O1092">
        <v>27</v>
      </c>
      <c r="P1092">
        <v>5.0999999999999996</v>
      </c>
      <c r="Q1092" t="s">
        <v>63</v>
      </c>
      <c r="R1092">
        <v>500</v>
      </c>
      <c r="S1092">
        <v>60</v>
      </c>
      <c r="T1092">
        <v>0</v>
      </c>
      <c r="U1092">
        <v>0</v>
      </c>
      <c r="V1092">
        <v>3</v>
      </c>
      <c r="W1092" t="s">
        <v>72</v>
      </c>
      <c r="X1092">
        <v>0</v>
      </c>
      <c r="Y1092" t="str">
        <f t="shared" si="17"/>
        <v>Medium</v>
      </c>
    </row>
    <row r="1093" spans="1:25">
      <c r="A1093" t="s">
        <v>1206</v>
      </c>
      <c r="B1093" s="1">
        <v>44938</v>
      </c>
      <c r="C1093" s="2">
        <v>0.57291666666666663</v>
      </c>
      <c r="D1093" t="s">
        <v>26</v>
      </c>
      <c r="E1093" t="s">
        <v>141</v>
      </c>
      <c r="F1093" t="s">
        <v>43</v>
      </c>
      <c r="G1093" t="s">
        <v>113</v>
      </c>
      <c r="H1093" s="2">
        <v>0.57291666666666663</v>
      </c>
      <c r="I1093" s="2">
        <v>0.60972222222222228</v>
      </c>
      <c r="J1093">
        <v>8</v>
      </c>
      <c r="K1093">
        <v>15</v>
      </c>
      <c r="L1093" t="s">
        <v>54</v>
      </c>
      <c r="M1093">
        <v>34.200000000000003</v>
      </c>
      <c r="N1093">
        <v>71</v>
      </c>
      <c r="O1093">
        <v>2</v>
      </c>
      <c r="P1093">
        <v>16.7</v>
      </c>
      <c r="Q1093" t="s">
        <v>31</v>
      </c>
      <c r="R1093">
        <v>0</v>
      </c>
      <c r="S1093">
        <v>85</v>
      </c>
      <c r="T1093">
        <v>0</v>
      </c>
      <c r="U1093">
        <v>0</v>
      </c>
      <c r="V1093">
        <v>3</v>
      </c>
      <c r="W1093" t="s">
        <v>72</v>
      </c>
      <c r="X1093">
        <v>1</v>
      </c>
      <c r="Y1093" t="str">
        <f t="shared" si="17"/>
        <v>High</v>
      </c>
    </row>
    <row r="1094" spans="1:25">
      <c r="A1094" t="s">
        <v>1207</v>
      </c>
      <c r="B1094" s="1">
        <v>44938</v>
      </c>
      <c r="C1094" s="2">
        <v>0.58333333333333337</v>
      </c>
      <c r="D1094" t="s">
        <v>34</v>
      </c>
      <c r="E1094" t="s">
        <v>27</v>
      </c>
      <c r="F1094" t="s">
        <v>44</v>
      </c>
      <c r="G1094" t="s">
        <v>151</v>
      </c>
      <c r="H1094" s="2">
        <v>0.58402777777777781</v>
      </c>
      <c r="I1094" s="2">
        <v>0.59861111111111109</v>
      </c>
      <c r="J1094">
        <v>5</v>
      </c>
      <c r="K1094">
        <v>2</v>
      </c>
      <c r="L1094" t="s">
        <v>84</v>
      </c>
      <c r="M1094">
        <v>9.6</v>
      </c>
      <c r="N1094">
        <v>79</v>
      </c>
      <c r="O1094">
        <v>1</v>
      </c>
      <c r="P1094">
        <v>12.2</v>
      </c>
      <c r="Q1094" t="s">
        <v>31</v>
      </c>
      <c r="R1094">
        <v>0</v>
      </c>
      <c r="S1094">
        <v>92</v>
      </c>
      <c r="T1094">
        <v>1</v>
      </c>
      <c r="U1094">
        <v>0</v>
      </c>
      <c r="V1094">
        <v>3</v>
      </c>
      <c r="W1094" t="s">
        <v>32</v>
      </c>
      <c r="X1094">
        <v>0</v>
      </c>
      <c r="Y1094" t="str">
        <f t="shared" si="17"/>
        <v>High</v>
      </c>
    </row>
    <row r="1095" spans="1:25">
      <c r="A1095" t="s">
        <v>1208</v>
      </c>
      <c r="B1095" s="1">
        <v>44938</v>
      </c>
      <c r="C1095" s="2">
        <v>0.59375</v>
      </c>
      <c r="D1095" t="s">
        <v>26</v>
      </c>
      <c r="E1095" t="s">
        <v>126</v>
      </c>
      <c r="F1095" t="s">
        <v>43</v>
      </c>
      <c r="G1095" t="s">
        <v>203</v>
      </c>
      <c r="H1095" s="2">
        <v>0.59444444444444444</v>
      </c>
      <c r="I1095" s="2">
        <v>0.61041666666666672</v>
      </c>
      <c r="J1095">
        <v>-2</v>
      </c>
      <c r="K1095">
        <v>10</v>
      </c>
      <c r="L1095" t="s">
        <v>38</v>
      </c>
      <c r="M1095">
        <v>13.3</v>
      </c>
      <c r="N1095">
        <v>90</v>
      </c>
      <c r="O1095">
        <v>52</v>
      </c>
      <c r="P1095">
        <v>19.600000000000001</v>
      </c>
      <c r="Q1095" t="s">
        <v>31</v>
      </c>
      <c r="R1095">
        <v>10000</v>
      </c>
      <c r="S1095">
        <v>25</v>
      </c>
      <c r="T1095">
        <v>1</v>
      </c>
      <c r="U1095">
        <v>0</v>
      </c>
      <c r="V1095">
        <v>3</v>
      </c>
      <c r="W1095" t="s">
        <v>55</v>
      </c>
      <c r="X1095">
        <v>1</v>
      </c>
      <c r="Y1095" t="str">
        <f t="shared" si="17"/>
        <v>Low</v>
      </c>
    </row>
    <row r="1096" spans="1:25">
      <c r="A1096" t="s">
        <v>1209</v>
      </c>
      <c r="B1096" s="1">
        <v>44938</v>
      </c>
      <c r="C1096" s="2">
        <v>0.60416666666666663</v>
      </c>
      <c r="D1096" t="s">
        <v>74</v>
      </c>
      <c r="E1096" t="s">
        <v>79</v>
      </c>
      <c r="F1096" t="s">
        <v>91</v>
      </c>
      <c r="G1096" t="s">
        <v>80</v>
      </c>
      <c r="H1096" s="2">
        <v>0.60416666666666663</v>
      </c>
      <c r="I1096" s="2">
        <v>0.62708333333333333</v>
      </c>
      <c r="J1096">
        <v>10</v>
      </c>
      <c r="K1096">
        <v>0</v>
      </c>
      <c r="L1096" t="s">
        <v>84</v>
      </c>
      <c r="M1096">
        <v>25.1</v>
      </c>
      <c r="N1096">
        <v>70</v>
      </c>
      <c r="O1096">
        <v>13</v>
      </c>
      <c r="P1096">
        <v>18.899999999999999</v>
      </c>
      <c r="Q1096" t="s">
        <v>101</v>
      </c>
      <c r="R1096">
        <v>0</v>
      </c>
      <c r="S1096">
        <v>33</v>
      </c>
      <c r="T1096">
        <v>0</v>
      </c>
      <c r="U1096">
        <v>1</v>
      </c>
      <c r="V1096">
        <v>3</v>
      </c>
      <c r="W1096" t="s">
        <v>55</v>
      </c>
      <c r="X1096">
        <v>0</v>
      </c>
      <c r="Y1096" t="str">
        <f t="shared" si="17"/>
        <v>Low</v>
      </c>
    </row>
    <row r="1097" spans="1:25">
      <c r="A1097" t="s">
        <v>1210</v>
      </c>
      <c r="B1097" s="1">
        <v>44938</v>
      </c>
      <c r="C1097" s="2">
        <v>0.61458333333333337</v>
      </c>
      <c r="D1097" t="s">
        <v>74</v>
      </c>
      <c r="E1097" t="s">
        <v>27</v>
      </c>
      <c r="F1097" t="s">
        <v>113</v>
      </c>
      <c r="G1097" t="s">
        <v>90</v>
      </c>
      <c r="H1097" s="2">
        <v>0.61527777777777781</v>
      </c>
      <c r="I1097" s="2">
        <v>0.62986111111111109</v>
      </c>
      <c r="J1097">
        <v>18</v>
      </c>
      <c r="K1097">
        <v>14</v>
      </c>
      <c r="L1097" t="s">
        <v>45</v>
      </c>
      <c r="M1097">
        <v>26.7</v>
      </c>
      <c r="N1097">
        <v>86</v>
      </c>
      <c r="O1097">
        <v>51</v>
      </c>
      <c r="P1097">
        <v>19.5</v>
      </c>
      <c r="Q1097" t="s">
        <v>101</v>
      </c>
      <c r="R1097">
        <v>10000</v>
      </c>
      <c r="S1097">
        <v>89</v>
      </c>
      <c r="T1097">
        <v>0</v>
      </c>
      <c r="U1097">
        <v>0</v>
      </c>
      <c r="V1097">
        <v>3</v>
      </c>
      <c r="W1097" t="s">
        <v>55</v>
      </c>
      <c r="X1097">
        <v>1</v>
      </c>
      <c r="Y1097" t="str">
        <f t="shared" si="17"/>
        <v>High</v>
      </c>
    </row>
    <row r="1098" spans="1:25">
      <c r="A1098" t="s">
        <v>1211</v>
      </c>
      <c r="B1098" s="1">
        <v>44938</v>
      </c>
      <c r="C1098" s="2">
        <v>0.625</v>
      </c>
      <c r="D1098" t="s">
        <v>74</v>
      </c>
      <c r="E1098" t="s">
        <v>48</v>
      </c>
      <c r="F1098" t="s">
        <v>91</v>
      </c>
      <c r="G1098" t="s">
        <v>107</v>
      </c>
      <c r="H1098" s="2">
        <v>0.62708333333333333</v>
      </c>
      <c r="I1098" s="2">
        <v>0.65416666666666667</v>
      </c>
      <c r="J1098">
        <v>1</v>
      </c>
      <c r="K1098">
        <v>25</v>
      </c>
      <c r="L1098" t="s">
        <v>77</v>
      </c>
      <c r="M1098">
        <v>4.3</v>
      </c>
      <c r="N1098">
        <v>31</v>
      </c>
      <c r="O1098">
        <v>28</v>
      </c>
      <c r="P1098">
        <v>19</v>
      </c>
      <c r="Q1098" t="s">
        <v>31</v>
      </c>
      <c r="R1098">
        <v>10000</v>
      </c>
      <c r="S1098">
        <v>8</v>
      </c>
      <c r="T1098">
        <v>0</v>
      </c>
      <c r="U1098">
        <v>0</v>
      </c>
      <c r="V1098">
        <v>3</v>
      </c>
      <c r="W1098" t="s">
        <v>39</v>
      </c>
      <c r="X1098">
        <v>1</v>
      </c>
      <c r="Y1098" t="str">
        <f t="shared" si="17"/>
        <v>Low</v>
      </c>
    </row>
    <row r="1099" spans="1:25">
      <c r="A1099" t="s">
        <v>1212</v>
      </c>
      <c r="B1099" s="1">
        <v>44938</v>
      </c>
      <c r="C1099" s="2">
        <v>0.63541666666666663</v>
      </c>
      <c r="D1099" t="s">
        <v>74</v>
      </c>
      <c r="E1099" t="s">
        <v>35</v>
      </c>
      <c r="F1099" t="s">
        <v>142</v>
      </c>
      <c r="G1099" t="s">
        <v>53</v>
      </c>
      <c r="H1099" s="2">
        <v>0.63611111111111107</v>
      </c>
      <c r="I1099" s="2">
        <v>0.67569444444444449</v>
      </c>
      <c r="J1099">
        <v>4</v>
      </c>
      <c r="K1099">
        <v>12</v>
      </c>
      <c r="L1099" t="s">
        <v>77</v>
      </c>
      <c r="M1099">
        <v>32.200000000000003</v>
      </c>
      <c r="N1099">
        <v>99</v>
      </c>
      <c r="O1099">
        <v>52</v>
      </c>
      <c r="P1099">
        <v>0.2</v>
      </c>
      <c r="Q1099" t="s">
        <v>31</v>
      </c>
      <c r="R1099">
        <v>10000</v>
      </c>
      <c r="S1099">
        <v>39</v>
      </c>
      <c r="T1099">
        <v>0</v>
      </c>
      <c r="U1099">
        <v>0</v>
      </c>
      <c r="V1099">
        <v>3</v>
      </c>
      <c r="W1099" t="s">
        <v>72</v>
      </c>
      <c r="X1099">
        <v>1</v>
      </c>
      <c r="Y1099" t="str">
        <f t="shared" si="17"/>
        <v>Medium</v>
      </c>
    </row>
    <row r="1100" spans="1:25">
      <c r="A1100" t="s">
        <v>1213</v>
      </c>
      <c r="B1100" s="1">
        <v>44938</v>
      </c>
      <c r="C1100" s="2">
        <v>0.64583333333333337</v>
      </c>
      <c r="D1100" t="s">
        <v>74</v>
      </c>
      <c r="E1100" t="s">
        <v>93</v>
      </c>
      <c r="F1100" t="s">
        <v>58</v>
      </c>
      <c r="G1100" t="s">
        <v>148</v>
      </c>
      <c r="H1100" s="2">
        <v>0.64861111111111114</v>
      </c>
      <c r="I1100" s="2">
        <v>0.67986111111111114</v>
      </c>
      <c r="J1100">
        <v>11</v>
      </c>
      <c r="K1100">
        <v>16</v>
      </c>
      <c r="L1100" t="s">
        <v>84</v>
      </c>
      <c r="M1100">
        <v>29.7</v>
      </c>
      <c r="N1100">
        <v>60</v>
      </c>
      <c r="O1100">
        <v>53</v>
      </c>
      <c r="P1100">
        <v>14.8</v>
      </c>
      <c r="Q1100" t="s">
        <v>101</v>
      </c>
      <c r="R1100">
        <v>0</v>
      </c>
      <c r="S1100">
        <v>74</v>
      </c>
      <c r="T1100">
        <v>1</v>
      </c>
      <c r="U1100">
        <v>1</v>
      </c>
      <c r="V1100">
        <v>3</v>
      </c>
      <c r="W1100" t="s">
        <v>32</v>
      </c>
      <c r="X1100">
        <v>1</v>
      </c>
      <c r="Y1100" t="str">
        <f t="shared" si="17"/>
        <v>High</v>
      </c>
    </row>
    <row r="1101" spans="1:25">
      <c r="A1101" t="s">
        <v>1214</v>
      </c>
      <c r="B1101" s="1">
        <v>44938</v>
      </c>
      <c r="C1101" s="2">
        <v>0.65625</v>
      </c>
      <c r="D1101" t="s">
        <v>26</v>
      </c>
      <c r="E1101" t="s">
        <v>147</v>
      </c>
      <c r="F1101" t="s">
        <v>107</v>
      </c>
      <c r="G1101" t="s">
        <v>99</v>
      </c>
      <c r="H1101" s="2">
        <v>0.65833333333333333</v>
      </c>
      <c r="I1101" s="2">
        <v>0.68541666666666667</v>
      </c>
      <c r="J1101">
        <v>2</v>
      </c>
      <c r="K1101">
        <v>20</v>
      </c>
      <c r="L1101" t="s">
        <v>38</v>
      </c>
      <c r="M1101">
        <v>-4.3</v>
      </c>
      <c r="N1101">
        <v>52</v>
      </c>
      <c r="O1101">
        <v>46</v>
      </c>
      <c r="P1101">
        <v>5.4</v>
      </c>
      <c r="Q1101" t="s">
        <v>31</v>
      </c>
      <c r="R1101">
        <v>0</v>
      </c>
      <c r="S1101">
        <v>6</v>
      </c>
      <c r="T1101">
        <v>1</v>
      </c>
      <c r="U1101">
        <v>0</v>
      </c>
      <c r="V1101">
        <v>3</v>
      </c>
      <c r="W1101" t="s">
        <v>39</v>
      </c>
      <c r="X1101">
        <v>1</v>
      </c>
      <c r="Y1101" t="str">
        <f t="shared" si="17"/>
        <v>Low</v>
      </c>
    </row>
    <row r="1102" spans="1:25">
      <c r="A1102" t="s">
        <v>1215</v>
      </c>
      <c r="B1102" s="1">
        <v>44938</v>
      </c>
      <c r="C1102" s="2">
        <v>0.66666666666666663</v>
      </c>
      <c r="D1102" t="s">
        <v>26</v>
      </c>
      <c r="E1102" t="s">
        <v>61</v>
      </c>
      <c r="F1102" t="s">
        <v>96</v>
      </c>
      <c r="G1102" t="s">
        <v>123</v>
      </c>
      <c r="H1102" s="2">
        <v>0.66805555555555551</v>
      </c>
      <c r="I1102" s="2">
        <v>0.69861111111111107</v>
      </c>
      <c r="J1102">
        <v>8</v>
      </c>
      <c r="K1102">
        <v>15</v>
      </c>
      <c r="L1102" t="s">
        <v>30</v>
      </c>
      <c r="M1102">
        <v>0.1</v>
      </c>
      <c r="N1102">
        <v>83</v>
      </c>
      <c r="O1102">
        <v>2</v>
      </c>
      <c r="P1102">
        <v>14.1</v>
      </c>
      <c r="Q1102" t="s">
        <v>71</v>
      </c>
      <c r="R1102">
        <v>0</v>
      </c>
      <c r="S1102">
        <v>29</v>
      </c>
      <c r="T1102">
        <v>0</v>
      </c>
      <c r="U1102">
        <v>0</v>
      </c>
      <c r="V1102">
        <v>3</v>
      </c>
      <c r="W1102" t="s">
        <v>32</v>
      </c>
      <c r="X1102">
        <v>1</v>
      </c>
      <c r="Y1102" t="str">
        <f t="shared" si="17"/>
        <v>Low</v>
      </c>
    </row>
    <row r="1103" spans="1:25">
      <c r="A1103" t="s">
        <v>1216</v>
      </c>
      <c r="B1103" s="1">
        <v>44938</v>
      </c>
      <c r="C1103" s="2">
        <v>0.67708333333333337</v>
      </c>
      <c r="D1103" t="s">
        <v>74</v>
      </c>
      <c r="E1103" t="s">
        <v>161</v>
      </c>
      <c r="F1103" t="s">
        <v>28</v>
      </c>
      <c r="G1103" t="s">
        <v>142</v>
      </c>
      <c r="H1103" s="2">
        <v>0.67777777777777781</v>
      </c>
      <c r="I1103" s="2">
        <v>0.69722222222222219</v>
      </c>
      <c r="J1103">
        <v>14</v>
      </c>
      <c r="K1103">
        <v>0</v>
      </c>
      <c r="L1103" t="s">
        <v>54</v>
      </c>
      <c r="M1103">
        <v>14.8</v>
      </c>
      <c r="N1103">
        <v>57</v>
      </c>
      <c r="O1103">
        <v>0</v>
      </c>
      <c r="P1103">
        <v>19.600000000000001</v>
      </c>
      <c r="Q1103" t="s">
        <v>71</v>
      </c>
      <c r="R1103">
        <v>0</v>
      </c>
      <c r="S1103">
        <v>65</v>
      </c>
      <c r="T1103">
        <v>0</v>
      </c>
      <c r="U1103">
        <v>1</v>
      </c>
      <c r="V1103">
        <v>3</v>
      </c>
      <c r="W1103" t="s">
        <v>39</v>
      </c>
      <c r="X1103">
        <v>0</v>
      </c>
      <c r="Y1103" t="str">
        <f t="shared" si="17"/>
        <v>Medium</v>
      </c>
    </row>
    <row r="1104" spans="1:25">
      <c r="A1104" t="s">
        <v>1217</v>
      </c>
      <c r="B1104" s="1">
        <v>44938</v>
      </c>
      <c r="C1104" s="2">
        <v>0.6875</v>
      </c>
      <c r="D1104" t="s">
        <v>34</v>
      </c>
      <c r="E1104" t="s">
        <v>130</v>
      </c>
      <c r="F1104" t="s">
        <v>100</v>
      </c>
      <c r="G1104" t="s">
        <v>36</v>
      </c>
      <c r="H1104" s="2">
        <v>0.68819444444444444</v>
      </c>
      <c r="I1104" s="2">
        <v>0.71805555555555556</v>
      </c>
      <c r="J1104">
        <v>2</v>
      </c>
      <c r="K1104">
        <v>29</v>
      </c>
      <c r="L1104" t="s">
        <v>84</v>
      </c>
      <c r="M1104">
        <v>13.4</v>
      </c>
      <c r="N1104">
        <v>48</v>
      </c>
      <c r="O1104">
        <v>14</v>
      </c>
      <c r="P1104">
        <v>0.8</v>
      </c>
      <c r="Q1104" t="s">
        <v>101</v>
      </c>
      <c r="R1104">
        <v>0</v>
      </c>
      <c r="S1104">
        <v>29</v>
      </c>
      <c r="T1104">
        <v>0</v>
      </c>
      <c r="U1104">
        <v>0</v>
      </c>
      <c r="V1104">
        <v>3</v>
      </c>
      <c r="W1104" t="s">
        <v>55</v>
      </c>
      <c r="X1104">
        <v>1</v>
      </c>
      <c r="Y1104" t="str">
        <f t="shared" si="17"/>
        <v>Low</v>
      </c>
    </row>
    <row r="1105" spans="1:25">
      <c r="A1105" t="s">
        <v>1218</v>
      </c>
      <c r="B1105" s="1">
        <v>44938</v>
      </c>
      <c r="C1105" s="2">
        <v>0.69791666666666663</v>
      </c>
      <c r="D1105" t="s">
        <v>41</v>
      </c>
      <c r="E1105" t="s">
        <v>48</v>
      </c>
      <c r="F1105" t="s">
        <v>37</v>
      </c>
      <c r="G1105" t="s">
        <v>113</v>
      </c>
      <c r="H1105" s="2">
        <v>0.7006944444444444</v>
      </c>
      <c r="I1105" s="2">
        <v>0.72013888888888888</v>
      </c>
      <c r="J1105">
        <v>17</v>
      </c>
      <c r="K1105">
        <v>-2</v>
      </c>
      <c r="L1105" t="s">
        <v>84</v>
      </c>
      <c r="M1105">
        <v>23.3</v>
      </c>
      <c r="N1105">
        <v>77</v>
      </c>
      <c r="O1105">
        <v>19</v>
      </c>
      <c r="P1105">
        <v>11.3</v>
      </c>
      <c r="Q1105" t="s">
        <v>31</v>
      </c>
      <c r="R1105">
        <v>2000</v>
      </c>
      <c r="S1105">
        <v>67</v>
      </c>
      <c r="T1105">
        <v>0</v>
      </c>
      <c r="U1105">
        <v>0</v>
      </c>
      <c r="V1105">
        <v>3</v>
      </c>
      <c r="W1105" t="s">
        <v>32</v>
      </c>
      <c r="X1105">
        <v>0</v>
      </c>
      <c r="Y1105" t="str">
        <f t="shared" si="17"/>
        <v>High</v>
      </c>
    </row>
    <row r="1106" spans="1:25">
      <c r="A1106" t="s">
        <v>1219</v>
      </c>
      <c r="B1106" s="1">
        <v>44938</v>
      </c>
      <c r="C1106" s="2">
        <v>0.70833333333333337</v>
      </c>
      <c r="D1106" t="s">
        <v>74</v>
      </c>
      <c r="E1106" t="s">
        <v>104</v>
      </c>
      <c r="F1106" t="s">
        <v>116</v>
      </c>
      <c r="G1106" t="s">
        <v>65</v>
      </c>
      <c r="H1106" s="2">
        <v>0.71111111111111114</v>
      </c>
      <c r="I1106" s="2">
        <v>0.73263888888888884</v>
      </c>
      <c r="J1106">
        <v>0</v>
      </c>
      <c r="K1106">
        <v>9</v>
      </c>
      <c r="L1106" t="s">
        <v>54</v>
      </c>
      <c r="M1106">
        <v>-1.4</v>
      </c>
      <c r="N1106">
        <v>31</v>
      </c>
      <c r="O1106">
        <v>21</v>
      </c>
      <c r="P1106">
        <v>14.7</v>
      </c>
      <c r="Q1106" t="s">
        <v>31</v>
      </c>
      <c r="R1106">
        <v>50000</v>
      </c>
      <c r="S1106">
        <v>57</v>
      </c>
      <c r="T1106">
        <v>0</v>
      </c>
      <c r="U1106">
        <v>0</v>
      </c>
      <c r="V1106">
        <v>3</v>
      </c>
      <c r="W1106" t="s">
        <v>72</v>
      </c>
      <c r="X1106">
        <v>1</v>
      </c>
      <c r="Y1106" t="str">
        <f t="shared" si="17"/>
        <v>Medium</v>
      </c>
    </row>
    <row r="1107" spans="1:25">
      <c r="A1107" t="s">
        <v>1220</v>
      </c>
      <c r="B1107" s="1">
        <v>44938</v>
      </c>
      <c r="C1107" s="2">
        <v>0.71875</v>
      </c>
      <c r="D1107" t="s">
        <v>34</v>
      </c>
      <c r="E1107" t="s">
        <v>35</v>
      </c>
      <c r="F1107" t="s">
        <v>163</v>
      </c>
      <c r="G1107" t="s">
        <v>122</v>
      </c>
      <c r="H1107" s="2">
        <v>0.71875</v>
      </c>
      <c r="I1107" s="2">
        <v>0.75555555555555554</v>
      </c>
      <c r="J1107">
        <v>2</v>
      </c>
      <c r="K1107">
        <v>26</v>
      </c>
      <c r="L1107" t="s">
        <v>30</v>
      </c>
      <c r="M1107">
        <v>20.8</v>
      </c>
      <c r="N1107">
        <v>40</v>
      </c>
      <c r="O1107">
        <v>33</v>
      </c>
      <c r="P1107">
        <v>5.0999999999999996</v>
      </c>
      <c r="Q1107" t="s">
        <v>63</v>
      </c>
      <c r="R1107">
        <v>10000</v>
      </c>
      <c r="S1107">
        <v>54</v>
      </c>
      <c r="T1107">
        <v>1</v>
      </c>
      <c r="U1107">
        <v>1</v>
      </c>
      <c r="V1107">
        <v>3</v>
      </c>
      <c r="W1107" t="s">
        <v>72</v>
      </c>
      <c r="X1107">
        <v>1</v>
      </c>
      <c r="Y1107" t="str">
        <f t="shared" si="17"/>
        <v>Medium</v>
      </c>
    </row>
    <row r="1108" spans="1:25">
      <c r="A1108" t="s">
        <v>1221</v>
      </c>
      <c r="B1108" s="1">
        <v>44938</v>
      </c>
      <c r="C1108" s="2">
        <v>0.72916666666666663</v>
      </c>
      <c r="D1108" t="s">
        <v>41</v>
      </c>
      <c r="E1108" t="s">
        <v>27</v>
      </c>
      <c r="F1108" t="s">
        <v>100</v>
      </c>
      <c r="G1108" t="s">
        <v>194</v>
      </c>
      <c r="H1108" s="2">
        <v>0.72916666666666663</v>
      </c>
      <c r="I1108" s="2">
        <v>0.7680555555555556</v>
      </c>
      <c r="J1108">
        <v>12</v>
      </c>
      <c r="K1108">
        <v>26</v>
      </c>
      <c r="L1108" t="s">
        <v>84</v>
      </c>
      <c r="M1108">
        <v>19.7</v>
      </c>
      <c r="N1108">
        <v>73</v>
      </c>
      <c r="O1108">
        <v>49</v>
      </c>
      <c r="P1108">
        <v>4.5</v>
      </c>
      <c r="Q1108" t="s">
        <v>31</v>
      </c>
      <c r="R1108">
        <v>0</v>
      </c>
      <c r="S1108">
        <v>13</v>
      </c>
      <c r="T1108">
        <v>0</v>
      </c>
      <c r="U1108">
        <v>0</v>
      </c>
      <c r="V1108">
        <v>3</v>
      </c>
      <c r="W1108" t="s">
        <v>39</v>
      </c>
      <c r="X1108">
        <v>1</v>
      </c>
      <c r="Y1108" t="str">
        <f t="shared" si="17"/>
        <v>Low</v>
      </c>
    </row>
    <row r="1109" spans="1:25">
      <c r="A1109" t="s">
        <v>1222</v>
      </c>
      <c r="B1109" s="1">
        <v>44938</v>
      </c>
      <c r="C1109" s="2">
        <v>0.73958333333333337</v>
      </c>
      <c r="D1109" t="s">
        <v>74</v>
      </c>
      <c r="E1109" t="s">
        <v>61</v>
      </c>
      <c r="F1109" t="s">
        <v>197</v>
      </c>
      <c r="G1109" t="s">
        <v>163</v>
      </c>
      <c r="H1109" s="2">
        <v>0.73958333333333337</v>
      </c>
      <c r="I1109" s="2">
        <v>0.7680555555555556</v>
      </c>
      <c r="J1109">
        <v>16</v>
      </c>
      <c r="K1109">
        <v>20</v>
      </c>
      <c r="L1109" t="s">
        <v>45</v>
      </c>
      <c r="M1109">
        <v>4.3</v>
      </c>
      <c r="N1109">
        <v>88</v>
      </c>
      <c r="O1109">
        <v>32</v>
      </c>
      <c r="P1109">
        <v>1.2</v>
      </c>
      <c r="Q1109" t="s">
        <v>31</v>
      </c>
      <c r="R1109">
        <v>500</v>
      </c>
      <c r="S1109">
        <v>76</v>
      </c>
      <c r="T1109">
        <v>0</v>
      </c>
      <c r="U1109">
        <v>0</v>
      </c>
      <c r="V1109">
        <v>3</v>
      </c>
      <c r="W1109" t="s">
        <v>55</v>
      </c>
      <c r="X1109">
        <v>1</v>
      </c>
      <c r="Y1109" t="str">
        <f t="shared" si="17"/>
        <v>High</v>
      </c>
    </row>
    <row r="1110" spans="1:25">
      <c r="A1110" t="s">
        <v>1223</v>
      </c>
      <c r="B1110" s="1">
        <v>44938</v>
      </c>
      <c r="C1110" s="2">
        <v>0.75</v>
      </c>
      <c r="D1110" t="s">
        <v>74</v>
      </c>
      <c r="E1110" t="s">
        <v>27</v>
      </c>
      <c r="F1110" t="s">
        <v>36</v>
      </c>
      <c r="G1110" t="s">
        <v>113</v>
      </c>
      <c r="H1110" s="2">
        <v>0.75277777777777777</v>
      </c>
      <c r="I1110" s="2">
        <v>0.77500000000000002</v>
      </c>
      <c r="J1110">
        <v>13</v>
      </c>
      <c r="K1110">
        <v>29</v>
      </c>
      <c r="L1110" t="s">
        <v>30</v>
      </c>
      <c r="M1110">
        <v>16.7</v>
      </c>
      <c r="N1110">
        <v>88</v>
      </c>
      <c r="O1110">
        <v>8</v>
      </c>
      <c r="P1110">
        <v>1.9</v>
      </c>
      <c r="Q1110" t="s">
        <v>31</v>
      </c>
      <c r="R1110">
        <v>0</v>
      </c>
      <c r="S1110">
        <v>88</v>
      </c>
      <c r="T1110">
        <v>0</v>
      </c>
      <c r="U1110">
        <v>0</v>
      </c>
      <c r="V1110">
        <v>3</v>
      </c>
      <c r="W1110" t="s">
        <v>39</v>
      </c>
      <c r="X1110">
        <v>1</v>
      </c>
      <c r="Y1110" t="str">
        <f t="shared" si="17"/>
        <v>High</v>
      </c>
    </row>
    <row r="1111" spans="1:25">
      <c r="A1111" t="s">
        <v>1224</v>
      </c>
      <c r="B1111" s="1">
        <v>44938</v>
      </c>
      <c r="C1111" s="2">
        <v>0.76041666666666663</v>
      </c>
      <c r="D1111" t="s">
        <v>26</v>
      </c>
      <c r="E1111" t="s">
        <v>52</v>
      </c>
      <c r="F1111" t="s">
        <v>66</v>
      </c>
      <c r="G1111" t="s">
        <v>36</v>
      </c>
      <c r="H1111" s="2">
        <v>0.76041666666666663</v>
      </c>
      <c r="I1111" s="2">
        <v>0.7895833333333333</v>
      </c>
      <c r="J1111">
        <v>5</v>
      </c>
      <c r="K1111">
        <v>6</v>
      </c>
      <c r="L1111" t="s">
        <v>45</v>
      </c>
      <c r="M1111">
        <v>3.9</v>
      </c>
      <c r="N1111">
        <v>67</v>
      </c>
      <c r="O1111">
        <v>2</v>
      </c>
      <c r="P1111">
        <v>13.1</v>
      </c>
      <c r="Q1111" t="s">
        <v>63</v>
      </c>
      <c r="R1111">
        <v>0</v>
      </c>
      <c r="S1111">
        <v>76</v>
      </c>
      <c r="T1111">
        <v>0</v>
      </c>
      <c r="U1111">
        <v>0</v>
      </c>
      <c r="V1111">
        <v>3</v>
      </c>
      <c r="W1111" t="s">
        <v>32</v>
      </c>
      <c r="X1111">
        <v>1</v>
      </c>
      <c r="Y1111" t="str">
        <f t="shared" si="17"/>
        <v>High</v>
      </c>
    </row>
    <row r="1112" spans="1:25">
      <c r="A1112" t="s">
        <v>1225</v>
      </c>
      <c r="B1112" s="1">
        <v>44938</v>
      </c>
      <c r="C1112" s="2">
        <v>0.77083333333333337</v>
      </c>
      <c r="D1112" t="s">
        <v>41</v>
      </c>
      <c r="E1112" t="s">
        <v>98</v>
      </c>
      <c r="F1112" t="s">
        <v>105</v>
      </c>
      <c r="G1112" t="s">
        <v>148</v>
      </c>
      <c r="H1112" s="2">
        <v>0.77083333333333337</v>
      </c>
      <c r="I1112" s="2">
        <v>0.80902777777777779</v>
      </c>
      <c r="J1112">
        <v>10</v>
      </c>
      <c r="K1112">
        <v>14</v>
      </c>
      <c r="L1112" t="s">
        <v>77</v>
      </c>
      <c r="M1112">
        <v>0.9</v>
      </c>
      <c r="N1112">
        <v>54</v>
      </c>
      <c r="O1112">
        <v>1</v>
      </c>
      <c r="P1112">
        <v>10.1</v>
      </c>
      <c r="Q1112" t="s">
        <v>46</v>
      </c>
      <c r="R1112">
        <v>10000</v>
      </c>
      <c r="S1112">
        <v>76</v>
      </c>
      <c r="T1112">
        <v>0</v>
      </c>
      <c r="U1112">
        <v>1</v>
      </c>
      <c r="V1112">
        <v>3</v>
      </c>
      <c r="W1112" t="s">
        <v>72</v>
      </c>
      <c r="X1112">
        <v>1</v>
      </c>
      <c r="Y1112" t="str">
        <f t="shared" si="17"/>
        <v>High</v>
      </c>
    </row>
    <row r="1113" spans="1:25">
      <c r="A1113" t="s">
        <v>1226</v>
      </c>
      <c r="B1113" s="1">
        <v>44938</v>
      </c>
      <c r="C1113" s="2">
        <v>0.78125</v>
      </c>
      <c r="D1113" t="s">
        <v>41</v>
      </c>
      <c r="E1113" t="s">
        <v>42</v>
      </c>
      <c r="F1113" t="s">
        <v>28</v>
      </c>
      <c r="G1113" t="s">
        <v>203</v>
      </c>
      <c r="H1113" s="2">
        <v>0.78263888888888888</v>
      </c>
      <c r="I1113" s="2">
        <v>0.80069444444444449</v>
      </c>
      <c r="J1113">
        <v>13</v>
      </c>
      <c r="K1113">
        <v>15</v>
      </c>
      <c r="L1113" t="s">
        <v>54</v>
      </c>
      <c r="M1113">
        <v>17.899999999999999</v>
      </c>
      <c r="N1113">
        <v>50</v>
      </c>
      <c r="O1113">
        <v>3</v>
      </c>
      <c r="P1113">
        <v>0.6</v>
      </c>
      <c r="Q1113" t="s">
        <v>31</v>
      </c>
      <c r="R1113">
        <v>0</v>
      </c>
      <c r="S1113">
        <v>36</v>
      </c>
      <c r="T1113">
        <v>0</v>
      </c>
      <c r="U1113">
        <v>0</v>
      </c>
      <c r="V1113">
        <v>3</v>
      </c>
      <c r="W1113" t="s">
        <v>72</v>
      </c>
      <c r="X1113">
        <v>1</v>
      </c>
      <c r="Y1113" t="str">
        <f t="shared" si="17"/>
        <v>Medium</v>
      </c>
    </row>
    <row r="1114" spans="1:25">
      <c r="A1114" t="s">
        <v>1227</v>
      </c>
      <c r="B1114" s="1">
        <v>44938</v>
      </c>
      <c r="C1114" s="2">
        <v>0.79166666666666663</v>
      </c>
      <c r="D1114" t="s">
        <v>34</v>
      </c>
      <c r="E1114" t="s">
        <v>52</v>
      </c>
      <c r="F1114" t="s">
        <v>118</v>
      </c>
      <c r="G1114" t="s">
        <v>151</v>
      </c>
      <c r="H1114" s="2">
        <v>0.79166666666666663</v>
      </c>
      <c r="I1114" s="2">
        <v>0.80625000000000002</v>
      </c>
      <c r="J1114">
        <v>0</v>
      </c>
      <c r="K1114">
        <v>3</v>
      </c>
      <c r="L1114" t="s">
        <v>30</v>
      </c>
      <c r="M1114">
        <v>34.1</v>
      </c>
      <c r="N1114">
        <v>71</v>
      </c>
      <c r="O1114">
        <v>15</v>
      </c>
      <c r="P1114">
        <v>19.399999999999999</v>
      </c>
      <c r="Q1114" t="s">
        <v>46</v>
      </c>
      <c r="R1114">
        <v>0</v>
      </c>
      <c r="S1114">
        <v>43</v>
      </c>
      <c r="T1114">
        <v>0</v>
      </c>
      <c r="U1114">
        <v>0</v>
      </c>
      <c r="V1114">
        <v>3</v>
      </c>
      <c r="W1114" t="s">
        <v>72</v>
      </c>
      <c r="X1114">
        <v>0</v>
      </c>
      <c r="Y1114" t="str">
        <f t="shared" si="17"/>
        <v>Medium</v>
      </c>
    </row>
    <row r="1115" spans="1:25">
      <c r="A1115" t="s">
        <v>1228</v>
      </c>
      <c r="B1115" s="1">
        <v>44938</v>
      </c>
      <c r="C1115" s="2">
        <v>0.80208333333333337</v>
      </c>
      <c r="D1115" t="s">
        <v>26</v>
      </c>
      <c r="E1115" t="s">
        <v>161</v>
      </c>
      <c r="F1115" t="s">
        <v>53</v>
      </c>
      <c r="G1115" t="s">
        <v>58</v>
      </c>
      <c r="H1115" s="2">
        <v>0.80277777777777781</v>
      </c>
      <c r="I1115" s="2">
        <v>0.83750000000000002</v>
      </c>
      <c r="J1115">
        <v>-2</v>
      </c>
      <c r="K1115">
        <v>15</v>
      </c>
      <c r="L1115" t="s">
        <v>30</v>
      </c>
      <c r="M1115">
        <v>4.5</v>
      </c>
      <c r="N1115">
        <v>65</v>
      </c>
      <c r="O1115">
        <v>53</v>
      </c>
      <c r="P1115">
        <v>13.1</v>
      </c>
      <c r="Q1115" t="s">
        <v>31</v>
      </c>
      <c r="R1115">
        <v>10000</v>
      </c>
      <c r="S1115">
        <v>5</v>
      </c>
      <c r="T1115">
        <v>0</v>
      </c>
      <c r="U1115">
        <v>1</v>
      </c>
      <c r="V1115">
        <v>3</v>
      </c>
      <c r="W1115" t="s">
        <v>72</v>
      </c>
      <c r="X1115">
        <v>1</v>
      </c>
      <c r="Y1115" t="str">
        <f t="shared" si="17"/>
        <v>Low</v>
      </c>
    </row>
    <row r="1116" spans="1:25">
      <c r="A1116" t="s">
        <v>1229</v>
      </c>
      <c r="B1116" s="1">
        <v>44938</v>
      </c>
      <c r="C1116" s="2">
        <v>0.8125</v>
      </c>
      <c r="D1116" t="s">
        <v>26</v>
      </c>
      <c r="E1116" t="s">
        <v>35</v>
      </c>
      <c r="F1116" t="s">
        <v>87</v>
      </c>
      <c r="G1116" t="s">
        <v>86</v>
      </c>
      <c r="H1116" s="2">
        <v>0.81527777777777777</v>
      </c>
      <c r="I1116" s="2">
        <v>0.84097222222222223</v>
      </c>
      <c r="J1116">
        <v>6</v>
      </c>
      <c r="K1116">
        <v>20</v>
      </c>
      <c r="L1116" t="s">
        <v>38</v>
      </c>
      <c r="M1116">
        <v>9.1999999999999993</v>
      </c>
      <c r="N1116">
        <v>38</v>
      </c>
      <c r="O1116">
        <v>32</v>
      </c>
      <c r="P1116">
        <v>10.3</v>
      </c>
      <c r="Q1116" t="s">
        <v>63</v>
      </c>
      <c r="R1116">
        <v>0</v>
      </c>
      <c r="S1116">
        <v>25</v>
      </c>
      <c r="T1116">
        <v>0</v>
      </c>
      <c r="U1116">
        <v>0</v>
      </c>
      <c r="V1116">
        <v>3</v>
      </c>
      <c r="W1116" t="s">
        <v>32</v>
      </c>
      <c r="X1116">
        <v>1</v>
      </c>
      <c r="Y1116" t="str">
        <f t="shared" si="17"/>
        <v>Low</v>
      </c>
    </row>
    <row r="1117" spans="1:25">
      <c r="A1117" t="s">
        <v>1230</v>
      </c>
      <c r="B1117" s="1">
        <v>44938</v>
      </c>
      <c r="C1117" s="2">
        <v>0.82291666666666663</v>
      </c>
      <c r="D1117" t="s">
        <v>26</v>
      </c>
      <c r="E1117" t="s">
        <v>61</v>
      </c>
      <c r="F1117" t="s">
        <v>148</v>
      </c>
      <c r="G1117" t="s">
        <v>50</v>
      </c>
      <c r="H1117" s="2">
        <v>0.82499999999999996</v>
      </c>
      <c r="I1117" s="2">
        <v>0.84513888888888888</v>
      </c>
      <c r="J1117">
        <v>6</v>
      </c>
      <c r="K1117">
        <v>11</v>
      </c>
      <c r="L1117" t="s">
        <v>38</v>
      </c>
      <c r="M1117">
        <v>5.3</v>
      </c>
      <c r="N1117">
        <v>41</v>
      </c>
      <c r="O1117">
        <v>8</v>
      </c>
      <c r="P1117">
        <v>5.5</v>
      </c>
      <c r="Q1117" t="s">
        <v>31</v>
      </c>
      <c r="R1117">
        <v>50000</v>
      </c>
      <c r="S1117">
        <v>13</v>
      </c>
      <c r="T1117">
        <v>0</v>
      </c>
      <c r="U1117">
        <v>0</v>
      </c>
      <c r="V1117">
        <v>3</v>
      </c>
      <c r="W1117" t="s">
        <v>72</v>
      </c>
      <c r="X1117">
        <v>1</v>
      </c>
      <c r="Y1117" t="str">
        <f t="shared" si="17"/>
        <v>Low</v>
      </c>
    </row>
    <row r="1118" spans="1:25">
      <c r="A1118" t="s">
        <v>1231</v>
      </c>
      <c r="B1118" s="1">
        <v>44938</v>
      </c>
      <c r="C1118" s="2">
        <v>0.83333333333333337</v>
      </c>
      <c r="D1118" t="s">
        <v>26</v>
      </c>
      <c r="E1118" t="s">
        <v>130</v>
      </c>
      <c r="F1118" t="s">
        <v>122</v>
      </c>
      <c r="G1118" t="s">
        <v>105</v>
      </c>
      <c r="H1118" s="2">
        <v>0.83472222222222225</v>
      </c>
      <c r="I1118" s="2">
        <v>0.8520833333333333</v>
      </c>
      <c r="J1118">
        <v>19</v>
      </c>
      <c r="K1118">
        <v>19</v>
      </c>
      <c r="L1118" t="s">
        <v>54</v>
      </c>
      <c r="M1118">
        <v>5.7</v>
      </c>
      <c r="N1118">
        <v>39</v>
      </c>
      <c r="O1118">
        <v>56</v>
      </c>
      <c r="P1118">
        <v>13.2</v>
      </c>
      <c r="Q1118" t="s">
        <v>46</v>
      </c>
      <c r="R1118">
        <v>0</v>
      </c>
      <c r="S1118">
        <v>7</v>
      </c>
      <c r="T1118">
        <v>0</v>
      </c>
      <c r="U1118">
        <v>0</v>
      </c>
      <c r="V1118">
        <v>3</v>
      </c>
      <c r="W1118" t="s">
        <v>39</v>
      </c>
      <c r="X1118">
        <v>1</v>
      </c>
      <c r="Y1118" t="str">
        <f t="shared" si="17"/>
        <v>Low</v>
      </c>
    </row>
    <row r="1119" spans="1:25">
      <c r="A1119" t="s">
        <v>1232</v>
      </c>
      <c r="B1119" s="1">
        <v>44938</v>
      </c>
      <c r="C1119" s="2">
        <v>0.84375</v>
      </c>
      <c r="D1119" t="s">
        <v>41</v>
      </c>
      <c r="E1119" t="s">
        <v>161</v>
      </c>
      <c r="F1119" t="s">
        <v>86</v>
      </c>
      <c r="G1119" t="s">
        <v>203</v>
      </c>
      <c r="H1119" s="2">
        <v>0.84652777777777777</v>
      </c>
      <c r="I1119" s="2">
        <v>0.85763888888888884</v>
      </c>
      <c r="J1119">
        <v>14</v>
      </c>
      <c r="K1119">
        <v>0</v>
      </c>
      <c r="L1119" t="s">
        <v>30</v>
      </c>
      <c r="M1119">
        <v>11.2</v>
      </c>
      <c r="N1119">
        <v>88</v>
      </c>
      <c r="O1119">
        <v>39</v>
      </c>
      <c r="P1119">
        <v>7.3</v>
      </c>
      <c r="Q1119" t="s">
        <v>71</v>
      </c>
      <c r="R1119">
        <v>10000</v>
      </c>
      <c r="S1119">
        <v>23</v>
      </c>
      <c r="T1119">
        <v>0</v>
      </c>
      <c r="U1119">
        <v>0</v>
      </c>
      <c r="V1119">
        <v>3</v>
      </c>
      <c r="W1119" t="s">
        <v>72</v>
      </c>
      <c r="X1119">
        <v>0</v>
      </c>
      <c r="Y1119" t="str">
        <f t="shared" si="17"/>
        <v>Low</v>
      </c>
    </row>
    <row r="1120" spans="1:25">
      <c r="A1120" t="s">
        <v>1233</v>
      </c>
      <c r="B1120" s="1">
        <v>44938</v>
      </c>
      <c r="C1120" s="2">
        <v>0.85416666666666663</v>
      </c>
      <c r="D1120" t="s">
        <v>41</v>
      </c>
      <c r="E1120" t="s">
        <v>157</v>
      </c>
      <c r="F1120" t="s">
        <v>66</v>
      </c>
      <c r="G1120" t="s">
        <v>113</v>
      </c>
      <c r="H1120" s="2">
        <v>0.8569444444444444</v>
      </c>
      <c r="I1120" s="2">
        <v>0.87916666666666665</v>
      </c>
      <c r="J1120">
        <v>-1</v>
      </c>
      <c r="K1120">
        <v>0</v>
      </c>
      <c r="L1120" t="s">
        <v>77</v>
      </c>
      <c r="M1120">
        <v>23.1</v>
      </c>
      <c r="N1120">
        <v>34</v>
      </c>
      <c r="O1120">
        <v>37</v>
      </c>
      <c r="P1120">
        <v>14</v>
      </c>
      <c r="Q1120" t="s">
        <v>31</v>
      </c>
      <c r="R1120">
        <v>0</v>
      </c>
      <c r="S1120">
        <v>85</v>
      </c>
      <c r="T1120">
        <v>0</v>
      </c>
      <c r="U1120">
        <v>0</v>
      </c>
      <c r="V1120">
        <v>3</v>
      </c>
      <c r="W1120" t="s">
        <v>32</v>
      </c>
      <c r="X1120">
        <v>0</v>
      </c>
      <c r="Y1120" t="str">
        <f t="shared" si="17"/>
        <v>High</v>
      </c>
    </row>
    <row r="1121" spans="1:25">
      <c r="A1121" t="s">
        <v>1234</v>
      </c>
      <c r="B1121" s="1">
        <v>44938</v>
      </c>
      <c r="C1121" s="2">
        <v>0.86458333333333337</v>
      </c>
      <c r="D1121" t="s">
        <v>74</v>
      </c>
      <c r="E1121" t="s">
        <v>52</v>
      </c>
      <c r="F1121" t="s">
        <v>70</v>
      </c>
      <c r="G1121" t="s">
        <v>44</v>
      </c>
      <c r="H1121" s="2">
        <v>0.86527777777777781</v>
      </c>
      <c r="I1121" s="2">
        <v>0.88611111111111107</v>
      </c>
      <c r="J1121">
        <v>6</v>
      </c>
      <c r="K1121">
        <v>1</v>
      </c>
      <c r="L1121" t="s">
        <v>84</v>
      </c>
      <c r="M1121">
        <v>-3.4</v>
      </c>
      <c r="N1121">
        <v>62</v>
      </c>
      <c r="O1121">
        <v>51</v>
      </c>
      <c r="P1121">
        <v>13.7</v>
      </c>
      <c r="Q1121" t="s">
        <v>101</v>
      </c>
      <c r="R1121">
        <v>0</v>
      </c>
      <c r="S1121">
        <v>38</v>
      </c>
      <c r="T1121">
        <v>0</v>
      </c>
      <c r="U1121">
        <v>0</v>
      </c>
      <c r="V1121">
        <v>3</v>
      </c>
      <c r="W1121" t="s">
        <v>55</v>
      </c>
      <c r="X1121">
        <v>0</v>
      </c>
      <c r="Y1121" t="str">
        <f t="shared" si="17"/>
        <v>Medium</v>
      </c>
    </row>
    <row r="1122" spans="1:25">
      <c r="A1122" t="s">
        <v>1235</v>
      </c>
      <c r="B1122" s="1">
        <v>44938</v>
      </c>
      <c r="C1122" s="2">
        <v>0.875</v>
      </c>
      <c r="D1122" t="s">
        <v>74</v>
      </c>
      <c r="E1122" t="s">
        <v>130</v>
      </c>
      <c r="F1122" t="s">
        <v>87</v>
      </c>
      <c r="G1122" t="s">
        <v>69</v>
      </c>
      <c r="H1122" s="2">
        <v>0.875</v>
      </c>
      <c r="I1122" s="2">
        <v>0.89097222222222228</v>
      </c>
      <c r="J1122">
        <v>16</v>
      </c>
      <c r="K1122">
        <v>19</v>
      </c>
      <c r="L1122" t="s">
        <v>54</v>
      </c>
      <c r="M1122">
        <v>33.299999999999997</v>
      </c>
      <c r="N1122">
        <v>98</v>
      </c>
      <c r="O1122">
        <v>17</v>
      </c>
      <c r="P1122">
        <v>1.9</v>
      </c>
      <c r="Q1122" t="s">
        <v>31</v>
      </c>
      <c r="R1122">
        <v>0</v>
      </c>
      <c r="S1122">
        <v>48</v>
      </c>
      <c r="T1122">
        <v>0</v>
      </c>
      <c r="U1122">
        <v>0</v>
      </c>
      <c r="V1122">
        <v>3</v>
      </c>
      <c r="W1122" t="s">
        <v>55</v>
      </c>
      <c r="X1122">
        <v>1</v>
      </c>
      <c r="Y1122" t="str">
        <f t="shared" si="17"/>
        <v>Medium</v>
      </c>
    </row>
    <row r="1123" spans="1:25">
      <c r="A1123" t="s">
        <v>1236</v>
      </c>
      <c r="B1123" s="1">
        <v>44938</v>
      </c>
      <c r="C1123" s="2">
        <v>0.88541666666666663</v>
      </c>
      <c r="D1123" t="s">
        <v>26</v>
      </c>
      <c r="E1123" t="s">
        <v>98</v>
      </c>
      <c r="F1123" t="s">
        <v>168</v>
      </c>
      <c r="G1123" t="s">
        <v>168</v>
      </c>
      <c r="H1123" s="2">
        <v>0.88611111111111107</v>
      </c>
      <c r="I1123" s="2">
        <v>0.90763888888888888</v>
      </c>
      <c r="J1123">
        <v>10</v>
      </c>
      <c r="K1123">
        <v>7</v>
      </c>
      <c r="L1123" t="s">
        <v>54</v>
      </c>
      <c r="M1123">
        <v>-3.1</v>
      </c>
      <c r="N1123">
        <v>92</v>
      </c>
      <c r="O1123">
        <v>15</v>
      </c>
      <c r="P1123">
        <v>18.2</v>
      </c>
      <c r="Q1123" t="s">
        <v>71</v>
      </c>
      <c r="R1123">
        <v>2000</v>
      </c>
      <c r="S1123">
        <v>84</v>
      </c>
      <c r="T1123">
        <v>0</v>
      </c>
      <c r="U1123">
        <v>0</v>
      </c>
      <c r="V1123">
        <v>3</v>
      </c>
      <c r="W1123" t="s">
        <v>72</v>
      </c>
      <c r="X1123">
        <v>1</v>
      </c>
      <c r="Y1123" t="str">
        <f t="shared" si="17"/>
        <v>High</v>
      </c>
    </row>
    <row r="1124" spans="1:25">
      <c r="A1124" t="s">
        <v>1237</v>
      </c>
      <c r="B1124" s="1">
        <v>44938</v>
      </c>
      <c r="C1124" s="2">
        <v>0.89583333333333337</v>
      </c>
      <c r="D1124" t="s">
        <v>26</v>
      </c>
      <c r="E1124" t="s">
        <v>141</v>
      </c>
      <c r="F1124" t="s">
        <v>185</v>
      </c>
      <c r="G1124" t="s">
        <v>128</v>
      </c>
      <c r="H1124" s="2">
        <v>0.89583333333333337</v>
      </c>
      <c r="I1124" s="2">
        <v>0.93055555555555558</v>
      </c>
      <c r="J1124">
        <v>2</v>
      </c>
      <c r="K1124">
        <v>7</v>
      </c>
      <c r="L1124" t="s">
        <v>38</v>
      </c>
      <c r="M1124">
        <v>30.3</v>
      </c>
      <c r="N1124">
        <v>58</v>
      </c>
      <c r="O1124">
        <v>7</v>
      </c>
      <c r="P1124">
        <v>9.6999999999999993</v>
      </c>
      <c r="Q1124" t="s">
        <v>46</v>
      </c>
      <c r="R1124">
        <v>10000</v>
      </c>
      <c r="S1124">
        <v>62</v>
      </c>
      <c r="T1124">
        <v>0</v>
      </c>
      <c r="U1124">
        <v>0</v>
      </c>
      <c r="V1124">
        <v>3</v>
      </c>
      <c r="W1124" t="s">
        <v>55</v>
      </c>
      <c r="X1124">
        <v>1</v>
      </c>
      <c r="Y1124" t="str">
        <f t="shared" si="17"/>
        <v>Medium</v>
      </c>
    </row>
    <row r="1125" spans="1:25">
      <c r="A1125" t="s">
        <v>1238</v>
      </c>
      <c r="B1125" s="1">
        <v>44938</v>
      </c>
      <c r="C1125" s="2">
        <v>0.90625</v>
      </c>
      <c r="D1125" t="s">
        <v>26</v>
      </c>
      <c r="E1125" t="s">
        <v>147</v>
      </c>
      <c r="F1125" t="s">
        <v>37</v>
      </c>
      <c r="G1125" t="s">
        <v>194</v>
      </c>
      <c r="H1125" s="2">
        <v>0.90625</v>
      </c>
      <c r="I1125" s="2">
        <v>0.9243055555555556</v>
      </c>
      <c r="J1125">
        <v>6</v>
      </c>
      <c r="K1125">
        <v>9</v>
      </c>
      <c r="L1125" t="s">
        <v>77</v>
      </c>
      <c r="M1125">
        <v>30.8</v>
      </c>
      <c r="N1125">
        <v>47</v>
      </c>
      <c r="O1125">
        <v>22</v>
      </c>
      <c r="P1125">
        <v>7.9</v>
      </c>
      <c r="Q1125" t="s">
        <v>71</v>
      </c>
      <c r="R1125">
        <v>500</v>
      </c>
      <c r="S1125">
        <v>25</v>
      </c>
      <c r="T1125">
        <v>0</v>
      </c>
      <c r="U1125">
        <v>0</v>
      </c>
      <c r="V1125">
        <v>3</v>
      </c>
      <c r="W1125" t="s">
        <v>32</v>
      </c>
      <c r="X1125">
        <v>1</v>
      </c>
      <c r="Y1125" t="str">
        <f t="shared" si="17"/>
        <v>Low</v>
      </c>
    </row>
    <row r="1126" spans="1:25">
      <c r="A1126" t="s">
        <v>1239</v>
      </c>
      <c r="B1126" s="1">
        <v>44938</v>
      </c>
      <c r="C1126" s="2">
        <v>0.91666666666666663</v>
      </c>
      <c r="D1126" t="s">
        <v>74</v>
      </c>
      <c r="E1126" t="s">
        <v>98</v>
      </c>
      <c r="F1126" t="s">
        <v>69</v>
      </c>
      <c r="G1126" t="s">
        <v>116</v>
      </c>
      <c r="H1126" s="2">
        <v>0.9194444444444444</v>
      </c>
      <c r="I1126" s="2">
        <v>0.9458333333333333</v>
      </c>
      <c r="J1126">
        <v>10</v>
      </c>
      <c r="K1126">
        <v>10</v>
      </c>
      <c r="L1126" t="s">
        <v>54</v>
      </c>
      <c r="M1126">
        <v>16</v>
      </c>
      <c r="N1126">
        <v>35</v>
      </c>
      <c r="O1126">
        <v>59</v>
      </c>
      <c r="P1126">
        <v>19.100000000000001</v>
      </c>
      <c r="Q1126" t="s">
        <v>31</v>
      </c>
      <c r="R1126">
        <v>50000</v>
      </c>
      <c r="S1126">
        <v>9</v>
      </c>
      <c r="T1126">
        <v>0</v>
      </c>
      <c r="U1126">
        <v>0</v>
      </c>
      <c r="V1126">
        <v>3</v>
      </c>
      <c r="W1126" t="s">
        <v>72</v>
      </c>
      <c r="X1126">
        <v>1</v>
      </c>
      <c r="Y1126" t="str">
        <f t="shared" si="17"/>
        <v>Low</v>
      </c>
    </row>
    <row r="1127" spans="1:25">
      <c r="A1127" t="s">
        <v>1240</v>
      </c>
      <c r="B1127" s="1">
        <v>44938</v>
      </c>
      <c r="C1127" s="2">
        <v>0.92708333333333337</v>
      </c>
      <c r="D1127" t="s">
        <v>34</v>
      </c>
      <c r="E1127" t="s">
        <v>111</v>
      </c>
      <c r="F1127" t="s">
        <v>123</v>
      </c>
      <c r="G1127" t="s">
        <v>76</v>
      </c>
      <c r="H1127" s="2">
        <v>0.92708333333333337</v>
      </c>
      <c r="I1127" s="2">
        <v>0.95694444444444449</v>
      </c>
      <c r="J1127">
        <v>-2</v>
      </c>
      <c r="K1127">
        <v>4</v>
      </c>
      <c r="L1127" t="s">
        <v>77</v>
      </c>
      <c r="M1127">
        <v>0.5</v>
      </c>
      <c r="N1127">
        <v>82</v>
      </c>
      <c r="O1127">
        <v>35</v>
      </c>
      <c r="P1127">
        <v>8.8000000000000007</v>
      </c>
      <c r="Q1127" t="s">
        <v>63</v>
      </c>
      <c r="R1127">
        <v>10000</v>
      </c>
      <c r="S1127">
        <v>76</v>
      </c>
      <c r="T1127">
        <v>0</v>
      </c>
      <c r="U1127">
        <v>0</v>
      </c>
      <c r="V1127">
        <v>3</v>
      </c>
      <c r="W1127" t="s">
        <v>32</v>
      </c>
      <c r="X1127">
        <v>0</v>
      </c>
      <c r="Y1127" t="str">
        <f t="shared" si="17"/>
        <v>High</v>
      </c>
    </row>
    <row r="1128" spans="1:25">
      <c r="A1128" t="s">
        <v>1241</v>
      </c>
      <c r="B1128" s="1">
        <v>44938</v>
      </c>
      <c r="C1128" s="2">
        <v>0.9375</v>
      </c>
      <c r="D1128" t="s">
        <v>34</v>
      </c>
      <c r="E1128" t="s">
        <v>104</v>
      </c>
      <c r="F1128" t="s">
        <v>70</v>
      </c>
      <c r="G1128" t="s">
        <v>118</v>
      </c>
      <c r="H1128" s="2">
        <v>0.93888888888888888</v>
      </c>
      <c r="I1128" s="2">
        <v>0.95416666666666672</v>
      </c>
      <c r="J1128">
        <v>12</v>
      </c>
      <c r="K1128">
        <v>21</v>
      </c>
      <c r="L1128" t="s">
        <v>54</v>
      </c>
      <c r="M1128">
        <v>17.600000000000001</v>
      </c>
      <c r="N1128">
        <v>61</v>
      </c>
      <c r="O1128">
        <v>2</v>
      </c>
      <c r="P1128">
        <v>14.4</v>
      </c>
      <c r="Q1128" t="s">
        <v>31</v>
      </c>
      <c r="R1128">
        <v>0</v>
      </c>
      <c r="S1128">
        <v>57</v>
      </c>
      <c r="T1128">
        <v>0</v>
      </c>
      <c r="U1128">
        <v>0</v>
      </c>
      <c r="V1128">
        <v>3</v>
      </c>
      <c r="W1128" t="s">
        <v>55</v>
      </c>
      <c r="X1128">
        <v>1</v>
      </c>
      <c r="Y1128" t="str">
        <f t="shared" si="17"/>
        <v>Medium</v>
      </c>
    </row>
    <row r="1129" spans="1:25">
      <c r="A1129" t="s">
        <v>1242</v>
      </c>
      <c r="B1129" s="1">
        <v>44938</v>
      </c>
      <c r="C1129" s="2">
        <v>0.94791666666666663</v>
      </c>
      <c r="D1129" t="s">
        <v>74</v>
      </c>
      <c r="E1129" t="s">
        <v>141</v>
      </c>
      <c r="F1129" t="s">
        <v>113</v>
      </c>
      <c r="G1129" t="s">
        <v>122</v>
      </c>
      <c r="H1129" s="2">
        <v>0.94930555555555551</v>
      </c>
      <c r="I1129" s="2">
        <v>0.96458333333333335</v>
      </c>
      <c r="J1129">
        <v>1</v>
      </c>
      <c r="K1129">
        <v>14</v>
      </c>
      <c r="L1129" t="s">
        <v>38</v>
      </c>
      <c r="M1129">
        <v>20.100000000000001</v>
      </c>
      <c r="N1129">
        <v>71</v>
      </c>
      <c r="O1129">
        <v>14</v>
      </c>
      <c r="P1129">
        <v>13.1</v>
      </c>
      <c r="Q1129" t="s">
        <v>71</v>
      </c>
      <c r="R1129">
        <v>500</v>
      </c>
      <c r="S1129">
        <v>13</v>
      </c>
      <c r="T1129">
        <v>0</v>
      </c>
      <c r="U1129">
        <v>1</v>
      </c>
      <c r="V1129">
        <v>3</v>
      </c>
      <c r="W1129" t="s">
        <v>55</v>
      </c>
      <c r="X1129">
        <v>1</v>
      </c>
      <c r="Y1129" t="str">
        <f t="shared" si="17"/>
        <v>Low</v>
      </c>
    </row>
    <row r="1130" spans="1:25">
      <c r="A1130" t="s">
        <v>1243</v>
      </c>
      <c r="B1130" s="1">
        <v>44938</v>
      </c>
      <c r="C1130" s="2">
        <v>0.95833333333333337</v>
      </c>
      <c r="D1130" t="s">
        <v>74</v>
      </c>
      <c r="E1130" t="s">
        <v>89</v>
      </c>
      <c r="F1130" t="s">
        <v>99</v>
      </c>
      <c r="G1130" t="s">
        <v>148</v>
      </c>
      <c r="H1130" s="2">
        <v>0.95972222222222225</v>
      </c>
      <c r="I1130" s="2">
        <v>0.98333333333333328</v>
      </c>
      <c r="J1130">
        <v>1</v>
      </c>
      <c r="K1130">
        <v>14</v>
      </c>
      <c r="L1130" t="s">
        <v>84</v>
      </c>
      <c r="M1130">
        <v>29.3</v>
      </c>
      <c r="N1130">
        <v>76</v>
      </c>
      <c r="O1130">
        <v>37</v>
      </c>
      <c r="P1130">
        <v>3.3</v>
      </c>
      <c r="Q1130" t="s">
        <v>46</v>
      </c>
      <c r="R1130">
        <v>0</v>
      </c>
      <c r="S1130">
        <v>72</v>
      </c>
      <c r="T1130">
        <v>0</v>
      </c>
      <c r="U1130">
        <v>1</v>
      </c>
      <c r="V1130">
        <v>3</v>
      </c>
      <c r="W1130" t="s">
        <v>72</v>
      </c>
      <c r="X1130">
        <v>1</v>
      </c>
      <c r="Y1130" t="str">
        <f t="shared" si="17"/>
        <v>High</v>
      </c>
    </row>
    <row r="1131" spans="1:25">
      <c r="A1131" t="s">
        <v>1244</v>
      </c>
      <c r="B1131" s="1">
        <v>44938</v>
      </c>
      <c r="C1131" s="2">
        <v>0.96875</v>
      </c>
      <c r="D1131" t="s">
        <v>74</v>
      </c>
      <c r="E1131" t="s">
        <v>42</v>
      </c>
      <c r="F1131" t="s">
        <v>43</v>
      </c>
      <c r="G1131" t="s">
        <v>29</v>
      </c>
      <c r="H1131" s="2">
        <v>0.97152777777777777</v>
      </c>
      <c r="I1131" s="2">
        <v>2.7777777777777779E-3</v>
      </c>
      <c r="J1131">
        <v>17</v>
      </c>
      <c r="K1131">
        <v>6</v>
      </c>
      <c r="L1131" t="s">
        <v>38</v>
      </c>
      <c r="M1131">
        <v>17</v>
      </c>
      <c r="N1131">
        <v>60</v>
      </c>
      <c r="O1131">
        <v>32</v>
      </c>
      <c r="P1131">
        <v>19.8</v>
      </c>
      <c r="Q1131" t="s">
        <v>101</v>
      </c>
      <c r="R1131">
        <v>0</v>
      </c>
      <c r="S1131">
        <v>70</v>
      </c>
      <c r="T1131">
        <v>1</v>
      </c>
      <c r="U1131">
        <v>0</v>
      </c>
      <c r="V1131">
        <v>3</v>
      </c>
      <c r="W1131" t="s">
        <v>55</v>
      </c>
      <c r="X1131">
        <v>1</v>
      </c>
      <c r="Y1131" t="str">
        <f t="shared" si="17"/>
        <v>High</v>
      </c>
    </row>
    <row r="1132" spans="1:25">
      <c r="A1132" t="s">
        <v>1245</v>
      </c>
      <c r="B1132" s="1">
        <v>44938</v>
      </c>
      <c r="C1132" s="2">
        <v>0.97916666666666663</v>
      </c>
      <c r="D1132" t="s">
        <v>74</v>
      </c>
      <c r="E1132" t="s">
        <v>93</v>
      </c>
      <c r="F1132" t="s">
        <v>194</v>
      </c>
      <c r="G1132" t="s">
        <v>80</v>
      </c>
      <c r="H1132" s="2">
        <v>0.97986111111111107</v>
      </c>
      <c r="I1132" s="2">
        <v>0.99861111111111112</v>
      </c>
      <c r="J1132">
        <v>7</v>
      </c>
      <c r="K1132">
        <v>3</v>
      </c>
      <c r="L1132" t="s">
        <v>54</v>
      </c>
      <c r="M1132">
        <v>11.4</v>
      </c>
      <c r="N1132">
        <v>91</v>
      </c>
      <c r="O1132">
        <v>17</v>
      </c>
      <c r="P1132">
        <v>9.3000000000000007</v>
      </c>
      <c r="Q1132" t="s">
        <v>71</v>
      </c>
      <c r="R1132">
        <v>0</v>
      </c>
      <c r="S1132">
        <v>38</v>
      </c>
      <c r="T1132">
        <v>0</v>
      </c>
      <c r="U1132">
        <v>1</v>
      </c>
      <c r="V1132">
        <v>3</v>
      </c>
      <c r="W1132" t="s">
        <v>72</v>
      </c>
      <c r="X1132">
        <v>0</v>
      </c>
      <c r="Y1132" t="str">
        <f t="shared" si="17"/>
        <v>Medium</v>
      </c>
    </row>
    <row r="1133" spans="1:25">
      <c r="A1133" t="s">
        <v>1246</v>
      </c>
      <c r="B1133" s="1">
        <v>44938</v>
      </c>
      <c r="C1133" s="2">
        <v>0.98958333333333337</v>
      </c>
      <c r="D1133" t="s">
        <v>74</v>
      </c>
      <c r="E1133" t="s">
        <v>89</v>
      </c>
      <c r="F1133" t="s">
        <v>105</v>
      </c>
      <c r="G1133" t="s">
        <v>50</v>
      </c>
      <c r="H1133" s="2">
        <v>0.9916666666666667</v>
      </c>
      <c r="I1133" s="2">
        <v>6.9444444444444441E-3</v>
      </c>
      <c r="J1133">
        <v>3</v>
      </c>
      <c r="K1133">
        <v>10</v>
      </c>
      <c r="L1133" t="s">
        <v>77</v>
      </c>
      <c r="M1133">
        <v>28.5</v>
      </c>
      <c r="N1133">
        <v>85</v>
      </c>
      <c r="O1133">
        <v>22</v>
      </c>
      <c r="P1133">
        <v>7.9</v>
      </c>
      <c r="Q1133" t="s">
        <v>31</v>
      </c>
      <c r="R1133">
        <v>0</v>
      </c>
      <c r="S1133">
        <v>30</v>
      </c>
      <c r="T1133">
        <v>0</v>
      </c>
      <c r="U1133">
        <v>1</v>
      </c>
      <c r="V1133">
        <v>3</v>
      </c>
      <c r="W1133" t="s">
        <v>72</v>
      </c>
      <c r="X1133">
        <v>1</v>
      </c>
      <c r="Y1133" t="str">
        <f t="shared" si="17"/>
        <v>Low</v>
      </c>
    </row>
    <row r="1134" spans="1:25">
      <c r="A1134" t="s">
        <v>1247</v>
      </c>
      <c r="B1134" s="1">
        <v>44939</v>
      </c>
      <c r="C1134" s="2">
        <v>0</v>
      </c>
      <c r="D1134" t="s">
        <v>74</v>
      </c>
      <c r="E1134" t="s">
        <v>126</v>
      </c>
      <c r="F1134" t="s">
        <v>66</v>
      </c>
      <c r="G1134" t="s">
        <v>75</v>
      </c>
      <c r="H1134" s="2">
        <v>0</v>
      </c>
      <c r="I1134" s="2">
        <v>3.0555555555555555E-2</v>
      </c>
      <c r="J1134">
        <v>9</v>
      </c>
      <c r="K1134">
        <v>11</v>
      </c>
      <c r="L1134" t="s">
        <v>45</v>
      </c>
      <c r="M1134">
        <v>34.200000000000003</v>
      </c>
      <c r="N1134">
        <v>40</v>
      </c>
      <c r="O1134">
        <v>42</v>
      </c>
      <c r="P1134">
        <v>18.399999999999999</v>
      </c>
      <c r="Q1134" t="s">
        <v>59</v>
      </c>
      <c r="R1134">
        <v>500</v>
      </c>
      <c r="S1134">
        <v>49</v>
      </c>
      <c r="T1134">
        <v>0</v>
      </c>
      <c r="U1134">
        <v>0</v>
      </c>
      <c r="V1134">
        <v>4</v>
      </c>
      <c r="W1134" t="s">
        <v>39</v>
      </c>
      <c r="X1134">
        <v>1</v>
      </c>
      <c r="Y1134" t="str">
        <f t="shared" si="17"/>
        <v>Medium</v>
      </c>
    </row>
    <row r="1135" spans="1:25">
      <c r="A1135" t="s">
        <v>1248</v>
      </c>
      <c r="B1135" s="1">
        <v>44939</v>
      </c>
      <c r="C1135" s="2">
        <v>1.0416666666666666E-2</v>
      </c>
      <c r="D1135" t="s">
        <v>26</v>
      </c>
      <c r="E1135" t="s">
        <v>157</v>
      </c>
      <c r="F1135" t="s">
        <v>105</v>
      </c>
      <c r="G1135" t="s">
        <v>29</v>
      </c>
      <c r="H1135" s="2">
        <v>1.2500000000000001E-2</v>
      </c>
      <c r="I1135" s="2">
        <v>3.6805555555555557E-2</v>
      </c>
      <c r="J1135">
        <v>17</v>
      </c>
      <c r="K1135">
        <v>12</v>
      </c>
      <c r="L1135" t="s">
        <v>38</v>
      </c>
      <c r="M1135">
        <v>20.8</v>
      </c>
      <c r="N1135">
        <v>55</v>
      </c>
      <c r="O1135">
        <v>2</v>
      </c>
      <c r="P1135">
        <v>10.6</v>
      </c>
      <c r="Q1135" t="s">
        <v>31</v>
      </c>
      <c r="R1135">
        <v>0</v>
      </c>
      <c r="S1135">
        <v>15</v>
      </c>
      <c r="T1135">
        <v>0</v>
      </c>
      <c r="U1135">
        <v>0</v>
      </c>
      <c r="V1135">
        <v>4</v>
      </c>
      <c r="W1135" t="s">
        <v>39</v>
      </c>
      <c r="X1135">
        <v>1</v>
      </c>
      <c r="Y1135" t="str">
        <f t="shared" si="17"/>
        <v>Low</v>
      </c>
    </row>
    <row r="1136" spans="1:25">
      <c r="A1136" t="s">
        <v>1249</v>
      </c>
      <c r="B1136" s="1">
        <v>44939</v>
      </c>
      <c r="C1136" s="2">
        <v>2.0833333333333332E-2</v>
      </c>
      <c r="D1136" t="s">
        <v>26</v>
      </c>
      <c r="E1136" t="s">
        <v>98</v>
      </c>
      <c r="F1136" t="s">
        <v>29</v>
      </c>
      <c r="G1136" t="s">
        <v>43</v>
      </c>
      <c r="H1136" s="2">
        <v>2.1527777777777778E-2</v>
      </c>
      <c r="I1136" s="2">
        <v>4.5138888888888888E-2</v>
      </c>
      <c r="J1136">
        <v>13</v>
      </c>
      <c r="K1136">
        <v>-2</v>
      </c>
      <c r="L1136" t="s">
        <v>77</v>
      </c>
      <c r="M1136">
        <v>30</v>
      </c>
      <c r="N1136">
        <v>56</v>
      </c>
      <c r="O1136">
        <v>29</v>
      </c>
      <c r="P1136">
        <v>14.1</v>
      </c>
      <c r="Q1136" t="s">
        <v>31</v>
      </c>
      <c r="R1136">
        <v>500</v>
      </c>
      <c r="S1136">
        <v>71</v>
      </c>
      <c r="T1136">
        <v>0</v>
      </c>
      <c r="U1136">
        <v>1</v>
      </c>
      <c r="V1136">
        <v>4</v>
      </c>
      <c r="W1136" t="s">
        <v>39</v>
      </c>
      <c r="X1136">
        <v>0</v>
      </c>
      <c r="Y1136" t="str">
        <f t="shared" si="17"/>
        <v>High</v>
      </c>
    </row>
    <row r="1137" spans="1:25">
      <c r="A1137" t="s">
        <v>1250</v>
      </c>
      <c r="B1137" s="1">
        <v>44939</v>
      </c>
      <c r="C1137" s="2">
        <v>3.125E-2</v>
      </c>
      <c r="D1137" t="s">
        <v>26</v>
      </c>
      <c r="E1137" t="s">
        <v>35</v>
      </c>
      <c r="F1137" t="s">
        <v>43</v>
      </c>
      <c r="G1137" t="s">
        <v>148</v>
      </c>
      <c r="H1137" s="2">
        <v>3.1944444444444442E-2</v>
      </c>
      <c r="I1137" s="2">
        <v>5.9027777777777776E-2</v>
      </c>
      <c r="J1137">
        <v>0</v>
      </c>
      <c r="K1137">
        <v>26</v>
      </c>
      <c r="L1137" t="s">
        <v>38</v>
      </c>
      <c r="M1137">
        <v>18.899999999999999</v>
      </c>
      <c r="N1137">
        <v>86</v>
      </c>
      <c r="O1137">
        <v>44</v>
      </c>
      <c r="P1137">
        <v>16.899999999999999</v>
      </c>
      <c r="Q1137" t="s">
        <v>101</v>
      </c>
      <c r="R1137">
        <v>50000</v>
      </c>
      <c r="S1137">
        <v>50</v>
      </c>
      <c r="T1137">
        <v>0</v>
      </c>
      <c r="U1137">
        <v>0</v>
      </c>
      <c r="V1137">
        <v>4</v>
      </c>
      <c r="W1137" t="s">
        <v>32</v>
      </c>
      <c r="X1137">
        <v>1</v>
      </c>
      <c r="Y1137" t="str">
        <f t="shared" si="17"/>
        <v>Medium</v>
      </c>
    </row>
    <row r="1138" spans="1:25">
      <c r="A1138" t="s">
        <v>1251</v>
      </c>
      <c r="B1138" s="1">
        <v>44939</v>
      </c>
      <c r="C1138" s="2">
        <v>4.1666666666666664E-2</v>
      </c>
      <c r="D1138" t="s">
        <v>26</v>
      </c>
      <c r="E1138" t="s">
        <v>57</v>
      </c>
      <c r="F1138" t="s">
        <v>69</v>
      </c>
      <c r="G1138" t="s">
        <v>69</v>
      </c>
      <c r="H1138" s="2">
        <v>4.4444444444444446E-2</v>
      </c>
      <c r="I1138" s="2">
        <v>5.6250000000000001E-2</v>
      </c>
      <c r="J1138">
        <v>11</v>
      </c>
      <c r="K1138">
        <v>26</v>
      </c>
      <c r="L1138" t="s">
        <v>54</v>
      </c>
      <c r="M1138">
        <v>22.6</v>
      </c>
      <c r="N1138">
        <v>56</v>
      </c>
      <c r="O1138">
        <v>16</v>
      </c>
      <c r="P1138">
        <v>4.7</v>
      </c>
      <c r="Q1138" t="s">
        <v>31</v>
      </c>
      <c r="R1138">
        <v>0</v>
      </c>
      <c r="S1138">
        <v>14</v>
      </c>
      <c r="T1138">
        <v>0</v>
      </c>
      <c r="U1138">
        <v>0</v>
      </c>
      <c r="V1138">
        <v>4</v>
      </c>
      <c r="W1138" t="s">
        <v>55</v>
      </c>
      <c r="X1138">
        <v>1</v>
      </c>
      <c r="Y1138" t="str">
        <f t="shared" si="17"/>
        <v>Low</v>
      </c>
    </row>
    <row r="1139" spans="1:25">
      <c r="A1139" t="s">
        <v>1252</v>
      </c>
      <c r="B1139" s="1">
        <v>44939</v>
      </c>
      <c r="C1139" s="2">
        <v>5.2083333333333336E-2</v>
      </c>
      <c r="D1139" t="s">
        <v>74</v>
      </c>
      <c r="E1139" t="s">
        <v>111</v>
      </c>
      <c r="F1139" t="s">
        <v>203</v>
      </c>
      <c r="G1139" t="s">
        <v>176</v>
      </c>
      <c r="H1139" s="2">
        <v>5.347222222222222E-2</v>
      </c>
      <c r="I1139" s="2">
        <v>7.2222222222222215E-2</v>
      </c>
      <c r="J1139">
        <v>-2</v>
      </c>
      <c r="K1139">
        <v>14</v>
      </c>
      <c r="L1139" t="s">
        <v>77</v>
      </c>
      <c r="M1139">
        <v>22.5</v>
      </c>
      <c r="N1139">
        <v>88</v>
      </c>
      <c r="O1139">
        <v>49</v>
      </c>
      <c r="P1139">
        <v>3.4</v>
      </c>
      <c r="Q1139" t="s">
        <v>31</v>
      </c>
      <c r="R1139">
        <v>2000</v>
      </c>
      <c r="S1139">
        <v>88</v>
      </c>
      <c r="T1139">
        <v>0</v>
      </c>
      <c r="U1139">
        <v>0</v>
      </c>
      <c r="V1139">
        <v>4</v>
      </c>
      <c r="W1139" t="s">
        <v>55</v>
      </c>
      <c r="X1139">
        <v>1</v>
      </c>
      <c r="Y1139" t="str">
        <f t="shared" si="17"/>
        <v>High</v>
      </c>
    </row>
    <row r="1140" spans="1:25">
      <c r="A1140" t="s">
        <v>1253</v>
      </c>
      <c r="B1140" s="1">
        <v>44939</v>
      </c>
      <c r="C1140" s="2">
        <v>6.25E-2</v>
      </c>
      <c r="D1140" t="s">
        <v>34</v>
      </c>
      <c r="E1140" t="s">
        <v>111</v>
      </c>
      <c r="F1140" t="s">
        <v>75</v>
      </c>
      <c r="G1140" t="s">
        <v>80</v>
      </c>
      <c r="H1140" s="2">
        <v>6.3888888888888884E-2</v>
      </c>
      <c r="I1140" s="2">
        <v>8.6805555555555552E-2</v>
      </c>
      <c r="J1140">
        <v>7</v>
      </c>
      <c r="K1140">
        <v>27</v>
      </c>
      <c r="L1140" t="s">
        <v>84</v>
      </c>
      <c r="M1140">
        <v>23.2</v>
      </c>
      <c r="N1140">
        <v>91</v>
      </c>
      <c r="O1140">
        <v>57</v>
      </c>
      <c r="P1140">
        <v>1.4</v>
      </c>
      <c r="Q1140" t="s">
        <v>31</v>
      </c>
      <c r="R1140">
        <v>500</v>
      </c>
      <c r="S1140">
        <v>37</v>
      </c>
      <c r="T1140">
        <v>0</v>
      </c>
      <c r="U1140">
        <v>0</v>
      </c>
      <c r="V1140">
        <v>4</v>
      </c>
      <c r="W1140" t="s">
        <v>39</v>
      </c>
      <c r="X1140">
        <v>1</v>
      </c>
      <c r="Y1140" t="str">
        <f t="shared" si="17"/>
        <v>Medium</v>
      </c>
    </row>
    <row r="1141" spans="1:25">
      <c r="A1141" t="s">
        <v>1254</v>
      </c>
      <c r="B1141" s="1">
        <v>44939</v>
      </c>
      <c r="C1141" s="2">
        <v>7.2916666666666671E-2</v>
      </c>
      <c r="D1141" t="s">
        <v>41</v>
      </c>
      <c r="E1141" t="s">
        <v>141</v>
      </c>
      <c r="F1141" t="s">
        <v>28</v>
      </c>
      <c r="G1141" t="s">
        <v>96</v>
      </c>
      <c r="H1141" s="2">
        <v>7.3611111111111113E-2</v>
      </c>
      <c r="I1141" s="2">
        <v>0.11180555555555556</v>
      </c>
      <c r="J1141">
        <v>12</v>
      </c>
      <c r="K1141">
        <v>9</v>
      </c>
      <c r="L1141" t="s">
        <v>77</v>
      </c>
      <c r="M1141">
        <v>7.8</v>
      </c>
      <c r="N1141">
        <v>49</v>
      </c>
      <c r="O1141">
        <v>57</v>
      </c>
      <c r="P1141">
        <v>17.899999999999999</v>
      </c>
      <c r="Q1141" t="s">
        <v>31</v>
      </c>
      <c r="R1141">
        <v>0</v>
      </c>
      <c r="S1141">
        <v>78</v>
      </c>
      <c r="T1141">
        <v>1</v>
      </c>
      <c r="U1141">
        <v>0</v>
      </c>
      <c r="V1141">
        <v>4</v>
      </c>
      <c r="W1141" t="s">
        <v>72</v>
      </c>
      <c r="X1141">
        <v>1</v>
      </c>
      <c r="Y1141" t="str">
        <f t="shared" si="17"/>
        <v>High</v>
      </c>
    </row>
    <row r="1142" spans="1:25">
      <c r="A1142" t="s">
        <v>1255</v>
      </c>
      <c r="B1142" s="1">
        <v>44939</v>
      </c>
      <c r="C1142" s="2">
        <v>8.3333333333333329E-2</v>
      </c>
      <c r="D1142" t="s">
        <v>74</v>
      </c>
      <c r="E1142" t="s">
        <v>126</v>
      </c>
      <c r="F1142" t="s">
        <v>91</v>
      </c>
      <c r="G1142" t="s">
        <v>49</v>
      </c>
      <c r="H1142" s="2">
        <v>8.611111111111111E-2</v>
      </c>
      <c r="I1142" s="2">
        <v>0.10694444444444444</v>
      </c>
      <c r="J1142">
        <v>4</v>
      </c>
      <c r="K1142">
        <v>16</v>
      </c>
      <c r="L1142" t="s">
        <v>30</v>
      </c>
      <c r="M1142">
        <v>18</v>
      </c>
      <c r="N1142">
        <v>32</v>
      </c>
      <c r="O1142">
        <v>31</v>
      </c>
      <c r="P1142">
        <v>4</v>
      </c>
      <c r="Q1142" t="s">
        <v>31</v>
      </c>
      <c r="R1142">
        <v>2000</v>
      </c>
      <c r="S1142">
        <v>88</v>
      </c>
      <c r="T1142">
        <v>0</v>
      </c>
      <c r="U1142">
        <v>0</v>
      </c>
      <c r="V1142">
        <v>4</v>
      </c>
      <c r="W1142" t="s">
        <v>72</v>
      </c>
      <c r="X1142">
        <v>1</v>
      </c>
      <c r="Y1142" t="str">
        <f t="shared" si="17"/>
        <v>High</v>
      </c>
    </row>
    <row r="1143" spans="1:25">
      <c r="A1143" t="s">
        <v>1256</v>
      </c>
      <c r="B1143" s="1">
        <v>44939</v>
      </c>
      <c r="C1143" s="2">
        <v>9.375E-2</v>
      </c>
      <c r="D1143" t="s">
        <v>41</v>
      </c>
      <c r="E1143" t="s">
        <v>147</v>
      </c>
      <c r="F1143" t="s">
        <v>154</v>
      </c>
      <c r="G1143" t="s">
        <v>118</v>
      </c>
      <c r="H1143" s="2">
        <v>9.6527777777777782E-2</v>
      </c>
      <c r="I1143" s="2">
        <v>0.11597222222222223</v>
      </c>
      <c r="J1143">
        <v>1</v>
      </c>
      <c r="K1143">
        <v>19</v>
      </c>
      <c r="L1143" t="s">
        <v>45</v>
      </c>
      <c r="M1143">
        <v>18.8</v>
      </c>
      <c r="N1143">
        <v>45</v>
      </c>
      <c r="O1143">
        <v>45</v>
      </c>
      <c r="P1143">
        <v>6.2</v>
      </c>
      <c r="Q1143" t="s">
        <v>31</v>
      </c>
      <c r="R1143">
        <v>0</v>
      </c>
      <c r="S1143">
        <v>70</v>
      </c>
      <c r="T1143">
        <v>1</v>
      </c>
      <c r="U1143">
        <v>0</v>
      </c>
      <c r="V1143">
        <v>4</v>
      </c>
      <c r="W1143" t="s">
        <v>72</v>
      </c>
      <c r="X1143">
        <v>1</v>
      </c>
      <c r="Y1143" t="str">
        <f t="shared" si="17"/>
        <v>High</v>
      </c>
    </row>
    <row r="1144" spans="1:25">
      <c r="A1144" t="s">
        <v>1257</v>
      </c>
      <c r="B1144" s="1">
        <v>44939</v>
      </c>
      <c r="C1144" s="2">
        <v>0.10416666666666667</v>
      </c>
      <c r="D1144" t="s">
        <v>34</v>
      </c>
      <c r="E1144" t="s">
        <v>42</v>
      </c>
      <c r="F1144" t="s">
        <v>49</v>
      </c>
      <c r="G1144" t="s">
        <v>105</v>
      </c>
      <c r="H1144" s="2">
        <v>0.10416666666666667</v>
      </c>
      <c r="I1144" s="2">
        <v>0.12638888888888888</v>
      </c>
      <c r="J1144">
        <v>11</v>
      </c>
      <c r="K1144">
        <v>29</v>
      </c>
      <c r="L1144" t="s">
        <v>54</v>
      </c>
      <c r="M1144">
        <v>7.6</v>
      </c>
      <c r="N1144">
        <v>73</v>
      </c>
      <c r="O1144">
        <v>56</v>
      </c>
      <c r="P1144">
        <v>5.7</v>
      </c>
      <c r="Q1144" t="s">
        <v>46</v>
      </c>
      <c r="R1144">
        <v>0</v>
      </c>
      <c r="S1144">
        <v>89</v>
      </c>
      <c r="T1144">
        <v>0</v>
      </c>
      <c r="U1144">
        <v>0</v>
      </c>
      <c r="V1144">
        <v>4</v>
      </c>
      <c r="W1144" t="s">
        <v>72</v>
      </c>
      <c r="X1144">
        <v>1</v>
      </c>
      <c r="Y1144" t="str">
        <f t="shared" si="17"/>
        <v>High</v>
      </c>
    </row>
    <row r="1145" spans="1:25">
      <c r="A1145" t="s">
        <v>1258</v>
      </c>
      <c r="B1145" s="1">
        <v>44939</v>
      </c>
      <c r="C1145" s="2">
        <v>0.11458333333333333</v>
      </c>
      <c r="D1145" t="s">
        <v>26</v>
      </c>
      <c r="E1145" t="s">
        <v>48</v>
      </c>
      <c r="F1145" t="s">
        <v>122</v>
      </c>
      <c r="G1145" t="s">
        <v>91</v>
      </c>
      <c r="H1145" s="2">
        <v>0.11597222222222223</v>
      </c>
      <c r="I1145" s="2">
        <v>0.15</v>
      </c>
      <c r="J1145">
        <v>13</v>
      </c>
      <c r="K1145">
        <v>16</v>
      </c>
      <c r="L1145" t="s">
        <v>77</v>
      </c>
      <c r="M1145">
        <v>9</v>
      </c>
      <c r="N1145">
        <v>59</v>
      </c>
      <c r="O1145">
        <v>6</v>
      </c>
      <c r="P1145">
        <v>6.1</v>
      </c>
      <c r="Q1145" t="s">
        <v>46</v>
      </c>
      <c r="R1145">
        <v>0</v>
      </c>
      <c r="S1145">
        <v>71</v>
      </c>
      <c r="T1145">
        <v>0</v>
      </c>
      <c r="U1145">
        <v>1</v>
      </c>
      <c r="V1145">
        <v>4</v>
      </c>
      <c r="W1145" t="s">
        <v>32</v>
      </c>
      <c r="X1145">
        <v>1</v>
      </c>
      <c r="Y1145" t="str">
        <f t="shared" si="17"/>
        <v>High</v>
      </c>
    </row>
    <row r="1146" spans="1:25">
      <c r="A1146" t="s">
        <v>1259</v>
      </c>
      <c r="B1146" s="1">
        <v>44939</v>
      </c>
      <c r="C1146" s="2">
        <v>0.125</v>
      </c>
      <c r="D1146" t="s">
        <v>34</v>
      </c>
      <c r="E1146" t="s">
        <v>68</v>
      </c>
      <c r="F1146" t="s">
        <v>44</v>
      </c>
      <c r="G1146" t="s">
        <v>96</v>
      </c>
      <c r="H1146" s="2">
        <v>0.12569444444444444</v>
      </c>
      <c r="I1146" s="2">
        <v>0.14374999999999999</v>
      </c>
      <c r="J1146">
        <v>11</v>
      </c>
      <c r="K1146">
        <v>-1</v>
      </c>
      <c r="L1146" t="s">
        <v>54</v>
      </c>
      <c r="M1146">
        <v>25.5</v>
      </c>
      <c r="N1146">
        <v>69</v>
      </c>
      <c r="O1146">
        <v>38</v>
      </c>
      <c r="P1146">
        <v>13.4</v>
      </c>
      <c r="Q1146" t="s">
        <v>71</v>
      </c>
      <c r="R1146">
        <v>0</v>
      </c>
      <c r="S1146">
        <v>81</v>
      </c>
      <c r="T1146">
        <v>0</v>
      </c>
      <c r="U1146">
        <v>0</v>
      </c>
      <c r="V1146">
        <v>4</v>
      </c>
      <c r="W1146" t="s">
        <v>55</v>
      </c>
      <c r="X1146">
        <v>0</v>
      </c>
      <c r="Y1146" t="str">
        <f t="shared" si="17"/>
        <v>High</v>
      </c>
    </row>
    <row r="1147" spans="1:25">
      <c r="A1147" t="s">
        <v>1260</v>
      </c>
      <c r="B1147" s="1">
        <v>44939</v>
      </c>
      <c r="C1147" s="2">
        <v>0.13541666666666666</v>
      </c>
      <c r="D1147" t="s">
        <v>74</v>
      </c>
      <c r="E1147" t="s">
        <v>48</v>
      </c>
      <c r="F1147" t="s">
        <v>70</v>
      </c>
      <c r="G1147" t="s">
        <v>65</v>
      </c>
      <c r="H1147" s="2">
        <v>0.13750000000000001</v>
      </c>
      <c r="I1147" s="2">
        <v>0.16111111111111112</v>
      </c>
      <c r="J1147">
        <v>0</v>
      </c>
      <c r="K1147">
        <v>4</v>
      </c>
      <c r="L1147" t="s">
        <v>38</v>
      </c>
      <c r="M1147">
        <v>18.3</v>
      </c>
      <c r="N1147">
        <v>94</v>
      </c>
      <c r="O1147">
        <v>13</v>
      </c>
      <c r="P1147">
        <v>19.100000000000001</v>
      </c>
      <c r="Q1147" t="s">
        <v>31</v>
      </c>
      <c r="R1147">
        <v>0</v>
      </c>
      <c r="S1147">
        <v>20</v>
      </c>
      <c r="T1147">
        <v>0</v>
      </c>
      <c r="U1147">
        <v>0</v>
      </c>
      <c r="V1147">
        <v>4</v>
      </c>
      <c r="W1147" t="s">
        <v>39</v>
      </c>
      <c r="X1147">
        <v>0</v>
      </c>
      <c r="Y1147" t="str">
        <f t="shared" si="17"/>
        <v>Low</v>
      </c>
    </row>
    <row r="1148" spans="1:25">
      <c r="A1148" t="s">
        <v>1261</v>
      </c>
      <c r="B1148" s="1">
        <v>44939</v>
      </c>
      <c r="C1148" s="2">
        <v>0.14583333333333334</v>
      </c>
      <c r="D1148" t="s">
        <v>26</v>
      </c>
      <c r="E1148" t="s">
        <v>61</v>
      </c>
      <c r="F1148" t="s">
        <v>62</v>
      </c>
      <c r="G1148" t="s">
        <v>142</v>
      </c>
      <c r="H1148" s="2">
        <v>0.14722222222222223</v>
      </c>
      <c r="I1148" s="2">
        <v>0.18402777777777779</v>
      </c>
      <c r="J1148">
        <v>14</v>
      </c>
      <c r="K1148">
        <v>28</v>
      </c>
      <c r="L1148" t="s">
        <v>38</v>
      </c>
      <c r="M1148">
        <v>1</v>
      </c>
      <c r="N1148">
        <v>58</v>
      </c>
      <c r="O1148">
        <v>57</v>
      </c>
      <c r="P1148">
        <v>6.6</v>
      </c>
      <c r="Q1148" t="s">
        <v>46</v>
      </c>
      <c r="R1148">
        <v>0</v>
      </c>
      <c r="S1148">
        <v>15</v>
      </c>
      <c r="T1148">
        <v>0</v>
      </c>
      <c r="U1148">
        <v>0</v>
      </c>
      <c r="V1148">
        <v>4</v>
      </c>
      <c r="W1148" t="s">
        <v>32</v>
      </c>
      <c r="X1148">
        <v>1</v>
      </c>
      <c r="Y1148" t="str">
        <f t="shared" si="17"/>
        <v>Low</v>
      </c>
    </row>
    <row r="1149" spans="1:25">
      <c r="A1149" t="s">
        <v>1262</v>
      </c>
      <c r="B1149" s="1">
        <v>44939</v>
      </c>
      <c r="C1149" s="2">
        <v>0.15625</v>
      </c>
      <c r="D1149" t="s">
        <v>74</v>
      </c>
      <c r="E1149" t="s">
        <v>157</v>
      </c>
      <c r="F1149" t="s">
        <v>44</v>
      </c>
      <c r="G1149" t="s">
        <v>49</v>
      </c>
      <c r="H1149" s="2">
        <v>0.15625</v>
      </c>
      <c r="I1149" s="2">
        <v>0.1875</v>
      </c>
      <c r="J1149">
        <v>18</v>
      </c>
      <c r="K1149">
        <v>25</v>
      </c>
      <c r="L1149" t="s">
        <v>77</v>
      </c>
      <c r="M1149">
        <v>28.5</v>
      </c>
      <c r="N1149">
        <v>59</v>
      </c>
      <c r="O1149">
        <v>55</v>
      </c>
      <c r="P1149">
        <v>8.1999999999999993</v>
      </c>
      <c r="Q1149" t="s">
        <v>31</v>
      </c>
      <c r="R1149">
        <v>0</v>
      </c>
      <c r="S1149">
        <v>66</v>
      </c>
      <c r="T1149">
        <v>0</v>
      </c>
      <c r="U1149">
        <v>0</v>
      </c>
      <c r="V1149">
        <v>4</v>
      </c>
      <c r="W1149" t="s">
        <v>55</v>
      </c>
      <c r="X1149">
        <v>1</v>
      </c>
      <c r="Y1149" t="str">
        <f t="shared" si="17"/>
        <v>Medium</v>
      </c>
    </row>
    <row r="1150" spans="1:25">
      <c r="A1150" t="s">
        <v>1263</v>
      </c>
      <c r="B1150" s="1">
        <v>44939</v>
      </c>
      <c r="C1150" s="2">
        <v>0.16666666666666666</v>
      </c>
      <c r="D1150" t="s">
        <v>26</v>
      </c>
      <c r="E1150" t="s">
        <v>27</v>
      </c>
      <c r="F1150" t="s">
        <v>135</v>
      </c>
      <c r="G1150" t="s">
        <v>87</v>
      </c>
      <c r="H1150" s="2">
        <v>0.16944444444444445</v>
      </c>
      <c r="I1150" s="2">
        <v>0.18680555555555556</v>
      </c>
      <c r="J1150">
        <v>11</v>
      </c>
      <c r="K1150">
        <v>3</v>
      </c>
      <c r="L1150" t="s">
        <v>30</v>
      </c>
      <c r="M1150">
        <v>30.3</v>
      </c>
      <c r="N1150">
        <v>61</v>
      </c>
      <c r="O1150">
        <v>14</v>
      </c>
      <c r="P1150">
        <v>15.4</v>
      </c>
      <c r="Q1150" t="s">
        <v>31</v>
      </c>
      <c r="R1150">
        <v>10000</v>
      </c>
      <c r="S1150">
        <v>64</v>
      </c>
      <c r="T1150">
        <v>0</v>
      </c>
      <c r="U1150">
        <v>1</v>
      </c>
      <c r="V1150">
        <v>4</v>
      </c>
      <c r="W1150" t="s">
        <v>32</v>
      </c>
      <c r="X1150">
        <v>0</v>
      </c>
      <c r="Y1150" t="str">
        <f t="shared" si="17"/>
        <v>Medium</v>
      </c>
    </row>
    <row r="1151" spans="1:25">
      <c r="A1151" t="s">
        <v>1264</v>
      </c>
      <c r="B1151" s="1">
        <v>44939</v>
      </c>
      <c r="C1151" s="2">
        <v>0.17708333333333334</v>
      </c>
      <c r="D1151" t="s">
        <v>41</v>
      </c>
      <c r="E1151" t="s">
        <v>157</v>
      </c>
      <c r="F1151" t="s">
        <v>44</v>
      </c>
      <c r="G1151" t="s">
        <v>154</v>
      </c>
      <c r="H1151" s="2">
        <v>0.17777777777777778</v>
      </c>
      <c r="I1151" s="2">
        <v>0.21180555555555555</v>
      </c>
      <c r="J1151">
        <v>15</v>
      </c>
      <c r="K1151">
        <v>-2</v>
      </c>
      <c r="L1151" t="s">
        <v>77</v>
      </c>
      <c r="M1151">
        <v>13.6</v>
      </c>
      <c r="N1151">
        <v>39</v>
      </c>
      <c r="O1151">
        <v>43</v>
      </c>
      <c r="P1151">
        <v>8.6</v>
      </c>
      <c r="Q1151" t="s">
        <v>101</v>
      </c>
      <c r="R1151">
        <v>10000</v>
      </c>
      <c r="S1151">
        <v>12</v>
      </c>
      <c r="T1151">
        <v>0</v>
      </c>
      <c r="U1151">
        <v>0</v>
      </c>
      <c r="V1151">
        <v>4</v>
      </c>
      <c r="W1151" t="s">
        <v>72</v>
      </c>
      <c r="X1151">
        <v>0</v>
      </c>
      <c r="Y1151" t="str">
        <f t="shared" si="17"/>
        <v>Low</v>
      </c>
    </row>
    <row r="1152" spans="1:25">
      <c r="A1152" t="s">
        <v>1265</v>
      </c>
      <c r="B1152" s="1">
        <v>44939</v>
      </c>
      <c r="C1152" s="2">
        <v>0.1875</v>
      </c>
      <c r="D1152" t="s">
        <v>41</v>
      </c>
      <c r="E1152" t="s">
        <v>126</v>
      </c>
      <c r="F1152" t="s">
        <v>128</v>
      </c>
      <c r="G1152" t="s">
        <v>185</v>
      </c>
      <c r="H1152" s="2">
        <v>0.18888888888888888</v>
      </c>
      <c r="I1152" s="2">
        <v>0.22361111111111112</v>
      </c>
      <c r="J1152">
        <v>0</v>
      </c>
      <c r="K1152">
        <v>17</v>
      </c>
      <c r="L1152" t="s">
        <v>84</v>
      </c>
      <c r="M1152">
        <v>3.4</v>
      </c>
      <c r="N1152">
        <v>80</v>
      </c>
      <c r="O1152">
        <v>11</v>
      </c>
      <c r="P1152">
        <v>18.5</v>
      </c>
      <c r="Q1152" t="s">
        <v>31</v>
      </c>
      <c r="R1152">
        <v>0</v>
      </c>
      <c r="S1152">
        <v>63</v>
      </c>
      <c r="T1152">
        <v>0</v>
      </c>
      <c r="U1152">
        <v>0</v>
      </c>
      <c r="V1152">
        <v>4</v>
      </c>
      <c r="W1152" t="s">
        <v>32</v>
      </c>
      <c r="X1152">
        <v>1</v>
      </c>
      <c r="Y1152" t="str">
        <f t="shared" si="17"/>
        <v>Medium</v>
      </c>
    </row>
    <row r="1153" spans="1:25">
      <c r="A1153" t="s">
        <v>1266</v>
      </c>
      <c r="B1153" s="1">
        <v>44939</v>
      </c>
      <c r="C1153" s="2">
        <v>0.19791666666666666</v>
      </c>
      <c r="D1153" t="s">
        <v>41</v>
      </c>
      <c r="E1153" t="s">
        <v>98</v>
      </c>
      <c r="F1153" t="s">
        <v>96</v>
      </c>
      <c r="G1153" t="s">
        <v>163</v>
      </c>
      <c r="H1153" s="2">
        <v>0.2</v>
      </c>
      <c r="I1153" s="2">
        <v>0.23125000000000001</v>
      </c>
      <c r="J1153">
        <v>19</v>
      </c>
      <c r="K1153">
        <v>2</v>
      </c>
      <c r="L1153" t="s">
        <v>30</v>
      </c>
      <c r="M1153">
        <v>32.9</v>
      </c>
      <c r="N1153">
        <v>37</v>
      </c>
      <c r="O1153">
        <v>7</v>
      </c>
      <c r="P1153">
        <v>10.1</v>
      </c>
      <c r="Q1153" t="s">
        <v>71</v>
      </c>
      <c r="R1153">
        <v>0</v>
      </c>
      <c r="S1153">
        <v>60</v>
      </c>
      <c r="T1153">
        <v>0</v>
      </c>
      <c r="U1153">
        <v>0</v>
      </c>
      <c r="V1153">
        <v>4</v>
      </c>
      <c r="W1153" t="s">
        <v>32</v>
      </c>
      <c r="X1153">
        <v>0</v>
      </c>
      <c r="Y1153" t="str">
        <f t="shared" si="17"/>
        <v>Medium</v>
      </c>
    </row>
    <row r="1154" spans="1:25">
      <c r="A1154" t="s">
        <v>1267</v>
      </c>
      <c r="B1154" s="1">
        <v>44939</v>
      </c>
      <c r="C1154" s="2">
        <v>0.20833333333333334</v>
      </c>
      <c r="D1154" t="s">
        <v>34</v>
      </c>
      <c r="E1154" t="s">
        <v>130</v>
      </c>
      <c r="F1154" t="s">
        <v>203</v>
      </c>
      <c r="G1154" t="s">
        <v>86</v>
      </c>
      <c r="H1154" s="2">
        <v>0.20833333333333334</v>
      </c>
      <c r="I1154" s="2">
        <v>0.22500000000000001</v>
      </c>
      <c r="J1154">
        <v>16</v>
      </c>
      <c r="K1154">
        <v>24</v>
      </c>
      <c r="L1154" t="s">
        <v>54</v>
      </c>
      <c r="M1154">
        <v>30.3</v>
      </c>
      <c r="N1154">
        <v>80</v>
      </c>
      <c r="O1154">
        <v>15</v>
      </c>
      <c r="P1154">
        <v>7</v>
      </c>
      <c r="Q1154" t="s">
        <v>63</v>
      </c>
      <c r="R1154">
        <v>0</v>
      </c>
      <c r="S1154">
        <v>31</v>
      </c>
      <c r="T1154">
        <v>0</v>
      </c>
      <c r="U1154">
        <v>0</v>
      </c>
      <c r="V1154">
        <v>4</v>
      </c>
      <c r="W1154" t="s">
        <v>72</v>
      </c>
      <c r="X1154">
        <v>1</v>
      </c>
      <c r="Y1154" t="str">
        <f t="shared" ref="Y1154:Y1217" si="18">IF(S1154&lt;=33,"Low",IF(S1154&lt;=66,"Medium","High"))</f>
        <v>Low</v>
      </c>
    </row>
    <row r="1155" spans="1:25">
      <c r="A1155" t="s">
        <v>1268</v>
      </c>
      <c r="B1155" s="1">
        <v>44939</v>
      </c>
      <c r="C1155" s="2">
        <v>0.21875</v>
      </c>
      <c r="D1155" t="s">
        <v>74</v>
      </c>
      <c r="E1155" t="s">
        <v>61</v>
      </c>
      <c r="F1155" t="s">
        <v>86</v>
      </c>
      <c r="G1155" t="s">
        <v>81</v>
      </c>
      <c r="H1155" s="2">
        <v>0.21875</v>
      </c>
      <c r="I1155" s="2">
        <v>0.24097222222222223</v>
      </c>
      <c r="J1155">
        <v>0</v>
      </c>
      <c r="K1155">
        <v>28</v>
      </c>
      <c r="L1155" t="s">
        <v>77</v>
      </c>
      <c r="M1155">
        <v>4.8</v>
      </c>
      <c r="N1155">
        <v>65</v>
      </c>
      <c r="O1155">
        <v>40</v>
      </c>
      <c r="P1155">
        <v>19.399999999999999</v>
      </c>
      <c r="Q1155" t="s">
        <v>31</v>
      </c>
      <c r="R1155">
        <v>10000</v>
      </c>
      <c r="S1155">
        <v>11</v>
      </c>
      <c r="T1155">
        <v>0</v>
      </c>
      <c r="U1155">
        <v>0</v>
      </c>
      <c r="V1155">
        <v>4</v>
      </c>
      <c r="W1155" t="s">
        <v>72</v>
      </c>
      <c r="X1155">
        <v>1</v>
      </c>
      <c r="Y1155" t="str">
        <f t="shared" si="18"/>
        <v>Low</v>
      </c>
    </row>
    <row r="1156" spans="1:25">
      <c r="A1156" t="s">
        <v>1269</v>
      </c>
      <c r="B1156" s="1">
        <v>44939</v>
      </c>
      <c r="C1156" s="2">
        <v>0.22916666666666666</v>
      </c>
      <c r="D1156" t="s">
        <v>34</v>
      </c>
      <c r="E1156" t="s">
        <v>68</v>
      </c>
      <c r="F1156" t="s">
        <v>58</v>
      </c>
      <c r="G1156" t="s">
        <v>87</v>
      </c>
      <c r="H1156" s="2">
        <v>0.23055555555555557</v>
      </c>
      <c r="I1156" s="2">
        <v>0.24305555555555555</v>
      </c>
      <c r="J1156">
        <v>9</v>
      </c>
      <c r="K1156">
        <v>5</v>
      </c>
      <c r="L1156" t="s">
        <v>54</v>
      </c>
      <c r="M1156">
        <v>-1.2</v>
      </c>
      <c r="N1156">
        <v>84</v>
      </c>
      <c r="O1156">
        <v>33</v>
      </c>
      <c r="P1156">
        <v>8.5</v>
      </c>
      <c r="Q1156" t="s">
        <v>31</v>
      </c>
      <c r="R1156">
        <v>0</v>
      </c>
      <c r="S1156">
        <v>94</v>
      </c>
      <c r="T1156">
        <v>0</v>
      </c>
      <c r="U1156">
        <v>0</v>
      </c>
      <c r="V1156">
        <v>4</v>
      </c>
      <c r="W1156" t="s">
        <v>39</v>
      </c>
      <c r="X1156">
        <v>0</v>
      </c>
      <c r="Y1156" t="str">
        <f t="shared" si="18"/>
        <v>High</v>
      </c>
    </row>
    <row r="1157" spans="1:25">
      <c r="A1157" t="s">
        <v>1270</v>
      </c>
      <c r="B1157" s="1">
        <v>44939</v>
      </c>
      <c r="C1157" s="2">
        <v>0.23958333333333334</v>
      </c>
      <c r="D1157" t="s">
        <v>41</v>
      </c>
      <c r="E1157" t="s">
        <v>52</v>
      </c>
      <c r="F1157" t="s">
        <v>58</v>
      </c>
      <c r="G1157" t="s">
        <v>37</v>
      </c>
      <c r="H1157" s="2">
        <v>0.24166666666666667</v>
      </c>
      <c r="I1157" s="2">
        <v>0.26874999999999999</v>
      </c>
      <c r="J1157">
        <v>19</v>
      </c>
      <c r="K1157">
        <v>7</v>
      </c>
      <c r="L1157" t="s">
        <v>45</v>
      </c>
      <c r="M1157">
        <v>12.6</v>
      </c>
      <c r="N1157">
        <v>64</v>
      </c>
      <c r="O1157">
        <v>45</v>
      </c>
      <c r="P1157">
        <v>4.5999999999999996</v>
      </c>
      <c r="Q1157" t="s">
        <v>31</v>
      </c>
      <c r="R1157">
        <v>0</v>
      </c>
      <c r="S1157">
        <v>40</v>
      </c>
      <c r="T1157">
        <v>0</v>
      </c>
      <c r="U1157">
        <v>0</v>
      </c>
      <c r="V1157">
        <v>4</v>
      </c>
      <c r="W1157" t="s">
        <v>39</v>
      </c>
      <c r="X1157">
        <v>1</v>
      </c>
      <c r="Y1157" t="str">
        <f t="shared" si="18"/>
        <v>Medium</v>
      </c>
    </row>
    <row r="1158" spans="1:25">
      <c r="A1158" t="s">
        <v>1271</v>
      </c>
      <c r="B1158" s="1">
        <v>44939</v>
      </c>
      <c r="C1158" s="2">
        <v>0.25</v>
      </c>
      <c r="D1158" t="s">
        <v>74</v>
      </c>
      <c r="E1158" t="s">
        <v>104</v>
      </c>
      <c r="F1158" t="s">
        <v>168</v>
      </c>
      <c r="G1158" t="s">
        <v>62</v>
      </c>
      <c r="H1158" s="2">
        <v>0.25</v>
      </c>
      <c r="I1158" s="2">
        <v>0.29097222222222224</v>
      </c>
      <c r="J1158">
        <v>2</v>
      </c>
      <c r="K1158">
        <v>19</v>
      </c>
      <c r="L1158" t="s">
        <v>30</v>
      </c>
      <c r="M1158">
        <v>22.1</v>
      </c>
      <c r="N1158">
        <v>65</v>
      </c>
      <c r="O1158">
        <v>23</v>
      </c>
      <c r="P1158">
        <v>3.6</v>
      </c>
      <c r="Q1158" t="s">
        <v>31</v>
      </c>
      <c r="R1158">
        <v>0</v>
      </c>
      <c r="S1158">
        <v>65</v>
      </c>
      <c r="T1158">
        <v>0</v>
      </c>
      <c r="U1158">
        <v>0</v>
      </c>
      <c r="V1158">
        <v>4</v>
      </c>
      <c r="W1158" t="s">
        <v>55</v>
      </c>
      <c r="X1158">
        <v>1</v>
      </c>
      <c r="Y1158" t="str">
        <f t="shared" si="18"/>
        <v>Medium</v>
      </c>
    </row>
    <row r="1159" spans="1:25">
      <c r="A1159" t="s">
        <v>1272</v>
      </c>
      <c r="B1159" s="1">
        <v>44939</v>
      </c>
      <c r="C1159" s="2">
        <v>0.26041666666666669</v>
      </c>
      <c r="D1159" t="s">
        <v>41</v>
      </c>
      <c r="E1159" t="s">
        <v>98</v>
      </c>
      <c r="F1159" t="s">
        <v>197</v>
      </c>
      <c r="G1159" t="s">
        <v>194</v>
      </c>
      <c r="H1159" s="2">
        <v>0.26111111111111113</v>
      </c>
      <c r="I1159" s="2">
        <v>0.27569444444444446</v>
      </c>
      <c r="J1159">
        <v>7</v>
      </c>
      <c r="K1159">
        <v>7</v>
      </c>
      <c r="L1159" t="s">
        <v>77</v>
      </c>
      <c r="M1159">
        <v>2</v>
      </c>
      <c r="N1159">
        <v>85</v>
      </c>
      <c r="O1159">
        <v>55</v>
      </c>
      <c r="P1159">
        <v>19.899999999999999</v>
      </c>
      <c r="Q1159" t="s">
        <v>46</v>
      </c>
      <c r="R1159">
        <v>2000</v>
      </c>
      <c r="S1159">
        <v>7</v>
      </c>
      <c r="T1159">
        <v>0</v>
      </c>
      <c r="U1159">
        <v>1</v>
      </c>
      <c r="V1159">
        <v>4</v>
      </c>
      <c r="W1159" t="s">
        <v>39</v>
      </c>
      <c r="X1159">
        <v>1</v>
      </c>
      <c r="Y1159" t="str">
        <f t="shared" si="18"/>
        <v>Low</v>
      </c>
    </row>
    <row r="1160" spans="1:25">
      <c r="A1160" t="s">
        <v>1273</v>
      </c>
      <c r="B1160" s="1">
        <v>44939</v>
      </c>
      <c r="C1160" s="2">
        <v>0.27083333333333331</v>
      </c>
      <c r="D1160" t="s">
        <v>34</v>
      </c>
      <c r="E1160" t="s">
        <v>68</v>
      </c>
      <c r="F1160" t="s">
        <v>163</v>
      </c>
      <c r="G1160" t="s">
        <v>66</v>
      </c>
      <c r="H1160" s="2">
        <v>0.27083333333333331</v>
      </c>
      <c r="I1160" s="2">
        <v>0.28611111111111109</v>
      </c>
      <c r="J1160">
        <v>6</v>
      </c>
      <c r="K1160">
        <v>-2</v>
      </c>
      <c r="L1160" t="s">
        <v>45</v>
      </c>
      <c r="M1160">
        <v>15.5</v>
      </c>
      <c r="N1160">
        <v>65</v>
      </c>
      <c r="O1160">
        <v>28</v>
      </c>
      <c r="P1160">
        <v>15.1</v>
      </c>
      <c r="Q1160" t="s">
        <v>46</v>
      </c>
      <c r="R1160">
        <v>0</v>
      </c>
      <c r="S1160">
        <v>58</v>
      </c>
      <c r="T1160">
        <v>0</v>
      </c>
      <c r="U1160">
        <v>0</v>
      </c>
      <c r="V1160">
        <v>4</v>
      </c>
      <c r="W1160" t="s">
        <v>39</v>
      </c>
      <c r="X1160">
        <v>0</v>
      </c>
      <c r="Y1160" t="str">
        <f t="shared" si="18"/>
        <v>Medium</v>
      </c>
    </row>
    <row r="1161" spans="1:25">
      <c r="A1161" t="s">
        <v>1274</v>
      </c>
      <c r="B1161" s="1">
        <v>44939</v>
      </c>
      <c r="C1161" s="2">
        <v>0.28125</v>
      </c>
      <c r="D1161" t="s">
        <v>34</v>
      </c>
      <c r="E1161" t="s">
        <v>111</v>
      </c>
      <c r="F1161" t="s">
        <v>163</v>
      </c>
      <c r="G1161" t="s">
        <v>168</v>
      </c>
      <c r="H1161" s="2">
        <v>0.28333333333333333</v>
      </c>
      <c r="I1161" s="2">
        <v>0.29930555555555555</v>
      </c>
      <c r="J1161">
        <v>-2</v>
      </c>
      <c r="K1161">
        <v>-1</v>
      </c>
      <c r="L1161" t="s">
        <v>77</v>
      </c>
      <c r="M1161">
        <v>12</v>
      </c>
      <c r="N1161">
        <v>90</v>
      </c>
      <c r="O1161">
        <v>15</v>
      </c>
      <c r="P1161">
        <v>8.1999999999999993</v>
      </c>
      <c r="Q1161" t="s">
        <v>31</v>
      </c>
      <c r="R1161">
        <v>0</v>
      </c>
      <c r="S1161">
        <v>24</v>
      </c>
      <c r="T1161">
        <v>0</v>
      </c>
      <c r="U1161">
        <v>0</v>
      </c>
      <c r="V1161">
        <v>4</v>
      </c>
      <c r="W1161" t="s">
        <v>55</v>
      </c>
      <c r="X1161">
        <v>0</v>
      </c>
      <c r="Y1161" t="str">
        <f t="shared" si="18"/>
        <v>Low</v>
      </c>
    </row>
    <row r="1162" spans="1:25">
      <c r="A1162" t="s">
        <v>1275</v>
      </c>
      <c r="B1162" s="1">
        <v>44939</v>
      </c>
      <c r="C1162" s="2">
        <v>0.29166666666666669</v>
      </c>
      <c r="D1162" t="s">
        <v>34</v>
      </c>
      <c r="E1162" t="s">
        <v>157</v>
      </c>
      <c r="F1162" t="s">
        <v>135</v>
      </c>
      <c r="G1162" t="s">
        <v>109</v>
      </c>
      <c r="H1162" s="2">
        <v>0.29444444444444445</v>
      </c>
      <c r="I1162" s="2">
        <v>0.3298611111111111</v>
      </c>
      <c r="J1162">
        <v>10</v>
      </c>
      <c r="K1162">
        <v>7</v>
      </c>
      <c r="L1162" t="s">
        <v>84</v>
      </c>
      <c r="M1162">
        <v>30.6</v>
      </c>
      <c r="N1162">
        <v>91</v>
      </c>
      <c r="O1162">
        <v>4</v>
      </c>
      <c r="P1162">
        <v>16.5</v>
      </c>
      <c r="Q1162" t="s">
        <v>31</v>
      </c>
      <c r="R1162">
        <v>500</v>
      </c>
      <c r="S1162">
        <v>4</v>
      </c>
      <c r="T1162">
        <v>0</v>
      </c>
      <c r="U1162">
        <v>1</v>
      </c>
      <c r="V1162">
        <v>4</v>
      </c>
      <c r="W1162" t="s">
        <v>32</v>
      </c>
      <c r="X1162">
        <v>1</v>
      </c>
      <c r="Y1162" t="str">
        <f t="shared" si="18"/>
        <v>Low</v>
      </c>
    </row>
    <row r="1163" spans="1:25">
      <c r="A1163" t="s">
        <v>1276</v>
      </c>
      <c r="B1163" s="1">
        <v>44939</v>
      </c>
      <c r="C1163" s="2">
        <v>0.30208333333333331</v>
      </c>
      <c r="D1163" t="s">
        <v>41</v>
      </c>
      <c r="E1163" t="s">
        <v>93</v>
      </c>
      <c r="F1163" t="s">
        <v>76</v>
      </c>
      <c r="G1163" t="s">
        <v>43</v>
      </c>
      <c r="H1163" s="2">
        <v>0.30486111111111114</v>
      </c>
      <c r="I1163" s="2">
        <v>0.33958333333333335</v>
      </c>
      <c r="J1163">
        <v>0</v>
      </c>
      <c r="K1163">
        <v>11</v>
      </c>
      <c r="L1163" t="s">
        <v>38</v>
      </c>
      <c r="M1163">
        <v>12.2</v>
      </c>
      <c r="N1163">
        <v>54</v>
      </c>
      <c r="O1163">
        <v>4</v>
      </c>
      <c r="P1163">
        <v>10.9</v>
      </c>
      <c r="Q1163" t="s">
        <v>63</v>
      </c>
      <c r="R1163">
        <v>500</v>
      </c>
      <c r="S1163">
        <v>44</v>
      </c>
      <c r="T1163">
        <v>0</v>
      </c>
      <c r="U1163">
        <v>1</v>
      </c>
      <c r="V1163">
        <v>4</v>
      </c>
      <c r="W1163" t="s">
        <v>32</v>
      </c>
      <c r="X1163">
        <v>1</v>
      </c>
      <c r="Y1163" t="str">
        <f t="shared" si="18"/>
        <v>Medium</v>
      </c>
    </row>
    <row r="1164" spans="1:25">
      <c r="A1164" t="s">
        <v>1277</v>
      </c>
      <c r="B1164" s="1">
        <v>44939</v>
      </c>
      <c r="C1164" s="2">
        <v>0.3125</v>
      </c>
      <c r="D1164" t="s">
        <v>74</v>
      </c>
      <c r="E1164" t="s">
        <v>126</v>
      </c>
      <c r="F1164" t="s">
        <v>99</v>
      </c>
      <c r="G1164" t="s">
        <v>86</v>
      </c>
      <c r="H1164" s="2">
        <v>0.31388888888888888</v>
      </c>
      <c r="I1164" s="2">
        <v>0.33611111111111114</v>
      </c>
      <c r="J1164">
        <v>16</v>
      </c>
      <c r="K1164">
        <v>7</v>
      </c>
      <c r="L1164" t="s">
        <v>54</v>
      </c>
      <c r="M1164">
        <v>16.399999999999999</v>
      </c>
      <c r="N1164">
        <v>93</v>
      </c>
      <c r="O1164">
        <v>51</v>
      </c>
      <c r="P1164">
        <v>6.3</v>
      </c>
      <c r="Q1164" t="s">
        <v>31</v>
      </c>
      <c r="R1164">
        <v>500</v>
      </c>
      <c r="S1164">
        <v>1</v>
      </c>
      <c r="T1164">
        <v>0</v>
      </c>
      <c r="U1164">
        <v>0</v>
      </c>
      <c r="V1164">
        <v>4</v>
      </c>
      <c r="W1164" t="s">
        <v>32</v>
      </c>
      <c r="X1164">
        <v>1</v>
      </c>
      <c r="Y1164" t="str">
        <f t="shared" si="18"/>
        <v>Low</v>
      </c>
    </row>
    <row r="1165" spans="1:25">
      <c r="A1165" t="s">
        <v>1278</v>
      </c>
      <c r="B1165" s="1">
        <v>44939</v>
      </c>
      <c r="C1165" s="2">
        <v>0.32291666666666669</v>
      </c>
      <c r="D1165" t="s">
        <v>74</v>
      </c>
      <c r="E1165" t="s">
        <v>57</v>
      </c>
      <c r="F1165" t="s">
        <v>96</v>
      </c>
      <c r="G1165" t="s">
        <v>107</v>
      </c>
      <c r="H1165" s="2">
        <v>0.32500000000000001</v>
      </c>
      <c r="I1165" s="2">
        <v>0.36388888888888887</v>
      </c>
      <c r="J1165">
        <v>8</v>
      </c>
      <c r="K1165">
        <v>27</v>
      </c>
      <c r="L1165" t="s">
        <v>77</v>
      </c>
      <c r="M1165">
        <v>33.200000000000003</v>
      </c>
      <c r="N1165">
        <v>89</v>
      </c>
      <c r="O1165">
        <v>29</v>
      </c>
      <c r="P1165">
        <v>14.9</v>
      </c>
      <c r="Q1165" t="s">
        <v>31</v>
      </c>
      <c r="R1165">
        <v>0</v>
      </c>
      <c r="S1165">
        <v>41</v>
      </c>
      <c r="T1165">
        <v>1</v>
      </c>
      <c r="U1165">
        <v>1</v>
      </c>
      <c r="V1165">
        <v>4</v>
      </c>
      <c r="W1165" t="s">
        <v>72</v>
      </c>
      <c r="X1165">
        <v>1</v>
      </c>
      <c r="Y1165" t="str">
        <f t="shared" si="18"/>
        <v>Medium</v>
      </c>
    </row>
    <row r="1166" spans="1:25">
      <c r="A1166" t="s">
        <v>1279</v>
      </c>
      <c r="B1166" s="1">
        <v>44939</v>
      </c>
      <c r="C1166" s="2">
        <v>0.33333333333333331</v>
      </c>
      <c r="D1166" t="s">
        <v>41</v>
      </c>
      <c r="E1166" t="s">
        <v>104</v>
      </c>
      <c r="F1166" t="s">
        <v>53</v>
      </c>
      <c r="G1166" t="s">
        <v>123</v>
      </c>
      <c r="H1166" s="2">
        <v>0.33333333333333331</v>
      </c>
      <c r="I1166" s="2">
        <v>0.34861111111111109</v>
      </c>
      <c r="J1166">
        <v>13</v>
      </c>
      <c r="K1166">
        <v>24</v>
      </c>
      <c r="L1166" t="s">
        <v>30</v>
      </c>
      <c r="M1166">
        <v>7</v>
      </c>
      <c r="N1166">
        <v>86</v>
      </c>
      <c r="O1166">
        <v>52</v>
      </c>
      <c r="P1166">
        <v>14.9</v>
      </c>
      <c r="Q1166" t="s">
        <v>31</v>
      </c>
      <c r="R1166">
        <v>2000</v>
      </c>
      <c r="S1166">
        <v>37</v>
      </c>
      <c r="T1166">
        <v>0</v>
      </c>
      <c r="U1166">
        <v>0</v>
      </c>
      <c r="V1166">
        <v>4</v>
      </c>
      <c r="W1166" t="s">
        <v>55</v>
      </c>
      <c r="X1166">
        <v>1</v>
      </c>
      <c r="Y1166" t="str">
        <f t="shared" si="18"/>
        <v>Medium</v>
      </c>
    </row>
    <row r="1167" spans="1:25">
      <c r="A1167" t="s">
        <v>1280</v>
      </c>
      <c r="B1167" s="1">
        <v>44939</v>
      </c>
      <c r="C1167" s="2">
        <v>0.34375</v>
      </c>
      <c r="D1167" t="s">
        <v>74</v>
      </c>
      <c r="E1167" t="s">
        <v>157</v>
      </c>
      <c r="F1167" t="s">
        <v>203</v>
      </c>
      <c r="G1167" t="s">
        <v>91</v>
      </c>
      <c r="H1167" s="2">
        <v>0.34375</v>
      </c>
      <c r="I1167" s="2">
        <v>0.37708333333333333</v>
      </c>
      <c r="J1167">
        <v>3</v>
      </c>
      <c r="K1167">
        <v>24</v>
      </c>
      <c r="L1167" t="s">
        <v>77</v>
      </c>
      <c r="M1167">
        <v>6.6</v>
      </c>
      <c r="N1167">
        <v>99</v>
      </c>
      <c r="O1167">
        <v>49</v>
      </c>
      <c r="P1167">
        <v>10</v>
      </c>
      <c r="Q1167" t="s">
        <v>71</v>
      </c>
      <c r="R1167">
        <v>0</v>
      </c>
      <c r="S1167">
        <v>2</v>
      </c>
      <c r="T1167">
        <v>0</v>
      </c>
      <c r="U1167">
        <v>0</v>
      </c>
      <c r="V1167">
        <v>4</v>
      </c>
      <c r="W1167" t="s">
        <v>32</v>
      </c>
      <c r="X1167">
        <v>1</v>
      </c>
      <c r="Y1167" t="str">
        <f t="shared" si="18"/>
        <v>Low</v>
      </c>
    </row>
    <row r="1168" spans="1:25">
      <c r="A1168" t="s">
        <v>1281</v>
      </c>
      <c r="B1168" s="1">
        <v>44939</v>
      </c>
      <c r="C1168" s="2">
        <v>0.35416666666666669</v>
      </c>
      <c r="D1168" t="s">
        <v>41</v>
      </c>
      <c r="E1168" t="s">
        <v>111</v>
      </c>
      <c r="F1168" t="s">
        <v>69</v>
      </c>
      <c r="G1168" t="s">
        <v>168</v>
      </c>
      <c r="H1168" s="2">
        <v>0.35694444444444445</v>
      </c>
      <c r="I1168" s="2">
        <v>0.38819444444444445</v>
      </c>
      <c r="J1168">
        <v>0</v>
      </c>
      <c r="K1168">
        <v>28</v>
      </c>
      <c r="L1168" t="s">
        <v>77</v>
      </c>
      <c r="M1168">
        <v>27</v>
      </c>
      <c r="N1168">
        <v>81</v>
      </c>
      <c r="O1168">
        <v>49</v>
      </c>
      <c r="P1168">
        <v>0.9</v>
      </c>
      <c r="Q1168" t="s">
        <v>31</v>
      </c>
      <c r="R1168">
        <v>0</v>
      </c>
      <c r="S1168">
        <v>45</v>
      </c>
      <c r="T1168">
        <v>0</v>
      </c>
      <c r="U1168">
        <v>0</v>
      </c>
      <c r="V1168">
        <v>4</v>
      </c>
      <c r="W1168" t="s">
        <v>39</v>
      </c>
      <c r="X1168">
        <v>1</v>
      </c>
      <c r="Y1168" t="str">
        <f t="shared" si="18"/>
        <v>Medium</v>
      </c>
    </row>
    <row r="1169" spans="1:25">
      <c r="A1169" t="s">
        <v>1282</v>
      </c>
      <c r="B1169" s="1">
        <v>44939</v>
      </c>
      <c r="C1169" s="2">
        <v>0.36458333333333331</v>
      </c>
      <c r="D1169" t="s">
        <v>74</v>
      </c>
      <c r="E1169" t="s">
        <v>130</v>
      </c>
      <c r="F1169" t="s">
        <v>49</v>
      </c>
      <c r="G1169" t="s">
        <v>58</v>
      </c>
      <c r="H1169" s="2">
        <v>0.36736111111111114</v>
      </c>
      <c r="I1169" s="2">
        <v>0.40486111111111112</v>
      </c>
      <c r="J1169">
        <v>16</v>
      </c>
      <c r="K1169">
        <v>21</v>
      </c>
      <c r="L1169" t="s">
        <v>77</v>
      </c>
      <c r="M1169">
        <v>6.1</v>
      </c>
      <c r="N1169">
        <v>85</v>
      </c>
      <c r="O1169">
        <v>4</v>
      </c>
      <c r="P1169">
        <v>1.5</v>
      </c>
      <c r="Q1169" t="s">
        <v>31</v>
      </c>
      <c r="R1169">
        <v>0</v>
      </c>
      <c r="S1169">
        <v>21</v>
      </c>
      <c r="T1169">
        <v>0</v>
      </c>
      <c r="U1169">
        <v>0</v>
      </c>
      <c r="V1169">
        <v>4</v>
      </c>
      <c r="W1169" t="s">
        <v>39</v>
      </c>
      <c r="X1169">
        <v>1</v>
      </c>
      <c r="Y1169" t="str">
        <f t="shared" si="18"/>
        <v>Low</v>
      </c>
    </row>
    <row r="1170" spans="1:25">
      <c r="A1170" t="s">
        <v>1283</v>
      </c>
      <c r="B1170" s="1">
        <v>44939</v>
      </c>
      <c r="C1170" s="2">
        <v>0.375</v>
      </c>
      <c r="D1170" t="s">
        <v>26</v>
      </c>
      <c r="E1170" t="s">
        <v>61</v>
      </c>
      <c r="F1170" t="s">
        <v>197</v>
      </c>
      <c r="G1170" t="s">
        <v>194</v>
      </c>
      <c r="H1170" s="2">
        <v>0.37569444444444444</v>
      </c>
      <c r="I1170" s="2">
        <v>0.40069444444444446</v>
      </c>
      <c r="J1170">
        <v>3</v>
      </c>
      <c r="K1170">
        <v>16</v>
      </c>
      <c r="L1170" t="s">
        <v>77</v>
      </c>
      <c r="M1170">
        <v>28.3</v>
      </c>
      <c r="N1170">
        <v>92</v>
      </c>
      <c r="O1170">
        <v>42</v>
      </c>
      <c r="P1170">
        <v>15.8</v>
      </c>
      <c r="Q1170" t="s">
        <v>46</v>
      </c>
      <c r="R1170">
        <v>0</v>
      </c>
      <c r="S1170">
        <v>32</v>
      </c>
      <c r="T1170">
        <v>0</v>
      </c>
      <c r="U1170">
        <v>0</v>
      </c>
      <c r="V1170">
        <v>4</v>
      </c>
      <c r="W1170" t="s">
        <v>39</v>
      </c>
      <c r="X1170">
        <v>1</v>
      </c>
      <c r="Y1170" t="str">
        <f t="shared" si="18"/>
        <v>Low</v>
      </c>
    </row>
    <row r="1171" spans="1:25">
      <c r="A1171" t="s">
        <v>1284</v>
      </c>
      <c r="B1171" s="1">
        <v>44939</v>
      </c>
      <c r="C1171" s="2">
        <v>0.38541666666666669</v>
      </c>
      <c r="D1171" t="s">
        <v>26</v>
      </c>
      <c r="E1171" t="s">
        <v>42</v>
      </c>
      <c r="F1171" t="s">
        <v>83</v>
      </c>
      <c r="G1171" t="s">
        <v>116</v>
      </c>
      <c r="H1171" s="2">
        <v>0.38819444444444445</v>
      </c>
      <c r="I1171" s="2">
        <v>0.40625</v>
      </c>
      <c r="J1171">
        <v>5</v>
      </c>
      <c r="K1171">
        <v>24</v>
      </c>
      <c r="L1171" t="s">
        <v>30</v>
      </c>
      <c r="M1171">
        <v>-1.2</v>
      </c>
      <c r="N1171">
        <v>97</v>
      </c>
      <c r="O1171">
        <v>12</v>
      </c>
      <c r="P1171">
        <v>16.5</v>
      </c>
      <c r="Q1171" t="s">
        <v>46</v>
      </c>
      <c r="R1171">
        <v>0</v>
      </c>
      <c r="S1171">
        <v>31</v>
      </c>
      <c r="T1171">
        <v>0</v>
      </c>
      <c r="U1171">
        <v>0</v>
      </c>
      <c r="V1171">
        <v>4</v>
      </c>
      <c r="W1171" t="s">
        <v>55</v>
      </c>
      <c r="X1171">
        <v>1</v>
      </c>
      <c r="Y1171" t="str">
        <f t="shared" si="18"/>
        <v>Low</v>
      </c>
    </row>
    <row r="1172" spans="1:25">
      <c r="A1172" t="s">
        <v>1285</v>
      </c>
      <c r="B1172" s="1">
        <v>44939</v>
      </c>
      <c r="C1172" s="2">
        <v>0.39583333333333331</v>
      </c>
      <c r="D1172" t="s">
        <v>34</v>
      </c>
      <c r="E1172" t="s">
        <v>126</v>
      </c>
      <c r="F1172" t="s">
        <v>135</v>
      </c>
      <c r="G1172" t="s">
        <v>109</v>
      </c>
      <c r="H1172" s="2">
        <v>0.39652777777777776</v>
      </c>
      <c r="I1172" s="2">
        <v>0.43541666666666667</v>
      </c>
      <c r="J1172">
        <v>19</v>
      </c>
      <c r="K1172">
        <v>21</v>
      </c>
      <c r="L1172" t="s">
        <v>30</v>
      </c>
      <c r="M1172">
        <v>-0.5</v>
      </c>
      <c r="N1172">
        <v>49</v>
      </c>
      <c r="O1172">
        <v>34</v>
      </c>
      <c r="P1172">
        <v>13.6</v>
      </c>
      <c r="Q1172" t="s">
        <v>31</v>
      </c>
      <c r="R1172">
        <v>0</v>
      </c>
      <c r="S1172">
        <v>16</v>
      </c>
      <c r="T1172">
        <v>0</v>
      </c>
      <c r="U1172">
        <v>0</v>
      </c>
      <c r="V1172">
        <v>4</v>
      </c>
      <c r="W1172" t="s">
        <v>55</v>
      </c>
      <c r="X1172">
        <v>1</v>
      </c>
      <c r="Y1172" t="str">
        <f t="shared" si="18"/>
        <v>Low</v>
      </c>
    </row>
    <row r="1173" spans="1:25">
      <c r="A1173" t="s">
        <v>1286</v>
      </c>
      <c r="B1173" s="1">
        <v>44939</v>
      </c>
      <c r="C1173" s="2">
        <v>0.40625</v>
      </c>
      <c r="D1173" t="s">
        <v>26</v>
      </c>
      <c r="E1173" t="s">
        <v>157</v>
      </c>
      <c r="F1173" t="s">
        <v>49</v>
      </c>
      <c r="G1173" t="s">
        <v>116</v>
      </c>
      <c r="H1173" s="2">
        <v>0.40625</v>
      </c>
      <c r="I1173" s="2">
        <v>0.44722222222222224</v>
      </c>
      <c r="J1173">
        <v>10</v>
      </c>
      <c r="K1173">
        <v>7</v>
      </c>
      <c r="L1173" t="s">
        <v>77</v>
      </c>
      <c r="M1173">
        <v>31.1</v>
      </c>
      <c r="N1173">
        <v>83</v>
      </c>
      <c r="O1173">
        <v>48</v>
      </c>
      <c r="P1173">
        <v>16.8</v>
      </c>
      <c r="Q1173" t="s">
        <v>31</v>
      </c>
      <c r="R1173">
        <v>0</v>
      </c>
      <c r="S1173">
        <v>81</v>
      </c>
      <c r="T1173">
        <v>0</v>
      </c>
      <c r="U1173">
        <v>1</v>
      </c>
      <c r="V1173">
        <v>4</v>
      </c>
      <c r="W1173" t="s">
        <v>39</v>
      </c>
      <c r="X1173">
        <v>1</v>
      </c>
      <c r="Y1173" t="str">
        <f t="shared" si="18"/>
        <v>High</v>
      </c>
    </row>
    <row r="1174" spans="1:25">
      <c r="A1174" t="s">
        <v>1287</v>
      </c>
      <c r="B1174" s="1">
        <v>44939</v>
      </c>
      <c r="C1174" s="2">
        <v>0.41666666666666669</v>
      </c>
      <c r="D1174" t="s">
        <v>26</v>
      </c>
      <c r="E1174" t="s">
        <v>141</v>
      </c>
      <c r="F1174" t="s">
        <v>75</v>
      </c>
      <c r="G1174" t="s">
        <v>203</v>
      </c>
      <c r="H1174" s="2">
        <v>0.41736111111111113</v>
      </c>
      <c r="I1174" s="2">
        <v>0.43055555555555558</v>
      </c>
      <c r="J1174">
        <v>9</v>
      </c>
      <c r="K1174">
        <v>15</v>
      </c>
      <c r="L1174" t="s">
        <v>38</v>
      </c>
      <c r="M1174">
        <v>16.600000000000001</v>
      </c>
      <c r="N1174">
        <v>30</v>
      </c>
      <c r="O1174">
        <v>24</v>
      </c>
      <c r="P1174">
        <v>14.4</v>
      </c>
      <c r="Q1174" t="s">
        <v>31</v>
      </c>
      <c r="R1174">
        <v>0</v>
      </c>
      <c r="S1174">
        <v>55</v>
      </c>
      <c r="T1174">
        <v>0</v>
      </c>
      <c r="U1174">
        <v>0</v>
      </c>
      <c r="V1174">
        <v>4</v>
      </c>
      <c r="W1174" t="s">
        <v>72</v>
      </c>
      <c r="X1174">
        <v>1</v>
      </c>
      <c r="Y1174" t="str">
        <f t="shared" si="18"/>
        <v>Medium</v>
      </c>
    </row>
    <row r="1175" spans="1:25">
      <c r="A1175" t="s">
        <v>1288</v>
      </c>
      <c r="B1175" s="1">
        <v>44939</v>
      </c>
      <c r="C1175" s="2">
        <v>0.42708333333333331</v>
      </c>
      <c r="D1175" t="s">
        <v>26</v>
      </c>
      <c r="E1175" t="s">
        <v>79</v>
      </c>
      <c r="F1175" t="s">
        <v>50</v>
      </c>
      <c r="G1175" t="s">
        <v>65</v>
      </c>
      <c r="H1175" s="2">
        <v>0.42777777777777776</v>
      </c>
      <c r="I1175" s="2">
        <v>0.46041666666666664</v>
      </c>
      <c r="J1175">
        <v>7</v>
      </c>
      <c r="K1175">
        <v>24</v>
      </c>
      <c r="L1175" t="s">
        <v>77</v>
      </c>
      <c r="M1175">
        <v>23.8</v>
      </c>
      <c r="N1175">
        <v>39</v>
      </c>
      <c r="O1175">
        <v>49</v>
      </c>
      <c r="P1175">
        <v>17.899999999999999</v>
      </c>
      <c r="Q1175" t="s">
        <v>31</v>
      </c>
      <c r="R1175">
        <v>2000</v>
      </c>
      <c r="S1175">
        <v>2</v>
      </c>
      <c r="T1175">
        <v>0</v>
      </c>
      <c r="U1175">
        <v>0</v>
      </c>
      <c r="V1175">
        <v>4</v>
      </c>
      <c r="W1175" t="s">
        <v>72</v>
      </c>
      <c r="X1175">
        <v>1</v>
      </c>
      <c r="Y1175" t="str">
        <f t="shared" si="18"/>
        <v>Low</v>
      </c>
    </row>
    <row r="1176" spans="1:25">
      <c r="A1176" t="s">
        <v>1289</v>
      </c>
      <c r="B1176" s="1">
        <v>44939</v>
      </c>
      <c r="C1176" s="2">
        <v>0.4375</v>
      </c>
      <c r="D1176" t="s">
        <v>41</v>
      </c>
      <c r="E1176" t="s">
        <v>48</v>
      </c>
      <c r="F1176" t="s">
        <v>37</v>
      </c>
      <c r="G1176" t="s">
        <v>194</v>
      </c>
      <c r="H1176" s="2">
        <v>0.43888888888888888</v>
      </c>
      <c r="I1176" s="2">
        <v>0.45763888888888887</v>
      </c>
      <c r="J1176">
        <v>0</v>
      </c>
      <c r="K1176">
        <v>-3</v>
      </c>
      <c r="L1176" t="s">
        <v>54</v>
      </c>
      <c r="M1176">
        <v>4</v>
      </c>
      <c r="N1176">
        <v>52</v>
      </c>
      <c r="O1176">
        <v>13</v>
      </c>
      <c r="P1176">
        <v>3</v>
      </c>
      <c r="Q1176" t="s">
        <v>31</v>
      </c>
      <c r="R1176">
        <v>0</v>
      </c>
      <c r="S1176">
        <v>69</v>
      </c>
      <c r="T1176">
        <v>0</v>
      </c>
      <c r="U1176">
        <v>0</v>
      </c>
      <c r="V1176">
        <v>4</v>
      </c>
      <c r="W1176" t="s">
        <v>32</v>
      </c>
      <c r="X1176">
        <v>0</v>
      </c>
      <c r="Y1176" t="str">
        <f t="shared" si="18"/>
        <v>High</v>
      </c>
    </row>
    <row r="1177" spans="1:25">
      <c r="A1177" t="s">
        <v>1290</v>
      </c>
      <c r="B1177" s="1">
        <v>44939</v>
      </c>
      <c r="C1177" s="2">
        <v>0.44791666666666669</v>
      </c>
      <c r="D1177" t="s">
        <v>26</v>
      </c>
      <c r="E1177" t="s">
        <v>48</v>
      </c>
      <c r="F1177" t="s">
        <v>36</v>
      </c>
      <c r="G1177" t="s">
        <v>99</v>
      </c>
      <c r="H1177" s="2">
        <v>0.45069444444444445</v>
      </c>
      <c r="I1177" s="2">
        <v>0.48055555555555557</v>
      </c>
      <c r="J1177">
        <v>1</v>
      </c>
      <c r="K1177">
        <v>1</v>
      </c>
      <c r="L1177" t="s">
        <v>54</v>
      </c>
      <c r="M1177">
        <v>1.7</v>
      </c>
      <c r="N1177">
        <v>80</v>
      </c>
      <c r="O1177">
        <v>43</v>
      </c>
      <c r="P1177">
        <v>7.8</v>
      </c>
      <c r="Q1177" t="s">
        <v>31</v>
      </c>
      <c r="R1177">
        <v>50000</v>
      </c>
      <c r="S1177">
        <v>48</v>
      </c>
      <c r="T1177">
        <v>0</v>
      </c>
      <c r="U1177">
        <v>0</v>
      </c>
      <c r="V1177">
        <v>4</v>
      </c>
      <c r="W1177" t="s">
        <v>32</v>
      </c>
      <c r="X1177">
        <v>0</v>
      </c>
      <c r="Y1177" t="str">
        <f t="shared" si="18"/>
        <v>Medium</v>
      </c>
    </row>
    <row r="1178" spans="1:25">
      <c r="A1178" t="s">
        <v>1291</v>
      </c>
      <c r="B1178" s="1">
        <v>44939</v>
      </c>
      <c r="C1178" s="2">
        <v>0.45833333333333331</v>
      </c>
      <c r="D1178" t="s">
        <v>26</v>
      </c>
      <c r="E1178" t="s">
        <v>57</v>
      </c>
      <c r="F1178" t="s">
        <v>65</v>
      </c>
      <c r="G1178" t="s">
        <v>75</v>
      </c>
      <c r="H1178" s="2">
        <v>0.45902777777777776</v>
      </c>
      <c r="I1178" s="2">
        <v>0.49305555555555558</v>
      </c>
      <c r="J1178">
        <v>-2</v>
      </c>
      <c r="K1178">
        <v>6</v>
      </c>
      <c r="L1178" t="s">
        <v>30</v>
      </c>
      <c r="M1178">
        <v>28.4</v>
      </c>
      <c r="N1178">
        <v>53</v>
      </c>
      <c r="O1178">
        <v>45</v>
      </c>
      <c r="P1178">
        <v>9.3000000000000007</v>
      </c>
      <c r="Q1178" t="s">
        <v>31</v>
      </c>
      <c r="R1178">
        <v>0</v>
      </c>
      <c r="S1178">
        <v>54</v>
      </c>
      <c r="T1178">
        <v>0</v>
      </c>
      <c r="U1178">
        <v>1</v>
      </c>
      <c r="V1178">
        <v>4</v>
      </c>
      <c r="W1178" t="s">
        <v>32</v>
      </c>
      <c r="X1178">
        <v>1</v>
      </c>
      <c r="Y1178" t="str">
        <f t="shared" si="18"/>
        <v>Medium</v>
      </c>
    </row>
    <row r="1179" spans="1:25">
      <c r="A1179" t="s">
        <v>1292</v>
      </c>
      <c r="B1179" s="1">
        <v>44939</v>
      </c>
      <c r="C1179" s="2">
        <v>0.46875</v>
      </c>
      <c r="D1179" t="s">
        <v>34</v>
      </c>
      <c r="E1179" t="s">
        <v>111</v>
      </c>
      <c r="F1179" t="s">
        <v>151</v>
      </c>
      <c r="G1179" t="s">
        <v>90</v>
      </c>
      <c r="H1179" s="2">
        <v>0.46875</v>
      </c>
      <c r="I1179" s="2">
        <v>0.49513888888888891</v>
      </c>
      <c r="J1179">
        <v>10</v>
      </c>
      <c r="K1179">
        <v>-2</v>
      </c>
      <c r="L1179" t="s">
        <v>54</v>
      </c>
      <c r="M1179">
        <v>9.3000000000000007</v>
      </c>
      <c r="N1179">
        <v>42</v>
      </c>
      <c r="O1179">
        <v>25</v>
      </c>
      <c r="P1179">
        <v>6</v>
      </c>
      <c r="Q1179" t="s">
        <v>31</v>
      </c>
      <c r="R1179">
        <v>0</v>
      </c>
      <c r="S1179">
        <v>76</v>
      </c>
      <c r="T1179">
        <v>0</v>
      </c>
      <c r="U1179">
        <v>0</v>
      </c>
      <c r="V1179">
        <v>4</v>
      </c>
      <c r="W1179" t="s">
        <v>32</v>
      </c>
      <c r="X1179">
        <v>0</v>
      </c>
      <c r="Y1179" t="str">
        <f t="shared" si="18"/>
        <v>High</v>
      </c>
    </row>
    <row r="1180" spans="1:25">
      <c r="A1180" t="s">
        <v>1293</v>
      </c>
      <c r="B1180" s="1">
        <v>44939</v>
      </c>
      <c r="C1180" s="2">
        <v>0.47916666666666669</v>
      </c>
      <c r="D1180" t="s">
        <v>26</v>
      </c>
      <c r="E1180" t="s">
        <v>48</v>
      </c>
      <c r="F1180" t="s">
        <v>91</v>
      </c>
      <c r="G1180" t="s">
        <v>96</v>
      </c>
      <c r="H1180" s="2">
        <v>0.48125000000000001</v>
      </c>
      <c r="I1180" s="2">
        <v>0.49444444444444446</v>
      </c>
      <c r="J1180">
        <v>1</v>
      </c>
      <c r="K1180">
        <v>14</v>
      </c>
      <c r="L1180" t="s">
        <v>54</v>
      </c>
      <c r="M1180">
        <v>13.2</v>
      </c>
      <c r="N1180">
        <v>58</v>
      </c>
      <c r="O1180">
        <v>17</v>
      </c>
      <c r="P1180">
        <v>14.5</v>
      </c>
      <c r="Q1180" t="s">
        <v>63</v>
      </c>
      <c r="R1180">
        <v>0</v>
      </c>
      <c r="S1180">
        <v>30</v>
      </c>
      <c r="T1180">
        <v>1</v>
      </c>
      <c r="U1180">
        <v>0</v>
      </c>
      <c r="V1180">
        <v>4</v>
      </c>
      <c r="W1180" t="s">
        <v>32</v>
      </c>
      <c r="X1180">
        <v>1</v>
      </c>
      <c r="Y1180" t="str">
        <f t="shared" si="18"/>
        <v>Low</v>
      </c>
    </row>
    <row r="1181" spans="1:25">
      <c r="A1181" t="s">
        <v>1294</v>
      </c>
      <c r="B1181" s="1">
        <v>44939</v>
      </c>
      <c r="C1181" s="2">
        <v>0.48958333333333331</v>
      </c>
      <c r="D1181" t="s">
        <v>26</v>
      </c>
      <c r="E1181" t="s">
        <v>93</v>
      </c>
      <c r="F1181" t="s">
        <v>65</v>
      </c>
      <c r="G1181" t="s">
        <v>44</v>
      </c>
      <c r="H1181" s="2">
        <v>0.49027777777777776</v>
      </c>
      <c r="I1181" s="2">
        <v>0.52777777777777779</v>
      </c>
      <c r="J1181">
        <v>19</v>
      </c>
      <c r="K1181">
        <v>9</v>
      </c>
      <c r="L1181" t="s">
        <v>84</v>
      </c>
      <c r="M1181">
        <v>-3.9</v>
      </c>
      <c r="N1181">
        <v>87</v>
      </c>
      <c r="O1181">
        <v>19</v>
      </c>
      <c r="P1181">
        <v>18.2</v>
      </c>
      <c r="Q1181" t="s">
        <v>31</v>
      </c>
      <c r="R1181">
        <v>500</v>
      </c>
      <c r="S1181">
        <v>80</v>
      </c>
      <c r="T1181">
        <v>0</v>
      </c>
      <c r="U1181">
        <v>0</v>
      </c>
      <c r="V1181">
        <v>4</v>
      </c>
      <c r="W1181" t="s">
        <v>55</v>
      </c>
      <c r="X1181">
        <v>1</v>
      </c>
      <c r="Y1181" t="str">
        <f t="shared" si="18"/>
        <v>High</v>
      </c>
    </row>
    <row r="1182" spans="1:25">
      <c r="A1182" t="s">
        <v>1295</v>
      </c>
      <c r="B1182" s="1">
        <v>44939</v>
      </c>
      <c r="C1182" s="2">
        <v>0.5</v>
      </c>
      <c r="D1182" t="s">
        <v>74</v>
      </c>
      <c r="E1182" t="s">
        <v>35</v>
      </c>
      <c r="F1182" t="s">
        <v>91</v>
      </c>
      <c r="G1182" t="s">
        <v>144</v>
      </c>
      <c r="H1182" s="2">
        <v>0.50277777777777777</v>
      </c>
      <c r="I1182" s="2">
        <v>0.52361111111111114</v>
      </c>
      <c r="J1182">
        <v>8</v>
      </c>
      <c r="K1182">
        <v>1</v>
      </c>
      <c r="L1182" t="s">
        <v>77</v>
      </c>
      <c r="M1182">
        <v>10.4</v>
      </c>
      <c r="N1182">
        <v>72</v>
      </c>
      <c r="O1182">
        <v>33</v>
      </c>
      <c r="P1182">
        <v>8.1999999999999993</v>
      </c>
      <c r="Q1182" t="s">
        <v>31</v>
      </c>
      <c r="R1182">
        <v>2000</v>
      </c>
      <c r="S1182">
        <v>20</v>
      </c>
      <c r="T1182">
        <v>0</v>
      </c>
      <c r="U1182">
        <v>1</v>
      </c>
      <c r="V1182">
        <v>4</v>
      </c>
      <c r="W1182" t="s">
        <v>55</v>
      </c>
      <c r="X1182">
        <v>0</v>
      </c>
      <c r="Y1182" t="str">
        <f t="shared" si="18"/>
        <v>Low</v>
      </c>
    </row>
    <row r="1183" spans="1:25">
      <c r="A1183" t="s">
        <v>1296</v>
      </c>
      <c r="B1183" s="1">
        <v>44939</v>
      </c>
      <c r="C1183" s="2">
        <v>0.51041666666666663</v>
      </c>
      <c r="D1183" t="s">
        <v>34</v>
      </c>
      <c r="E1183" t="s">
        <v>68</v>
      </c>
      <c r="F1183" t="s">
        <v>163</v>
      </c>
      <c r="G1183" t="s">
        <v>83</v>
      </c>
      <c r="H1183" s="2">
        <v>0.51180555555555551</v>
      </c>
      <c r="I1183" s="2">
        <v>0.54652777777777772</v>
      </c>
      <c r="J1183">
        <v>16</v>
      </c>
      <c r="K1183">
        <v>16</v>
      </c>
      <c r="L1183" t="s">
        <v>77</v>
      </c>
      <c r="M1183">
        <v>25.8</v>
      </c>
      <c r="N1183">
        <v>39</v>
      </c>
      <c r="O1183">
        <v>6</v>
      </c>
      <c r="P1183">
        <v>18.8</v>
      </c>
      <c r="Q1183" t="s">
        <v>31</v>
      </c>
      <c r="R1183">
        <v>50000</v>
      </c>
      <c r="S1183">
        <v>15</v>
      </c>
      <c r="T1183">
        <v>0</v>
      </c>
      <c r="U1183">
        <v>0</v>
      </c>
      <c r="V1183">
        <v>4</v>
      </c>
      <c r="W1183" t="s">
        <v>72</v>
      </c>
      <c r="X1183">
        <v>1</v>
      </c>
      <c r="Y1183" t="str">
        <f t="shared" si="18"/>
        <v>Low</v>
      </c>
    </row>
    <row r="1184" spans="1:25">
      <c r="A1184" t="s">
        <v>1297</v>
      </c>
      <c r="B1184" s="1">
        <v>44939</v>
      </c>
      <c r="C1184" s="2">
        <v>0.52083333333333337</v>
      </c>
      <c r="D1184" t="s">
        <v>34</v>
      </c>
      <c r="E1184" t="s">
        <v>157</v>
      </c>
      <c r="F1184" t="s">
        <v>109</v>
      </c>
      <c r="G1184" t="s">
        <v>122</v>
      </c>
      <c r="H1184" s="2">
        <v>0.52083333333333337</v>
      </c>
      <c r="I1184" s="2">
        <v>0.55208333333333337</v>
      </c>
      <c r="J1184">
        <v>8</v>
      </c>
      <c r="K1184">
        <v>-2</v>
      </c>
      <c r="L1184" t="s">
        <v>77</v>
      </c>
      <c r="M1184">
        <v>27.9</v>
      </c>
      <c r="N1184">
        <v>60</v>
      </c>
      <c r="O1184">
        <v>46</v>
      </c>
      <c r="P1184">
        <v>10.3</v>
      </c>
      <c r="Q1184" t="s">
        <v>31</v>
      </c>
      <c r="R1184">
        <v>0</v>
      </c>
      <c r="S1184">
        <v>16</v>
      </c>
      <c r="T1184">
        <v>0</v>
      </c>
      <c r="U1184">
        <v>0</v>
      </c>
      <c r="V1184">
        <v>4</v>
      </c>
      <c r="W1184" t="s">
        <v>72</v>
      </c>
      <c r="X1184">
        <v>0</v>
      </c>
      <c r="Y1184" t="str">
        <f t="shared" si="18"/>
        <v>Low</v>
      </c>
    </row>
    <row r="1185" spans="1:25">
      <c r="A1185" t="s">
        <v>1298</v>
      </c>
      <c r="B1185" s="1">
        <v>44939</v>
      </c>
      <c r="C1185" s="2">
        <v>0.53125</v>
      </c>
      <c r="D1185" t="s">
        <v>34</v>
      </c>
      <c r="E1185" t="s">
        <v>48</v>
      </c>
      <c r="F1185" t="s">
        <v>163</v>
      </c>
      <c r="G1185" t="s">
        <v>70</v>
      </c>
      <c r="H1185" s="2">
        <v>0.53263888888888888</v>
      </c>
      <c r="I1185" s="2">
        <v>0.55555555555555558</v>
      </c>
      <c r="J1185">
        <v>9</v>
      </c>
      <c r="K1185">
        <v>7</v>
      </c>
      <c r="L1185" t="s">
        <v>77</v>
      </c>
      <c r="M1185">
        <v>23</v>
      </c>
      <c r="N1185">
        <v>43</v>
      </c>
      <c r="O1185">
        <v>59</v>
      </c>
      <c r="P1185">
        <v>10.5</v>
      </c>
      <c r="Q1185" t="s">
        <v>59</v>
      </c>
      <c r="R1185">
        <v>0</v>
      </c>
      <c r="S1185">
        <v>95</v>
      </c>
      <c r="T1185">
        <v>0</v>
      </c>
      <c r="U1185">
        <v>0</v>
      </c>
      <c r="V1185">
        <v>4</v>
      </c>
      <c r="W1185" t="s">
        <v>55</v>
      </c>
      <c r="X1185">
        <v>1</v>
      </c>
      <c r="Y1185" t="str">
        <f t="shared" si="18"/>
        <v>High</v>
      </c>
    </row>
    <row r="1186" spans="1:25">
      <c r="A1186" t="s">
        <v>1299</v>
      </c>
      <c r="B1186" s="1">
        <v>44939</v>
      </c>
      <c r="C1186" s="2">
        <v>0.54166666666666663</v>
      </c>
      <c r="D1186" t="s">
        <v>34</v>
      </c>
      <c r="E1186" t="s">
        <v>42</v>
      </c>
      <c r="F1186" t="s">
        <v>168</v>
      </c>
      <c r="G1186" t="s">
        <v>90</v>
      </c>
      <c r="H1186" s="2">
        <v>0.54374999999999996</v>
      </c>
      <c r="I1186" s="2">
        <v>0.57986111111111116</v>
      </c>
      <c r="J1186">
        <v>8</v>
      </c>
      <c r="K1186">
        <v>26</v>
      </c>
      <c r="L1186" t="s">
        <v>45</v>
      </c>
      <c r="M1186">
        <v>22.7</v>
      </c>
      <c r="N1186">
        <v>63</v>
      </c>
      <c r="O1186">
        <v>9</v>
      </c>
      <c r="P1186">
        <v>12</v>
      </c>
      <c r="Q1186" t="s">
        <v>31</v>
      </c>
      <c r="R1186">
        <v>2000</v>
      </c>
      <c r="S1186">
        <v>0</v>
      </c>
      <c r="T1186">
        <v>0</v>
      </c>
      <c r="U1186">
        <v>1</v>
      </c>
      <c r="V1186">
        <v>4</v>
      </c>
      <c r="W1186" t="s">
        <v>72</v>
      </c>
      <c r="X1186">
        <v>1</v>
      </c>
      <c r="Y1186" t="str">
        <f t="shared" si="18"/>
        <v>Low</v>
      </c>
    </row>
    <row r="1187" spans="1:25">
      <c r="A1187" t="s">
        <v>1300</v>
      </c>
      <c r="B1187" s="1">
        <v>44939</v>
      </c>
      <c r="C1187" s="2">
        <v>0.55208333333333337</v>
      </c>
      <c r="D1187" t="s">
        <v>34</v>
      </c>
      <c r="E1187" t="s">
        <v>93</v>
      </c>
      <c r="F1187" t="s">
        <v>37</v>
      </c>
      <c r="G1187" t="s">
        <v>69</v>
      </c>
      <c r="H1187" s="2">
        <v>0.55277777777777781</v>
      </c>
      <c r="I1187" s="2">
        <v>0.58819444444444446</v>
      </c>
      <c r="J1187">
        <v>3</v>
      </c>
      <c r="K1187">
        <v>28</v>
      </c>
      <c r="L1187" t="s">
        <v>77</v>
      </c>
      <c r="M1187">
        <v>15.2</v>
      </c>
      <c r="N1187">
        <v>46</v>
      </c>
      <c r="O1187">
        <v>14</v>
      </c>
      <c r="P1187">
        <v>5.4</v>
      </c>
      <c r="Q1187" t="s">
        <v>59</v>
      </c>
      <c r="R1187">
        <v>2000</v>
      </c>
      <c r="S1187">
        <v>71</v>
      </c>
      <c r="T1187">
        <v>0</v>
      </c>
      <c r="U1187">
        <v>0</v>
      </c>
      <c r="V1187">
        <v>4</v>
      </c>
      <c r="W1187" t="s">
        <v>39</v>
      </c>
      <c r="X1187">
        <v>1</v>
      </c>
      <c r="Y1187" t="str">
        <f t="shared" si="18"/>
        <v>High</v>
      </c>
    </row>
    <row r="1188" spans="1:25">
      <c r="A1188" t="s">
        <v>1301</v>
      </c>
      <c r="B1188" s="1">
        <v>44939</v>
      </c>
      <c r="C1188" s="2">
        <v>0.5625</v>
      </c>
      <c r="D1188" t="s">
        <v>34</v>
      </c>
      <c r="E1188" t="s">
        <v>157</v>
      </c>
      <c r="F1188" t="s">
        <v>105</v>
      </c>
      <c r="G1188" t="s">
        <v>123</v>
      </c>
      <c r="H1188" s="2">
        <v>0.56319444444444444</v>
      </c>
      <c r="I1188" s="2">
        <v>0.58958333333333335</v>
      </c>
      <c r="J1188">
        <v>9</v>
      </c>
      <c r="K1188">
        <v>28</v>
      </c>
      <c r="L1188" t="s">
        <v>30</v>
      </c>
      <c r="M1188">
        <v>16.5</v>
      </c>
      <c r="N1188">
        <v>50</v>
      </c>
      <c r="O1188">
        <v>16</v>
      </c>
      <c r="P1188">
        <v>7.7</v>
      </c>
      <c r="Q1188" t="s">
        <v>31</v>
      </c>
      <c r="R1188">
        <v>50000</v>
      </c>
      <c r="S1188">
        <v>64</v>
      </c>
      <c r="T1188">
        <v>0</v>
      </c>
      <c r="U1188">
        <v>1</v>
      </c>
      <c r="V1188">
        <v>4</v>
      </c>
      <c r="W1188" t="s">
        <v>72</v>
      </c>
      <c r="X1188">
        <v>1</v>
      </c>
      <c r="Y1188" t="str">
        <f t="shared" si="18"/>
        <v>Medium</v>
      </c>
    </row>
    <row r="1189" spans="1:25">
      <c r="A1189" t="s">
        <v>1302</v>
      </c>
      <c r="B1189" s="1">
        <v>44939</v>
      </c>
      <c r="C1189" s="2">
        <v>0.57291666666666663</v>
      </c>
      <c r="D1189" t="s">
        <v>41</v>
      </c>
      <c r="E1189" t="s">
        <v>57</v>
      </c>
      <c r="F1189" t="s">
        <v>154</v>
      </c>
      <c r="G1189" t="s">
        <v>87</v>
      </c>
      <c r="H1189" s="2">
        <v>0.5756944444444444</v>
      </c>
      <c r="I1189" s="2">
        <v>0.59513888888888888</v>
      </c>
      <c r="J1189">
        <v>6</v>
      </c>
      <c r="K1189">
        <v>24</v>
      </c>
      <c r="L1189" t="s">
        <v>30</v>
      </c>
      <c r="M1189">
        <v>24.7</v>
      </c>
      <c r="N1189">
        <v>96</v>
      </c>
      <c r="O1189">
        <v>10</v>
      </c>
      <c r="P1189">
        <v>11.1</v>
      </c>
      <c r="Q1189" t="s">
        <v>101</v>
      </c>
      <c r="R1189">
        <v>0</v>
      </c>
      <c r="S1189">
        <v>65</v>
      </c>
      <c r="T1189">
        <v>0</v>
      </c>
      <c r="U1189">
        <v>0</v>
      </c>
      <c r="V1189">
        <v>4</v>
      </c>
      <c r="W1189" t="s">
        <v>39</v>
      </c>
      <c r="X1189">
        <v>1</v>
      </c>
      <c r="Y1189" t="str">
        <f t="shared" si="18"/>
        <v>Medium</v>
      </c>
    </row>
    <row r="1190" spans="1:25">
      <c r="A1190" t="s">
        <v>1303</v>
      </c>
      <c r="B1190" s="1">
        <v>44939</v>
      </c>
      <c r="C1190" s="2">
        <v>0.58333333333333337</v>
      </c>
      <c r="D1190" t="s">
        <v>26</v>
      </c>
      <c r="E1190" t="s">
        <v>161</v>
      </c>
      <c r="F1190" t="s">
        <v>176</v>
      </c>
      <c r="G1190" t="s">
        <v>95</v>
      </c>
      <c r="H1190" s="2">
        <v>0.58402777777777781</v>
      </c>
      <c r="I1190" s="2">
        <v>0.61944444444444446</v>
      </c>
      <c r="J1190">
        <v>7</v>
      </c>
      <c r="K1190">
        <v>6</v>
      </c>
      <c r="L1190" t="s">
        <v>45</v>
      </c>
      <c r="M1190">
        <v>4.9000000000000004</v>
      </c>
      <c r="N1190">
        <v>87</v>
      </c>
      <c r="O1190">
        <v>33</v>
      </c>
      <c r="P1190">
        <v>18.8</v>
      </c>
      <c r="Q1190" t="s">
        <v>31</v>
      </c>
      <c r="R1190">
        <v>2000</v>
      </c>
      <c r="S1190">
        <v>36</v>
      </c>
      <c r="T1190">
        <v>0</v>
      </c>
      <c r="U1190">
        <v>0</v>
      </c>
      <c r="V1190">
        <v>4</v>
      </c>
      <c r="W1190" t="s">
        <v>39</v>
      </c>
      <c r="X1190">
        <v>1</v>
      </c>
      <c r="Y1190" t="str">
        <f t="shared" si="18"/>
        <v>Medium</v>
      </c>
    </row>
    <row r="1191" spans="1:25">
      <c r="A1191" t="s">
        <v>1304</v>
      </c>
      <c r="B1191" s="1">
        <v>44939</v>
      </c>
      <c r="C1191" s="2">
        <v>0.59375</v>
      </c>
      <c r="D1191" t="s">
        <v>34</v>
      </c>
      <c r="E1191" t="s">
        <v>79</v>
      </c>
      <c r="F1191" t="s">
        <v>128</v>
      </c>
      <c r="G1191" t="s">
        <v>87</v>
      </c>
      <c r="H1191" s="2">
        <v>0.59375</v>
      </c>
      <c r="I1191" s="2">
        <v>0.61041666666666672</v>
      </c>
      <c r="J1191">
        <v>0</v>
      </c>
      <c r="K1191">
        <v>18</v>
      </c>
      <c r="L1191" t="s">
        <v>77</v>
      </c>
      <c r="M1191">
        <v>4.3</v>
      </c>
      <c r="N1191">
        <v>37</v>
      </c>
      <c r="O1191">
        <v>26</v>
      </c>
      <c r="P1191">
        <v>12.9</v>
      </c>
      <c r="Q1191" t="s">
        <v>31</v>
      </c>
      <c r="R1191">
        <v>0</v>
      </c>
      <c r="S1191">
        <v>23</v>
      </c>
      <c r="T1191">
        <v>0</v>
      </c>
      <c r="U1191">
        <v>0</v>
      </c>
      <c r="V1191">
        <v>4</v>
      </c>
      <c r="W1191" t="s">
        <v>32</v>
      </c>
      <c r="X1191">
        <v>1</v>
      </c>
      <c r="Y1191" t="str">
        <f t="shared" si="18"/>
        <v>Low</v>
      </c>
    </row>
    <row r="1192" spans="1:25">
      <c r="A1192" t="s">
        <v>1305</v>
      </c>
      <c r="B1192" s="1">
        <v>44939</v>
      </c>
      <c r="C1192" s="2">
        <v>0.60416666666666663</v>
      </c>
      <c r="D1192" t="s">
        <v>26</v>
      </c>
      <c r="E1192" t="s">
        <v>126</v>
      </c>
      <c r="F1192" t="s">
        <v>116</v>
      </c>
      <c r="G1192" t="s">
        <v>37</v>
      </c>
      <c r="H1192" s="2">
        <v>0.60624999999999996</v>
      </c>
      <c r="I1192" s="2">
        <v>0.6430555555555556</v>
      </c>
      <c r="J1192">
        <v>0</v>
      </c>
      <c r="K1192">
        <v>13</v>
      </c>
      <c r="L1192" t="s">
        <v>38</v>
      </c>
      <c r="M1192">
        <v>33</v>
      </c>
      <c r="N1192">
        <v>67</v>
      </c>
      <c r="O1192">
        <v>20</v>
      </c>
      <c r="P1192">
        <v>6.7</v>
      </c>
      <c r="Q1192" t="s">
        <v>31</v>
      </c>
      <c r="R1192">
        <v>0</v>
      </c>
      <c r="S1192">
        <v>90</v>
      </c>
      <c r="T1192">
        <v>0</v>
      </c>
      <c r="U1192">
        <v>0</v>
      </c>
      <c r="V1192">
        <v>4</v>
      </c>
      <c r="W1192" t="s">
        <v>72</v>
      </c>
      <c r="X1192">
        <v>1</v>
      </c>
      <c r="Y1192" t="str">
        <f t="shared" si="18"/>
        <v>High</v>
      </c>
    </row>
    <row r="1193" spans="1:25">
      <c r="A1193" t="s">
        <v>1306</v>
      </c>
      <c r="B1193" s="1">
        <v>44939</v>
      </c>
      <c r="C1193" s="2">
        <v>0.61458333333333337</v>
      </c>
      <c r="D1193" t="s">
        <v>26</v>
      </c>
      <c r="E1193" t="s">
        <v>57</v>
      </c>
      <c r="F1193" t="s">
        <v>122</v>
      </c>
      <c r="G1193" t="s">
        <v>91</v>
      </c>
      <c r="H1193" s="2">
        <v>0.61597222222222225</v>
      </c>
      <c r="I1193" s="2">
        <v>0.63749999999999996</v>
      </c>
      <c r="J1193">
        <v>17</v>
      </c>
      <c r="K1193">
        <v>18</v>
      </c>
      <c r="L1193" t="s">
        <v>77</v>
      </c>
      <c r="M1193">
        <v>-3.9</v>
      </c>
      <c r="N1193">
        <v>55</v>
      </c>
      <c r="O1193">
        <v>30</v>
      </c>
      <c r="P1193">
        <v>0.2</v>
      </c>
      <c r="Q1193" t="s">
        <v>31</v>
      </c>
      <c r="R1193">
        <v>0</v>
      </c>
      <c r="S1193">
        <v>83</v>
      </c>
      <c r="T1193">
        <v>1</v>
      </c>
      <c r="U1193">
        <v>1</v>
      </c>
      <c r="V1193">
        <v>4</v>
      </c>
      <c r="W1193" t="s">
        <v>39</v>
      </c>
      <c r="X1193">
        <v>1</v>
      </c>
      <c r="Y1193" t="str">
        <f t="shared" si="18"/>
        <v>High</v>
      </c>
    </row>
    <row r="1194" spans="1:25">
      <c r="A1194" t="s">
        <v>1307</v>
      </c>
      <c r="B1194" s="1">
        <v>44939</v>
      </c>
      <c r="C1194" s="2">
        <v>0.625</v>
      </c>
      <c r="D1194" t="s">
        <v>41</v>
      </c>
      <c r="E1194" t="s">
        <v>27</v>
      </c>
      <c r="F1194" t="s">
        <v>194</v>
      </c>
      <c r="G1194" t="s">
        <v>151</v>
      </c>
      <c r="H1194" s="2">
        <v>0.62708333333333333</v>
      </c>
      <c r="I1194" s="2">
        <v>0.65694444444444444</v>
      </c>
      <c r="J1194">
        <v>13</v>
      </c>
      <c r="K1194">
        <v>15</v>
      </c>
      <c r="L1194" t="s">
        <v>30</v>
      </c>
      <c r="M1194">
        <v>0.6</v>
      </c>
      <c r="N1194">
        <v>93</v>
      </c>
      <c r="O1194">
        <v>49</v>
      </c>
      <c r="P1194">
        <v>19.600000000000001</v>
      </c>
      <c r="Q1194" t="s">
        <v>31</v>
      </c>
      <c r="R1194">
        <v>500</v>
      </c>
      <c r="S1194">
        <v>61</v>
      </c>
      <c r="T1194">
        <v>0</v>
      </c>
      <c r="U1194">
        <v>1</v>
      </c>
      <c r="V1194">
        <v>4</v>
      </c>
      <c r="W1194" t="s">
        <v>72</v>
      </c>
      <c r="X1194">
        <v>1</v>
      </c>
      <c r="Y1194" t="str">
        <f t="shared" si="18"/>
        <v>Medium</v>
      </c>
    </row>
    <row r="1195" spans="1:25">
      <c r="A1195" t="s">
        <v>1308</v>
      </c>
      <c r="B1195" s="1">
        <v>44939</v>
      </c>
      <c r="C1195" s="2">
        <v>0.63541666666666663</v>
      </c>
      <c r="D1195" t="s">
        <v>34</v>
      </c>
      <c r="E1195" t="s">
        <v>147</v>
      </c>
      <c r="F1195" t="s">
        <v>62</v>
      </c>
      <c r="G1195" t="s">
        <v>123</v>
      </c>
      <c r="H1195" s="2">
        <v>0.63611111111111107</v>
      </c>
      <c r="I1195" s="2">
        <v>0.6645833333333333</v>
      </c>
      <c r="J1195">
        <v>0</v>
      </c>
      <c r="K1195">
        <v>13</v>
      </c>
      <c r="L1195" t="s">
        <v>84</v>
      </c>
      <c r="M1195">
        <v>17.8</v>
      </c>
      <c r="N1195">
        <v>59</v>
      </c>
      <c r="O1195">
        <v>56</v>
      </c>
      <c r="P1195">
        <v>9.9</v>
      </c>
      <c r="Q1195" t="s">
        <v>31</v>
      </c>
      <c r="R1195">
        <v>500</v>
      </c>
      <c r="S1195">
        <v>20</v>
      </c>
      <c r="T1195">
        <v>0</v>
      </c>
      <c r="U1195">
        <v>0</v>
      </c>
      <c r="V1195">
        <v>4</v>
      </c>
      <c r="W1195" t="s">
        <v>72</v>
      </c>
      <c r="X1195">
        <v>1</v>
      </c>
      <c r="Y1195" t="str">
        <f t="shared" si="18"/>
        <v>Low</v>
      </c>
    </row>
    <row r="1196" spans="1:25">
      <c r="A1196" t="s">
        <v>1309</v>
      </c>
      <c r="B1196" s="1">
        <v>44939</v>
      </c>
      <c r="C1196" s="2">
        <v>0.64583333333333337</v>
      </c>
      <c r="D1196" t="s">
        <v>74</v>
      </c>
      <c r="E1196" t="s">
        <v>93</v>
      </c>
      <c r="F1196" t="s">
        <v>76</v>
      </c>
      <c r="G1196" t="s">
        <v>142</v>
      </c>
      <c r="H1196" s="2">
        <v>0.64722222222222225</v>
      </c>
      <c r="I1196" s="2">
        <v>0.66874999999999996</v>
      </c>
      <c r="J1196">
        <v>7</v>
      </c>
      <c r="K1196">
        <v>20</v>
      </c>
      <c r="L1196" t="s">
        <v>54</v>
      </c>
      <c r="M1196">
        <v>24.5</v>
      </c>
      <c r="N1196">
        <v>38</v>
      </c>
      <c r="O1196">
        <v>3</v>
      </c>
      <c r="P1196">
        <v>18.8</v>
      </c>
      <c r="Q1196" t="s">
        <v>46</v>
      </c>
      <c r="R1196">
        <v>0</v>
      </c>
      <c r="S1196">
        <v>36</v>
      </c>
      <c r="T1196">
        <v>0</v>
      </c>
      <c r="U1196">
        <v>0</v>
      </c>
      <c r="V1196">
        <v>4</v>
      </c>
      <c r="W1196" t="s">
        <v>55</v>
      </c>
      <c r="X1196">
        <v>1</v>
      </c>
      <c r="Y1196" t="str">
        <f t="shared" si="18"/>
        <v>Medium</v>
      </c>
    </row>
    <row r="1197" spans="1:25">
      <c r="A1197" t="s">
        <v>1310</v>
      </c>
      <c r="B1197" s="1">
        <v>44939</v>
      </c>
      <c r="C1197" s="2">
        <v>0.65625</v>
      </c>
      <c r="D1197" t="s">
        <v>41</v>
      </c>
      <c r="E1197" t="s">
        <v>161</v>
      </c>
      <c r="F1197" t="s">
        <v>185</v>
      </c>
      <c r="G1197" t="s">
        <v>87</v>
      </c>
      <c r="H1197" s="2">
        <v>0.65902777777777777</v>
      </c>
      <c r="I1197" s="2">
        <v>0.69722222222222219</v>
      </c>
      <c r="J1197">
        <v>8</v>
      </c>
      <c r="K1197">
        <v>28</v>
      </c>
      <c r="L1197" t="s">
        <v>84</v>
      </c>
      <c r="M1197">
        <v>16.5</v>
      </c>
      <c r="N1197">
        <v>61</v>
      </c>
      <c r="O1197">
        <v>40</v>
      </c>
      <c r="P1197">
        <v>11</v>
      </c>
      <c r="Q1197" t="s">
        <v>31</v>
      </c>
      <c r="R1197">
        <v>0</v>
      </c>
      <c r="S1197">
        <v>34</v>
      </c>
      <c r="T1197">
        <v>1</v>
      </c>
      <c r="U1197">
        <v>1</v>
      </c>
      <c r="V1197">
        <v>4</v>
      </c>
      <c r="W1197" t="s">
        <v>55</v>
      </c>
      <c r="X1197">
        <v>1</v>
      </c>
      <c r="Y1197" t="str">
        <f t="shared" si="18"/>
        <v>Medium</v>
      </c>
    </row>
    <row r="1198" spans="1:25">
      <c r="A1198" t="s">
        <v>1311</v>
      </c>
      <c r="B1198" s="1">
        <v>44939</v>
      </c>
      <c r="C1198" s="2">
        <v>0.66666666666666663</v>
      </c>
      <c r="D1198" t="s">
        <v>74</v>
      </c>
      <c r="E1198" t="s">
        <v>57</v>
      </c>
      <c r="F1198" t="s">
        <v>53</v>
      </c>
      <c r="G1198" t="s">
        <v>28</v>
      </c>
      <c r="H1198" s="2">
        <v>0.66874999999999996</v>
      </c>
      <c r="I1198" s="2">
        <v>0.68263888888888891</v>
      </c>
      <c r="J1198">
        <v>5</v>
      </c>
      <c r="K1198">
        <v>24</v>
      </c>
      <c r="L1198" t="s">
        <v>38</v>
      </c>
      <c r="M1198">
        <v>9.1999999999999993</v>
      </c>
      <c r="N1198">
        <v>40</v>
      </c>
      <c r="O1198">
        <v>58</v>
      </c>
      <c r="P1198">
        <v>12.1</v>
      </c>
      <c r="Q1198" t="s">
        <v>31</v>
      </c>
      <c r="R1198">
        <v>0</v>
      </c>
      <c r="S1198">
        <v>37</v>
      </c>
      <c r="T1198">
        <v>1</v>
      </c>
      <c r="U1198">
        <v>0</v>
      </c>
      <c r="V1198">
        <v>4</v>
      </c>
      <c r="W1198" t="s">
        <v>32</v>
      </c>
      <c r="X1198">
        <v>1</v>
      </c>
      <c r="Y1198" t="str">
        <f t="shared" si="18"/>
        <v>Medium</v>
      </c>
    </row>
    <row r="1199" spans="1:25">
      <c r="A1199" t="s">
        <v>1312</v>
      </c>
      <c r="B1199" s="1">
        <v>44939</v>
      </c>
      <c r="C1199" s="2">
        <v>0.67708333333333337</v>
      </c>
      <c r="D1199" t="s">
        <v>26</v>
      </c>
      <c r="E1199" t="s">
        <v>68</v>
      </c>
      <c r="F1199" t="s">
        <v>53</v>
      </c>
      <c r="G1199" t="s">
        <v>28</v>
      </c>
      <c r="H1199" s="2">
        <v>0.67847222222222225</v>
      </c>
      <c r="I1199" s="2">
        <v>0.71736111111111112</v>
      </c>
      <c r="J1199">
        <v>3</v>
      </c>
      <c r="K1199">
        <v>10</v>
      </c>
      <c r="L1199" t="s">
        <v>77</v>
      </c>
      <c r="M1199">
        <v>34.1</v>
      </c>
      <c r="N1199">
        <v>63</v>
      </c>
      <c r="O1199">
        <v>59</v>
      </c>
      <c r="P1199">
        <v>14.2</v>
      </c>
      <c r="Q1199" t="s">
        <v>31</v>
      </c>
      <c r="R1199">
        <v>0</v>
      </c>
      <c r="S1199">
        <v>52</v>
      </c>
      <c r="T1199">
        <v>0</v>
      </c>
      <c r="U1199">
        <v>1</v>
      </c>
      <c r="V1199">
        <v>4</v>
      </c>
      <c r="W1199" t="s">
        <v>72</v>
      </c>
      <c r="X1199">
        <v>1</v>
      </c>
      <c r="Y1199" t="str">
        <f t="shared" si="18"/>
        <v>Medium</v>
      </c>
    </row>
    <row r="1200" spans="1:25">
      <c r="A1200" t="s">
        <v>1313</v>
      </c>
      <c r="B1200" s="1">
        <v>44939</v>
      </c>
      <c r="C1200" s="2">
        <v>0.6875</v>
      </c>
      <c r="D1200" t="s">
        <v>26</v>
      </c>
      <c r="E1200" t="s">
        <v>157</v>
      </c>
      <c r="F1200" t="s">
        <v>107</v>
      </c>
      <c r="G1200" t="s">
        <v>69</v>
      </c>
      <c r="H1200" s="2">
        <v>0.68888888888888888</v>
      </c>
      <c r="I1200" s="2">
        <v>0.71388888888888891</v>
      </c>
      <c r="J1200">
        <v>17</v>
      </c>
      <c r="K1200">
        <v>2</v>
      </c>
      <c r="L1200" t="s">
        <v>45</v>
      </c>
      <c r="M1200">
        <v>23.2</v>
      </c>
      <c r="N1200">
        <v>47</v>
      </c>
      <c r="O1200">
        <v>48</v>
      </c>
      <c r="P1200">
        <v>6.4</v>
      </c>
      <c r="Q1200" t="s">
        <v>71</v>
      </c>
      <c r="R1200">
        <v>0</v>
      </c>
      <c r="S1200">
        <v>14</v>
      </c>
      <c r="T1200">
        <v>0</v>
      </c>
      <c r="U1200">
        <v>1</v>
      </c>
      <c r="V1200">
        <v>4</v>
      </c>
      <c r="W1200" t="s">
        <v>55</v>
      </c>
      <c r="X1200">
        <v>0</v>
      </c>
      <c r="Y1200" t="str">
        <f t="shared" si="18"/>
        <v>Low</v>
      </c>
    </row>
    <row r="1201" spans="1:25">
      <c r="A1201" t="s">
        <v>1314</v>
      </c>
      <c r="B1201" s="1">
        <v>44939</v>
      </c>
      <c r="C1201" s="2">
        <v>0.69791666666666663</v>
      </c>
      <c r="D1201" t="s">
        <v>41</v>
      </c>
      <c r="E1201" t="s">
        <v>126</v>
      </c>
      <c r="F1201" t="s">
        <v>37</v>
      </c>
      <c r="G1201" t="s">
        <v>80</v>
      </c>
      <c r="H1201" s="2">
        <v>0.69930555555555551</v>
      </c>
      <c r="I1201" s="2">
        <v>0.71388888888888891</v>
      </c>
      <c r="J1201">
        <v>8</v>
      </c>
      <c r="K1201">
        <v>5</v>
      </c>
      <c r="L1201" t="s">
        <v>77</v>
      </c>
      <c r="M1201">
        <v>28.3</v>
      </c>
      <c r="N1201">
        <v>48</v>
      </c>
      <c r="O1201">
        <v>16</v>
      </c>
      <c r="P1201">
        <v>14</v>
      </c>
      <c r="Q1201" t="s">
        <v>31</v>
      </c>
      <c r="R1201">
        <v>0</v>
      </c>
      <c r="S1201">
        <v>41</v>
      </c>
      <c r="T1201">
        <v>0</v>
      </c>
      <c r="U1201">
        <v>0</v>
      </c>
      <c r="V1201">
        <v>4</v>
      </c>
      <c r="W1201" t="s">
        <v>39</v>
      </c>
      <c r="X1201">
        <v>0</v>
      </c>
      <c r="Y1201" t="str">
        <f t="shared" si="18"/>
        <v>Medium</v>
      </c>
    </row>
    <row r="1202" spans="1:25">
      <c r="A1202" t="s">
        <v>1315</v>
      </c>
      <c r="B1202" s="1">
        <v>44939</v>
      </c>
      <c r="C1202" s="2">
        <v>0.70833333333333337</v>
      </c>
      <c r="D1202" t="s">
        <v>41</v>
      </c>
      <c r="E1202" t="s">
        <v>42</v>
      </c>
      <c r="F1202" t="s">
        <v>75</v>
      </c>
      <c r="G1202" t="s">
        <v>75</v>
      </c>
      <c r="H1202" s="2">
        <v>0.70833333333333337</v>
      </c>
      <c r="I1202" s="2">
        <v>0.74236111111111114</v>
      </c>
      <c r="J1202">
        <v>18</v>
      </c>
      <c r="K1202">
        <v>17</v>
      </c>
      <c r="L1202" t="s">
        <v>38</v>
      </c>
      <c r="M1202">
        <v>-3.4</v>
      </c>
      <c r="N1202">
        <v>83</v>
      </c>
      <c r="O1202">
        <v>48</v>
      </c>
      <c r="P1202">
        <v>10.5</v>
      </c>
      <c r="Q1202" t="s">
        <v>31</v>
      </c>
      <c r="R1202">
        <v>2000</v>
      </c>
      <c r="S1202">
        <v>93</v>
      </c>
      <c r="T1202">
        <v>1</v>
      </c>
      <c r="U1202">
        <v>1</v>
      </c>
      <c r="V1202">
        <v>4</v>
      </c>
      <c r="W1202" t="s">
        <v>39</v>
      </c>
      <c r="X1202">
        <v>1</v>
      </c>
      <c r="Y1202" t="str">
        <f t="shared" si="18"/>
        <v>High</v>
      </c>
    </row>
    <row r="1203" spans="1:25">
      <c r="A1203" t="s">
        <v>1316</v>
      </c>
      <c r="B1203" s="1">
        <v>44939</v>
      </c>
      <c r="C1203" s="2">
        <v>0.71875</v>
      </c>
      <c r="D1203" t="s">
        <v>74</v>
      </c>
      <c r="E1203" t="s">
        <v>27</v>
      </c>
      <c r="F1203" t="s">
        <v>29</v>
      </c>
      <c r="G1203" t="s">
        <v>50</v>
      </c>
      <c r="H1203" s="2">
        <v>0.72083333333333333</v>
      </c>
      <c r="I1203" s="2">
        <v>0.74513888888888891</v>
      </c>
      <c r="J1203">
        <v>9</v>
      </c>
      <c r="K1203">
        <v>8</v>
      </c>
      <c r="L1203" t="s">
        <v>38</v>
      </c>
      <c r="M1203">
        <v>4.4000000000000004</v>
      </c>
      <c r="N1203">
        <v>66</v>
      </c>
      <c r="O1203">
        <v>47</v>
      </c>
      <c r="P1203">
        <v>13.4</v>
      </c>
      <c r="Q1203" t="s">
        <v>31</v>
      </c>
      <c r="R1203">
        <v>0</v>
      </c>
      <c r="S1203">
        <v>3</v>
      </c>
      <c r="T1203">
        <v>0</v>
      </c>
      <c r="U1203">
        <v>0</v>
      </c>
      <c r="V1203">
        <v>4</v>
      </c>
      <c r="W1203" t="s">
        <v>32</v>
      </c>
      <c r="X1203">
        <v>1</v>
      </c>
      <c r="Y1203" t="str">
        <f t="shared" si="18"/>
        <v>Low</v>
      </c>
    </row>
    <row r="1204" spans="1:25">
      <c r="A1204" t="s">
        <v>1317</v>
      </c>
      <c r="B1204" s="1">
        <v>44939</v>
      </c>
      <c r="C1204" s="2">
        <v>0.72916666666666663</v>
      </c>
      <c r="D1204" t="s">
        <v>34</v>
      </c>
      <c r="E1204" t="s">
        <v>27</v>
      </c>
      <c r="F1204" t="s">
        <v>80</v>
      </c>
      <c r="G1204" t="s">
        <v>83</v>
      </c>
      <c r="H1204" s="2">
        <v>0.73055555555555551</v>
      </c>
      <c r="I1204" s="2">
        <v>0.76388888888888884</v>
      </c>
      <c r="J1204">
        <v>13</v>
      </c>
      <c r="K1204">
        <v>26</v>
      </c>
      <c r="L1204" t="s">
        <v>54</v>
      </c>
      <c r="M1204">
        <v>10</v>
      </c>
      <c r="N1204">
        <v>41</v>
      </c>
      <c r="O1204">
        <v>19</v>
      </c>
      <c r="P1204">
        <v>16.7</v>
      </c>
      <c r="Q1204" t="s">
        <v>59</v>
      </c>
      <c r="R1204">
        <v>0</v>
      </c>
      <c r="S1204">
        <v>38</v>
      </c>
      <c r="T1204">
        <v>0</v>
      </c>
      <c r="U1204">
        <v>0</v>
      </c>
      <c r="V1204">
        <v>4</v>
      </c>
      <c r="W1204" t="s">
        <v>39</v>
      </c>
      <c r="X1204">
        <v>1</v>
      </c>
      <c r="Y1204" t="str">
        <f t="shared" si="18"/>
        <v>Medium</v>
      </c>
    </row>
    <row r="1205" spans="1:25">
      <c r="A1205" t="s">
        <v>1318</v>
      </c>
      <c r="B1205" s="1">
        <v>44939</v>
      </c>
      <c r="C1205" s="2">
        <v>0.73958333333333337</v>
      </c>
      <c r="D1205" t="s">
        <v>74</v>
      </c>
      <c r="E1205" t="s">
        <v>68</v>
      </c>
      <c r="F1205" t="s">
        <v>81</v>
      </c>
      <c r="G1205" t="s">
        <v>142</v>
      </c>
      <c r="H1205" s="2">
        <v>0.7416666666666667</v>
      </c>
      <c r="I1205" s="2">
        <v>0.77430555555555558</v>
      </c>
      <c r="J1205">
        <v>15</v>
      </c>
      <c r="K1205">
        <v>27</v>
      </c>
      <c r="L1205" t="s">
        <v>38</v>
      </c>
      <c r="M1205">
        <v>2.2999999999999998</v>
      </c>
      <c r="N1205">
        <v>33</v>
      </c>
      <c r="O1205">
        <v>24</v>
      </c>
      <c r="P1205">
        <v>3.7</v>
      </c>
      <c r="Q1205" t="s">
        <v>71</v>
      </c>
      <c r="R1205">
        <v>50000</v>
      </c>
      <c r="S1205">
        <v>78</v>
      </c>
      <c r="T1205">
        <v>1</v>
      </c>
      <c r="U1205">
        <v>0</v>
      </c>
      <c r="V1205">
        <v>4</v>
      </c>
      <c r="W1205" t="s">
        <v>72</v>
      </c>
      <c r="X1205">
        <v>1</v>
      </c>
      <c r="Y1205" t="str">
        <f t="shared" si="18"/>
        <v>High</v>
      </c>
    </row>
    <row r="1206" spans="1:25">
      <c r="A1206" t="s">
        <v>1319</v>
      </c>
      <c r="B1206" s="1">
        <v>44939</v>
      </c>
      <c r="C1206" s="2">
        <v>0.75</v>
      </c>
      <c r="D1206" t="s">
        <v>41</v>
      </c>
      <c r="E1206" t="s">
        <v>27</v>
      </c>
      <c r="F1206" t="s">
        <v>70</v>
      </c>
      <c r="G1206" t="s">
        <v>83</v>
      </c>
      <c r="H1206" s="2">
        <v>0.75138888888888888</v>
      </c>
      <c r="I1206" s="2">
        <v>0.76944444444444449</v>
      </c>
      <c r="J1206">
        <v>10</v>
      </c>
      <c r="K1206">
        <v>0</v>
      </c>
      <c r="L1206" t="s">
        <v>84</v>
      </c>
      <c r="M1206">
        <v>-2.1</v>
      </c>
      <c r="N1206">
        <v>72</v>
      </c>
      <c r="O1206">
        <v>39</v>
      </c>
      <c r="P1206">
        <v>12.3</v>
      </c>
      <c r="Q1206" t="s">
        <v>31</v>
      </c>
      <c r="R1206">
        <v>0</v>
      </c>
      <c r="S1206">
        <v>22</v>
      </c>
      <c r="T1206">
        <v>0</v>
      </c>
      <c r="U1206">
        <v>0</v>
      </c>
      <c r="V1206">
        <v>4</v>
      </c>
      <c r="W1206" t="s">
        <v>39</v>
      </c>
      <c r="X1206">
        <v>0</v>
      </c>
      <c r="Y1206" t="str">
        <f t="shared" si="18"/>
        <v>Low</v>
      </c>
    </row>
    <row r="1207" spans="1:25">
      <c r="A1207" t="s">
        <v>1320</v>
      </c>
      <c r="B1207" s="1">
        <v>44939</v>
      </c>
      <c r="C1207" s="2">
        <v>0.76041666666666663</v>
      </c>
      <c r="D1207" t="s">
        <v>74</v>
      </c>
      <c r="E1207" t="s">
        <v>111</v>
      </c>
      <c r="F1207" t="s">
        <v>81</v>
      </c>
      <c r="G1207" t="s">
        <v>53</v>
      </c>
      <c r="H1207" s="2">
        <v>0.7631944444444444</v>
      </c>
      <c r="I1207" s="2">
        <v>0.78263888888888888</v>
      </c>
      <c r="J1207">
        <v>19</v>
      </c>
      <c r="K1207">
        <v>27</v>
      </c>
      <c r="L1207" t="s">
        <v>54</v>
      </c>
      <c r="M1207">
        <v>4</v>
      </c>
      <c r="N1207">
        <v>56</v>
      </c>
      <c r="O1207">
        <v>22</v>
      </c>
      <c r="P1207">
        <v>1</v>
      </c>
      <c r="Q1207" t="s">
        <v>31</v>
      </c>
      <c r="R1207">
        <v>2000</v>
      </c>
      <c r="S1207">
        <v>14</v>
      </c>
      <c r="T1207">
        <v>0</v>
      </c>
      <c r="U1207">
        <v>0</v>
      </c>
      <c r="V1207">
        <v>4</v>
      </c>
      <c r="W1207" t="s">
        <v>32</v>
      </c>
      <c r="X1207">
        <v>1</v>
      </c>
      <c r="Y1207" t="str">
        <f t="shared" si="18"/>
        <v>Low</v>
      </c>
    </row>
    <row r="1208" spans="1:25">
      <c r="A1208" t="s">
        <v>1321</v>
      </c>
      <c r="B1208" s="1">
        <v>44939</v>
      </c>
      <c r="C1208" s="2">
        <v>0.77083333333333337</v>
      </c>
      <c r="D1208" t="s">
        <v>41</v>
      </c>
      <c r="E1208" t="s">
        <v>147</v>
      </c>
      <c r="F1208" t="s">
        <v>135</v>
      </c>
      <c r="G1208" t="s">
        <v>53</v>
      </c>
      <c r="H1208" s="2">
        <v>0.77361111111111114</v>
      </c>
      <c r="I1208" s="2">
        <v>0.79374999999999996</v>
      </c>
      <c r="J1208">
        <v>0</v>
      </c>
      <c r="K1208">
        <v>23</v>
      </c>
      <c r="L1208" t="s">
        <v>77</v>
      </c>
      <c r="M1208">
        <v>16.3</v>
      </c>
      <c r="N1208">
        <v>80</v>
      </c>
      <c r="O1208">
        <v>14</v>
      </c>
      <c r="P1208">
        <v>2</v>
      </c>
      <c r="Q1208" t="s">
        <v>31</v>
      </c>
      <c r="R1208">
        <v>0</v>
      </c>
      <c r="S1208">
        <v>89</v>
      </c>
      <c r="T1208">
        <v>0</v>
      </c>
      <c r="U1208">
        <v>1</v>
      </c>
      <c r="V1208">
        <v>4</v>
      </c>
      <c r="W1208" t="s">
        <v>32</v>
      </c>
      <c r="X1208">
        <v>1</v>
      </c>
      <c r="Y1208" t="str">
        <f t="shared" si="18"/>
        <v>High</v>
      </c>
    </row>
    <row r="1209" spans="1:25">
      <c r="A1209" t="s">
        <v>1322</v>
      </c>
      <c r="B1209" s="1">
        <v>44939</v>
      </c>
      <c r="C1209" s="2">
        <v>0.78125</v>
      </c>
      <c r="D1209" t="s">
        <v>74</v>
      </c>
      <c r="E1209" t="s">
        <v>104</v>
      </c>
      <c r="F1209" t="s">
        <v>144</v>
      </c>
      <c r="G1209" t="s">
        <v>29</v>
      </c>
      <c r="H1209" s="2">
        <v>0.78402777777777777</v>
      </c>
      <c r="I1209" s="2">
        <v>0.80138888888888893</v>
      </c>
      <c r="J1209">
        <v>12</v>
      </c>
      <c r="K1209">
        <v>21</v>
      </c>
      <c r="L1209" t="s">
        <v>77</v>
      </c>
      <c r="M1209">
        <v>22.8</v>
      </c>
      <c r="N1209">
        <v>34</v>
      </c>
      <c r="O1209">
        <v>32</v>
      </c>
      <c r="P1209">
        <v>13.5</v>
      </c>
      <c r="Q1209" t="s">
        <v>31</v>
      </c>
      <c r="R1209">
        <v>50000</v>
      </c>
      <c r="S1209">
        <v>11</v>
      </c>
      <c r="T1209">
        <v>0</v>
      </c>
      <c r="U1209">
        <v>0</v>
      </c>
      <c r="V1209">
        <v>4</v>
      </c>
      <c r="W1209" t="s">
        <v>39</v>
      </c>
      <c r="X1209">
        <v>1</v>
      </c>
      <c r="Y1209" t="str">
        <f t="shared" si="18"/>
        <v>Low</v>
      </c>
    </row>
    <row r="1210" spans="1:25">
      <c r="A1210" t="s">
        <v>1323</v>
      </c>
      <c r="B1210" s="1">
        <v>44939</v>
      </c>
      <c r="C1210" s="2">
        <v>0.79166666666666663</v>
      </c>
      <c r="D1210" t="s">
        <v>41</v>
      </c>
      <c r="E1210" t="s">
        <v>89</v>
      </c>
      <c r="F1210" t="s">
        <v>105</v>
      </c>
      <c r="G1210" t="s">
        <v>116</v>
      </c>
      <c r="H1210" s="2">
        <v>0.79236111111111107</v>
      </c>
      <c r="I1210" s="2">
        <v>0.82638888888888884</v>
      </c>
      <c r="J1210">
        <v>19</v>
      </c>
      <c r="K1210">
        <v>1</v>
      </c>
      <c r="L1210" t="s">
        <v>45</v>
      </c>
      <c r="M1210">
        <v>26</v>
      </c>
      <c r="N1210">
        <v>35</v>
      </c>
      <c r="O1210">
        <v>18</v>
      </c>
      <c r="P1210">
        <v>1.4</v>
      </c>
      <c r="Q1210" t="s">
        <v>31</v>
      </c>
      <c r="R1210">
        <v>0</v>
      </c>
      <c r="S1210">
        <v>81</v>
      </c>
      <c r="T1210">
        <v>0</v>
      </c>
      <c r="U1210">
        <v>0</v>
      </c>
      <c r="V1210">
        <v>4</v>
      </c>
      <c r="W1210" t="s">
        <v>72</v>
      </c>
      <c r="X1210">
        <v>0</v>
      </c>
      <c r="Y1210" t="str">
        <f t="shared" si="18"/>
        <v>High</v>
      </c>
    </row>
    <row r="1211" spans="1:25">
      <c r="A1211" t="s">
        <v>1324</v>
      </c>
      <c r="B1211" s="1">
        <v>44939</v>
      </c>
      <c r="C1211" s="2">
        <v>0.80208333333333337</v>
      </c>
      <c r="D1211" t="s">
        <v>41</v>
      </c>
      <c r="E1211" t="s">
        <v>42</v>
      </c>
      <c r="F1211" t="s">
        <v>86</v>
      </c>
      <c r="G1211" t="s">
        <v>53</v>
      </c>
      <c r="H1211" s="2">
        <v>0.80347222222222225</v>
      </c>
      <c r="I1211" s="2">
        <v>0.84097222222222223</v>
      </c>
      <c r="J1211">
        <v>18</v>
      </c>
      <c r="K1211">
        <v>2</v>
      </c>
      <c r="L1211" t="s">
        <v>38</v>
      </c>
      <c r="M1211">
        <v>-3.3</v>
      </c>
      <c r="N1211">
        <v>85</v>
      </c>
      <c r="O1211">
        <v>56</v>
      </c>
      <c r="P1211">
        <v>11.9</v>
      </c>
      <c r="Q1211" t="s">
        <v>31</v>
      </c>
      <c r="R1211">
        <v>2000</v>
      </c>
      <c r="S1211">
        <v>69</v>
      </c>
      <c r="T1211">
        <v>0</v>
      </c>
      <c r="U1211">
        <v>0</v>
      </c>
      <c r="V1211">
        <v>4</v>
      </c>
      <c r="W1211" t="s">
        <v>55</v>
      </c>
      <c r="X1211">
        <v>0</v>
      </c>
      <c r="Y1211" t="str">
        <f t="shared" si="18"/>
        <v>High</v>
      </c>
    </row>
    <row r="1212" spans="1:25">
      <c r="A1212" t="s">
        <v>1325</v>
      </c>
      <c r="B1212" s="1">
        <v>44939</v>
      </c>
      <c r="C1212" s="2">
        <v>0.8125</v>
      </c>
      <c r="D1212" t="s">
        <v>41</v>
      </c>
      <c r="E1212" t="s">
        <v>61</v>
      </c>
      <c r="F1212" t="s">
        <v>109</v>
      </c>
      <c r="G1212" t="s">
        <v>83</v>
      </c>
      <c r="H1212" s="2">
        <v>0.81319444444444444</v>
      </c>
      <c r="I1212" s="2">
        <v>0.84166666666666667</v>
      </c>
      <c r="J1212">
        <v>11</v>
      </c>
      <c r="K1212">
        <v>1</v>
      </c>
      <c r="L1212" t="s">
        <v>38</v>
      </c>
      <c r="M1212">
        <v>12.1</v>
      </c>
      <c r="N1212">
        <v>97</v>
      </c>
      <c r="O1212">
        <v>14</v>
      </c>
      <c r="P1212">
        <v>4.4000000000000004</v>
      </c>
      <c r="Q1212" t="s">
        <v>31</v>
      </c>
      <c r="R1212">
        <v>0</v>
      </c>
      <c r="S1212">
        <v>81</v>
      </c>
      <c r="T1212">
        <v>0</v>
      </c>
      <c r="U1212">
        <v>0</v>
      </c>
      <c r="V1212">
        <v>4</v>
      </c>
      <c r="W1212" t="s">
        <v>72</v>
      </c>
      <c r="X1212">
        <v>0</v>
      </c>
      <c r="Y1212" t="str">
        <f t="shared" si="18"/>
        <v>High</v>
      </c>
    </row>
    <row r="1213" spans="1:25">
      <c r="A1213" t="s">
        <v>1326</v>
      </c>
      <c r="B1213" s="1">
        <v>44939</v>
      </c>
      <c r="C1213" s="2">
        <v>0.82291666666666663</v>
      </c>
      <c r="D1213" t="s">
        <v>34</v>
      </c>
      <c r="E1213" t="s">
        <v>126</v>
      </c>
      <c r="F1213" t="s">
        <v>70</v>
      </c>
      <c r="G1213" t="s">
        <v>122</v>
      </c>
      <c r="H1213" s="2">
        <v>0.82499999999999996</v>
      </c>
      <c r="I1213" s="2">
        <v>0.85486111111111107</v>
      </c>
      <c r="J1213">
        <v>15</v>
      </c>
      <c r="K1213">
        <v>23</v>
      </c>
      <c r="L1213" t="s">
        <v>30</v>
      </c>
      <c r="M1213">
        <v>-0.1</v>
      </c>
      <c r="N1213">
        <v>73</v>
      </c>
      <c r="O1213">
        <v>40</v>
      </c>
      <c r="P1213">
        <v>6.1</v>
      </c>
      <c r="Q1213" t="s">
        <v>31</v>
      </c>
      <c r="R1213">
        <v>50000</v>
      </c>
      <c r="S1213">
        <v>53</v>
      </c>
      <c r="T1213">
        <v>0</v>
      </c>
      <c r="U1213">
        <v>0</v>
      </c>
      <c r="V1213">
        <v>4</v>
      </c>
      <c r="W1213" t="s">
        <v>72</v>
      </c>
      <c r="X1213">
        <v>1</v>
      </c>
      <c r="Y1213" t="str">
        <f t="shared" si="18"/>
        <v>Medium</v>
      </c>
    </row>
    <row r="1214" spans="1:25">
      <c r="A1214" t="s">
        <v>1327</v>
      </c>
      <c r="B1214" s="1">
        <v>44939</v>
      </c>
      <c r="C1214" s="2">
        <v>0.83333333333333337</v>
      </c>
      <c r="D1214" t="s">
        <v>74</v>
      </c>
      <c r="E1214" t="s">
        <v>98</v>
      </c>
      <c r="F1214" t="s">
        <v>62</v>
      </c>
      <c r="G1214" t="s">
        <v>86</v>
      </c>
      <c r="H1214" s="2">
        <v>0.83402777777777781</v>
      </c>
      <c r="I1214" s="2">
        <v>0.85069444444444442</v>
      </c>
      <c r="J1214">
        <v>11</v>
      </c>
      <c r="K1214">
        <v>4</v>
      </c>
      <c r="L1214" t="s">
        <v>54</v>
      </c>
      <c r="M1214">
        <v>12.2</v>
      </c>
      <c r="N1214">
        <v>44</v>
      </c>
      <c r="O1214">
        <v>4</v>
      </c>
      <c r="P1214">
        <v>2.6</v>
      </c>
      <c r="Q1214" t="s">
        <v>31</v>
      </c>
      <c r="R1214">
        <v>0</v>
      </c>
      <c r="S1214">
        <v>87</v>
      </c>
      <c r="T1214">
        <v>0</v>
      </c>
      <c r="U1214">
        <v>0</v>
      </c>
      <c r="V1214">
        <v>4</v>
      </c>
      <c r="W1214" t="s">
        <v>72</v>
      </c>
      <c r="X1214">
        <v>0</v>
      </c>
      <c r="Y1214" t="str">
        <f t="shared" si="18"/>
        <v>High</v>
      </c>
    </row>
    <row r="1215" spans="1:25">
      <c r="A1215" t="s">
        <v>1328</v>
      </c>
      <c r="B1215" s="1">
        <v>44939</v>
      </c>
      <c r="C1215" s="2">
        <v>0.84375</v>
      </c>
      <c r="D1215" t="s">
        <v>74</v>
      </c>
      <c r="E1215" t="s">
        <v>79</v>
      </c>
      <c r="F1215" t="s">
        <v>29</v>
      </c>
      <c r="G1215" t="s">
        <v>53</v>
      </c>
      <c r="H1215" s="2">
        <v>0.84583333333333333</v>
      </c>
      <c r="I1215" s="2">
        <v>0.875</v>
      </c>
      <c r="J1215">
        <v>2</v>
      </c>
      <c r="K1215">
        <v>5</v>
      </c>
      <c r="L1215" t="s">
        <v>30</v>
      </c>
      <c r="M1215">
        <v>12.4</v>
      </c>
      <c r="N1215">
        <v>71</v>
      </c>
      <c r="O1215">
        <v>15</v>
      </c>
      <c r="P1215">
        <v>5</v>
      </c>
      <c r="Q1215" t="s">
        <v>31</v>
      </c>
      <c r="R1215">
        <v>0</v>
      </c>
      <c r="S1215">
        <v>37</v>
      </c>
      <c r="T1215">
        <v>1</v>
      </c>
      <c r="U1215">
        <v>0</v>
      </c>
      <c r="V1215">
        <v>4</v>
      </c>
      <c r="W1215" t="s">
        <v>39</v>
      </c>
      <c r="X1215">
        <v>0</v>
      </c>
      <c r="Y1215" t="str">
        <f t="shared" si="18"/>
        <v>Medium</v>
      </c>
    </row>
    <row r="1216" spans="1:25">
      <c r="A1216" t="s">
        <v>1329</v>
      </c>
      <c r="B1216" s="1">
        <v>44939</v>
      </c>
      <c r="C1216" s="2">
        <v>0.85416666666666663</v>
      </c>
      <c r="D1216" t="s">
        <v>74</v>
      </c>
      <c r="E1216" t="s">
        <v>130</v>
      </c>
      <c r="F1216" t="s">
        <v>154</v>
      </c>
      <c r="G1216" t="s">
        <v>91</v>
      </c>
      <c r="H1216" s="2">
        <v>0.85624999999999996</v>
      </c>
      <c r="I1216" s="2">
        <v>0.86875000000000002</v>
      </c>
      <c r="J1216">
        <v>18</v>
      </c>
      <c r="K1216">
        <v>11</v>
      </c>
      <c r="L1216" t="s">
        <v>54</v>
      </c>
      <c r="M1216">
        <v>14.9</v>
      </c>
      <c r="N1216">
        <v>40</v>
      </c>
      <c r="O1216">
        <v>59</v>
      </c>
      <c r="P1216">
        <v>16.399999999999999</v>
      </c>
      <c r="Q1216" t="s">
        <v>31</v>
      </c>
      <c r="R1216">
        <v>0</v>
      </c>
      <c r="S1216">
        <v>27</v>
      </c>
      <c r="T1216">
        <v>0</v>
      </c>
      <c r="U1216">
        <v>0</v>
      </c>
      <c r="V1216">
        <v>4</v>
      </c>
      <c r="W1216" t="s">
        <v>55</v>
      </c>
      <c r="X1216">
        <v>1</v>
      </c>
      <c r="Y1216" t="str">
        <f t="shared" si="18"/>
        <v>Low</v>
      </c>
    </row>
    <row r="1217" spans="1:25">
      <c r="A1217" t="s">
        <v>1330</v>
      </c>
      <c r="B1217" s="1">
        <v>44939</v>
      </c>
      <c r="C1217" s="2">
        <v>0.86458333333333337</v>
      </c>
      <c r="D1217" t="s">
        <v>41</v>
      </c>
      <c r="E1217" t="s">
        <v>93</v>
      </c>
      <c r="F1217" t="s">
        <v>37</v>
      </c>
      <c r="G1217" t="s">
        <v>151</v>
      </c>
      <c r="H1217" s="2">
        <v>0.8666666666666667</v>
      </c>
      <c r="I1217" s="2">
        <v>0.88680555555555551</v>
      </c>
      <c r="J1217">
        <v>11</v>
      </c>
      <c r="K1217">
        <v>3</v>
      </c>
      <c r="L1217" t="s">
        <v>84</v>
      </c>
      <c r="M1217">
        <v>30.7</v>
      </c>
      <c r="N1217">
        <v>40</v>
      </c>
      <c r="O1217">
        <v>44</v>
      </c>
      <c r="P1217">
        <v>12.8</v>
      </c>
      <c r="Q1217" t="s">
        <v>31</v>
      </c>
      <c r="R1217">
        <v>50000</v>
      </c>
      <c r="S1217">
        <v>78</v>
      </c>
      <c r="T1217">
        <v>0</v>
      </c>
      <c r="U1217">
        <v>1</v>
      </c>
      <c r="V1217">
        <v>4</v>
      </c>
      <c r="W1217" t="s">
        <v>72</v>
      </c>
      <c r="X1217">
        <v>0</v>
      </c>
      <c r="Y1217" t="str">
        <f t="shared" si="18"/>
        <v>High</v>
      </c>
    </row>
    <row r="1218" spans="1:25">
      <c r="A1218" t="s">
        <v>1331</v>
      </c>
      <c r="B1218" s="1">
        <v>44939</v>
      </c>
      <c r="C1218" s="2">
        <v>0.875</v>
      </c>
      <c r="D1218" t="s">
        <v>74</v>
      </c>
      <c r="E1218" t="s">
        <v>147</v>
      </c>
      <c r="F1218" t="s">
        <v>123</v>
      </c>
      <c r="G1218" t="s">
        <v>128</v>
      </c>
      <c r="H1218" s="2">
        <v>0.87569444444444444</v>
      </c>
      <c r="I1218" s="2">
        <v>0.90138888888888891</v>
      </c>
      <c r="J1218">
        <v>5</v>
      </c>
      <c r="K1218">
        <v>28</v>
      </c>
      <c r="L1218" t="s">
        <v>54</v>
      </c>
      <c r="M1218">
        <v>27.2</v>
      </c>
      <c r="N1218">
        <v>95</v>
      </c>
      <c r="O1218">
        <v>47</v>
      </c>
      <c r="P1218">
        <v>19</v>
      </c>
      <c r="Q1218" t="s">
        <v>101</v>
      </c>
      <c r="R1218">
        <v>500</v>
      </c>
      <c r="S1218">
        <v>18</v>
      </c>
      <c r="T1218">
        <v>0</v>
      </c>
      <c r="U1218">
        <v>0</v>
      </c>
      <c r="V1218">
        <v>4</v>
      </c>
      <c r="W1218" t="s">
        <v>55</v>
      </c>
      <c r="X1218">
        <v>1</v>
      </c>
      <c r="Y1218" t="str">
        <f t="shared" ref="Y1218:Y1281" si="19">IF(S1218&lt;=33,"Low",IF(S1218&lt;=66,"Medium","High"))</f>
        <v>Low</v>
      </c>
    </row>
    <row r="1219" spans="1:25">
      <c r="A1219" t="s">
        <v>1332</v>
      </c>
      <c r="B1219" s="1">
        <v>44939</v>
      </c>
      <c r="C1219" s="2">
        <v>0.88541666666666663</v>
      </c>
      <c r="D1219" t="s">
        <v>74</v>
      </c>
      <c r="E1219" t="s">
        <v>57</v>
      </c>
      <c r="F1219" t="s">
        <v>53</v>
      </c>
      <c r="G1219" t="s">
        <v>90</v>
      </c>
      <c r="H1219" s="2">
        <v>0.88680555555555551</v>
      </c>
      <c r="I1219" s="2">
        <v>0.89930555555555558</v>
      </c>
      <c r="J1219">
        <v>12</v>
      </c>
      <c r="K1219">
        <v>4</v>
      </c>
      <c r="L1219" t="s">
        <v>77</v>
      </c>
      <c r="M1219">
        <v>20.5</v>
      </c>
      <c r="N1219">
        <v>56</v>
      </c>
      <c r="O1219">
        <v>31</v>
      </c>
      <c r="P1219">
        <v>1</v>
      </c>
      <c r="Q1219" t="s">
        <v>46</v>
      </c>
      <c r="R1219">
        <v>0</v>
      </c>
      <c r="S1219">
        <v>68</v>
      </c>
      <c r="T1219">
        <v>0</v>
      </c>
      <c r="U1219">
        <v>0</v>
      </c>
      <c r="V1219">
        <v>4</v>
      </c>
      <c r="W1219" t="s">
        <v>32</v>
      </c>
      <c r="X1219">
        <v>0</v>
      </c>
      <c r="Y1219" t="str">
        <f t="shared" si="19"/>
        <v>High</v>
      </c>
    </row>
    <row r="1220" spans="1:25">
      <c r="A1220" t="s">
        <v>1333</v>
      </c>
      <c r="B1220" s="1">
        <v>44939</v>
      </c>
      <c r="C1220" s="2">
        <v>0.89583333333333337</v>
      </c>
      <c r="D1220" t="s">
        <v>41</v>
      </c>
      <c r="E1220" t="s">
        <v>93</v>
      </c>
      <c r="F1220" t="s">
        <v>95</v>
      </c>
      <c r="G1220" t="s">
        <v>118</v>
      </c>
      <c r="H1220" s="2">
        <v>0.89652777777777781</v>
      </c>
      <c r="I1220" s="2">
        <v>0.93680555555555556</v>
      </c>
      <c r="J1220">
        <v>12</v>
      </c>
      <c r="K1220">
        <v>11</v>
      </c>
      <c r="L1220" t="s">
        <v>45</v>
      </c>
      <c r="M1220">
        <v>30.4</v>
      </c>
      <c r="N1220">
        <v>87</v>
      </c>
      <c r="O1220">
        <v>21</v>
      </c>
      <c r="P1220">
        <v>15.8</v>
      </c>
      <c r="Q1220" t="s">
        <v>31</v>
      </c>
      <c r="R1220">
        <v>0</v>
      </c>
      <c r="S1220">
        <v>63</v>
      </c>
      <c r="T1220">
        <v>1</v>
      </c>
      <c r="U1220">
        <v>1</v>
      </c>
      <c r="V1220">
        <v>4</v>
      </c>
      <c r="W1220" t="s">
        <v>55</v>
      </c>
      <c r="X1220">
        <v>1</v>
      </c>
      <c r="Y1220" t="str">
        <f t="shared" si="19"/>
        <v>Medium</v>
      </c>
    </row>
    <row r="1221" spans="1:25">
      <c r="A1221" t="s">
        <v>1334</v>
      </c>
      <c r="B1221" s="1">
        <v>44939</v>
      </c>
      <c r="C1221" s="2">
        <v>0.90625</v>
      </c>
      <c r="D1221" t="s">
        <v>26</v>
      </c>
      <c r="E1221" t="s">
        <v>68</v>
      </c>
      <c r="F1221" t="s">
        <v>176</v>
      </c>
      <c r="G1221" t="s">
        <v>80</v>
      </c>
      <c r="H1221" s="2">
        <v>0.90763888888888888</v>
      </c>
      <c r="I1221" s="2">
        <v>0.94166666666666665</v>
      </c>
      <c r="J1221">
        <v>16</v>
      </c>
      <c r="K1221">
        <v>15</v>
      </c>
      <c r="L1221" t="s">
        <v>54</v>
      </c>
      <c r="M1221">
        <v>22.1</v>
      </c>
      <c r="N1221">
        <v>50</v>
      </c>
      <c r="O1221">
        <v>42</v>
      </c>
      <c r="P1221">
        <v>14</v>
      </c>
      <c r="Q1221" t="s">
        <v>31</v>
      </c>
      <c r="R1221">
        <v>0</v>
      </c>
      <c r="S1221">
        <v>3</v>
      </c>
      <c r="T1221">
        <v>0</v>
      </c>
      <c r="U1221">
        <v>1</v>
      </c>
      <c r="V1221">
        <v>4</v>
      </c>
      <c r="W1221" t="s">
        <v>39</v>
      </c>
      <c r="X1221">
        <v>1</v>
      </c>
      <c r="Y1221" t="str">
        <f t="shared" si="19"/>
        <v>Low</v>
      </c>
    </row>
    <row r="1222" spans="1:25">
      <c r="A1222" t="s">
        <v>1335</v>
      </c>
      <c r="B1222" s="1">
        <v>44939</v>
      </c>
      <c r="C1222" s="2">
        <v>0.91666666666666663</v>
      </c>
      <c r="D1222" t="s">
        <v>41</v>
      </c>
      <c r="E1222" t="s">
        <v>57</v>
      </c>
      <c r="F1222" t="s">
        <v>83</v>
      </c>
      <c r="G1222" t="s">
        <v>58</v>
      </c>
      <c r="H1222" s="2">
        <v>0.91805555555555551</v>
      </c>
      <c r="I1222" s="2">
        <v>0.94513888888888886</v>
      </c>
      <c r="J1222">
        <v>17</v>
      </c>
      <c r="K1222">
        <v>2</v>
      </c>
      <c r="L1222" t="s">
        <v>54</v>
      </c>
      <c r="M1222">
        <v>27.8</v>
      </c>
      <c r="N1222">
        <v>50</v>
      </c>
      <c r="O1222">
        <v>31</v>
      </c>
      <c r="P1222">
        <v>5.2</v>
      </c>
      <c r="Q1222" t="s">
        <v>31</v>
      </c>
      <c r="R1222">
        <v>0</v>
      </c>
      <c r="S1222">
        <v>80</v>
      </c>
      <c r="T1222">
        <v>0</v>
      </c>
      <c r="U1222">
        <v>0</v>
      </c>
      <c r="V1222">
        <v>4</v>
      </c>
      <c r="W1222" t="s">
        <v>32</v>
      </c>
      <c r="X1222">
        <v>0</v>
      </c>
      <c r="Y1222" t="str">
        <f t="shared" si="19"/>
        <v>High</v>
      </c>
    </row>
    <row r="1223" spans="1:25">
      <c r="A1223" t="s">
        <v>1336</v>
      </c>
      <c r="B1223" s="1">
        <v>44939</v>
      </c>
      <c r="C1223" s="2">
        <v>0.92708333333333337</v>
      </c>
      <c r="D1223" t="s">
        <v>74</v>
      </c>
      <c r="E1223" t="s">
        <v>93</v>
      </c>
      <c r="F1223" t="s">
        <v>87</v>
      </c>
      <c r="G1223" t="s">
        <v>37</v>
      </c>
      <c r="H1223" s="2">
        <v>0.9291666666666667</v>
      </c>
      <c r="I1223" s="2">
        <v>0.9604166666666667</v>
      </c>
      <c r="J1223">
        <v>3</v>
      </c>
      <c r="K1223">
        <v>15</v>
      </c>
      <c r="L1223" t="s">
        <v>54</v>
      </c>
      <c r="M1223">
        <v>17.600000000000001</v>
      </c>
      <c r="N1223">
        <v>30</v>
      </c>
      <c r="O1223">
        <v>12</v>
      </c>
      <c r="P1223">
        <v>14.6</v>
      </c>
      <c r="Q1223" t="s">
        <v>31</v>
      </c>
      <c r="R1223">
        <v>0</v>
      </c>
      <c r="S1223">
        <v>9</v>
      </c>
      <c r="T1223">
        <v>0</v>
      </c>
      <c r="U1223">
        <v>0</v>
      </c>
      <c r="V1223">
        <v>4</v>
      </c>
      <c r="W1223" t="s">
        <v>32</v>
      </c>
      <c r="X1223">
        <v>1</v>
      </c>
      <c r="Y1223" t="str">
        <f t="shared" si="19"/>
        <v>Low</v>
      </c>
    </row>
    <row r="1224" spans="1:25">
      <c r="A1224" t="s">
        <v>1337</v>
      </c>
      <c r="B1224" s="1">
        <v>44939</v>
      </c>
      <c r="C1224" s="2">
        <v>0.9375</v>
      </c>
      <c r="D1224" t="s">
        <v>41</v>
      </c>
      <c r="E1224" t="s">
        <v>48</v>
      </c>
      <c r="F1224" t="s">
        <v>29</v>
      </c>
      <c r="G1224" t="s">
        <v>37</v>
      </c>
      <c r="H1224" s="2">
        <v>0.93819444444444444</v>
      </c>
      <c r="I1224" s="2">
        <v>0.95208333333333328</v>
      </c>
      <c r="J1224">
        <v>16</v>
      </c>
      <c r="K1224">
        <v>24</v>
      </c>
      <c r="L1224" t="s">
        <v>45</v>
      </c>
      <c r="M1224">
        <v>16</v>
      </c>
      <c r="N1224">
        <v>87</v>
      </c>
      <c r="O1224">
        <v>37</v>
      </c>
      <c r="P1224">
        <v>14.3</v>
      </c>
      <c r="Q1224" t="s">
        <v>101</v>
      </c>
      <c r="R1224">
        <v>50000</v>
      </c>
      <c r="S1224">
        <v>11</v>
      </c>
      <c r="T1224">
        <v>0</v>
      </c>
      <c r="U1224">
        <v>1</v>
      </c>
      <c r="V1224">
        <v>4</v>
      </c>
      <c r="W1224" t="s">
        <v>72</v>
      </c>
      <c r="X1224">
        <v>1</v>
      </c>
      <c r="Y1224" t="str">
        <f t="shared" si="19"/>
        <v>Low</v>
      </c>
    </row>
    <row r="1225" spans="1:25">
      <c r="A1225" t="s">
        <v>1338</v>
      </c>
      <c r="B1225" s="1">
        <v>44939</v>
      </c>
      <c r="C1225" s="2">
        <v>0.94791666666666663</v>
      </c>
      <c r="D1225" t="s">
        <v>26</v>
      </c>
      <c r="E1225" t="s">
        <v>48</v>
      </c>
      <c r="F1225" t="s">
        <v>148</v>
      </c>
      <c r="G1225" t="s">
        <v>163</v>
      </c>
      <c r="H1225" s="2">
        <v>0.94930555555555551</v>
      </c>
      <c r="I1225" s="2">
        <v>0.98888888888888893</v>
      </c>
      <c r="J1225">
        <v>5</v>
      </c>
      <c r="K1225">
        <v>13</v>
      </c>
      <c r="L1225" t="s">
        <v>38</v>
      </c>
      <c r="M1225">
        <v>24</v>
      </c>
      <c r="N1225">
        <v>42</v>
      </c>
      <c r="O1225">
        <v>25</v>
      </c>
      <c r="P1225">
        <v>9.1999999999999993</v>
      </c>
      <c r="Q1225" t="s">
        <v>31</v>
      </c>
      <c r="R1225">
        <v>500</v>
      </c>
      <c r="S1225">
        <v>68</v>
      </c>
      <c r="T1225">
        <v>0</v>
      </c>
      <c r="U1225">
        <v>0</v>
      </c>
      <c r="V1225">
        <v>4</v>
      </c>
      <c r="W1225" t="s">
        <v>55</v>
      </c>
      <c r="X1225">
        <v>1</v>
      </c>
      <c r="Y1225" t="str">
        <f t="shared" si="19"/>
        <v>High</v>
      </c>
    </row>
    <row r="1226" spans="1:25">
      <c r="A1226" t="s">
        <v>1339</v>
      </c>
      <c r="B1226" s="1">
        <v>44939</v>
      </c>
      <c r="C1226" s="2">
        <v>0.95833333333333337</v>
      </c>
      <c r="D1226" t="s">
        <v>41</v>
      </c>
      <c r="E1226" t="s">
        <v>98</v>
      </c>
      <c r="F1226" t="s">
        <v>176</v>
      </c>
      <c r="G1226" t="s">
        <v>36</v>
      </c>
      <c r="H1226" s="2">
        <v>0.96111111111111114</v>
      </c>
      <c r="I1226" s="2">
        <v>0.99791666666666667</v>
      </c>
      <c r="J1226">
        <v>3</v>
      </c>
      <c r="K1226">
        <v>15</v>
      </c>
      <c r="L1226" t="s">
        <v>45</v>
      </c>
      <c r="M1226">
        <v>-4.2</v>
      </c>
      <c r="N1226">
        <v>35</v>
      </c>
      <c r="O1226">
        <v>51</v>
      </c>
      <c r="P1226">
        <v>13.8</v>
      </c>
      <c r="Q1226" t="s">
        <v>101</v>
      </c>
      <c r="R1226">
        <v>50000</v>
      </c>
      <c r="S1226">
        <v>6</v>
      </c>
      <c r="T1226">
        <v>0</v>
      </c>
      <c r="U1226">
        <v>1</v>
      </c>
      <c r="V1226">
        <v>4</v>
      </c>
      <c r="W1226" t="s">
        <v>32</v>
      </c>
      <c r="X1226">
        <v>1</v>
      </c>
      <c r="Y1226" t="str">
        <f t="shared" si="19"/>
        <v>Low</v>
      </c>
    </row>
    <row r="1227" spans="1:25">
      <c r="A1227" t="s">
        <v>1340</v>
      </c>
      <c r="B1227" s="1">
        <v>44939</v>
      </c>
      <c r="C1227" s="2">
        <v>0.96875</v>
      </c>
      <c r="D1227" t="s">
        <v>74</v>
      </c>
      <c r="E1227" t="s">
        <v>130</v>
      </c>
      <c r="F1227" t="s">
        <v>58</v>
      </c>
      <c r="G1227" t="s">
        <v>128</v>
      </c>
      <c r="H1227" s="2">
        <v>0.97013888888888888</v>
      </c>
      <c r="I1227" s="2">
        <v>0.98958333333333337</v>
      </c>
      <c r="J1227">
        <v>17</v>
      </c>
      <c r="K1227">
        <v>27</v>
      </c>
      <c r="L1227" t="s">
        <v>38</v>
      </c>
      <c r="M1227">
        <v>22.6</v>
      </c>
      <c r="N1227">
        <v>87</v>
      </c>
      <c r="O1227">
        <v>16</v>
      </c>
      <c r="P1227">
        <v>8.9</v>
      </c>
      <c r="Q1227" t="s">
        <v>31</v>
      </c>
      <c r="R1227">
        <v>0</v>
      </c>
      <c r="S1227">
        <v>43</v>
      </c>
      <c r="T1227">
        <v>0</v>
      </c>
      <c r="U1227">
        <v>0</v>
      </c>
      <c r="V1227">
        <v>4</v>
      </c>
      <c r="W1227" t="s">
        <v>32</v>
      </c>
      <c r="X1227">
        <v>1</v>
      </c>
      <c r="Y1227" t="str">
        <f t="shared" si="19"/>
        <v>Medium</v>
      </c>
    </row>
    <row r="1228" spans="1:25">
      <c r="A1228" t="s">
        <v>1341</v>
      </c>
      <c r="B1228" s="1">
        <v>44939</v>
      </c>
      <c r="C1228" s="2">
        <v>0.97916666666666663</v>
      </c>
      <c r="D1228" t="s">
        <v>26</v>
      </c>
      <c r="E1228" t="s">
        <v>111</v>
      </c>
      <c r="F1228" t="s">
        <v>43</v>
      </c>
      <c r="G1228" t="s">
        <v>109</v>
      </c>
      <c r="H1228" s="2">
        <v>0.9819444444444444</v>
      </c>
      <c r="I1228" s="2">
        <v>4.1666666666666666E-3</v>
      </c>
      <c r="J1228">
        <v>12</v>
      </c>
      <c r="K1228">
        <v>7</v>
      </c>
      <c r="L1228" t="s">
        <v>77</v>
      </c>
      <c r="M1228">
        <v>32.4</v>
      </c>
      <c r="N1228">
        <v>46</v>
      </c>
      <c r="O1228">
        <v>4</v>
      </c>
      <c r="P1228">
        <v>6.7</v>
      </c>
      <c r="Q1228" t="s">
        <v>101</v>
      </c>
      <c r="R1228">
        <v>2000</v>
      </c>
      <c r="S1228">
        <v>22</v>
      </c>
      <c r="T1228">
        <v>0</v>
      </c>
      <c r="U1228">
        <v>0</v>
      </c>
      <c r="V1228">
        <v>4</v>
      </c>
      <c r="W1228" t="s">
        <v>55</v>
      </c>
      <c r="X1228">
        <v>1</v>
      </c>
      <c r="Y1228" t="str">
        <f t="shared" si="19"/>
        <v>Low</v>
      </c>
    </row>
    <row r="1229" spans="1:25">
      <c r="A1229" t="s">
        <v>1342</v>
      </c>
      <c r="B1229" s="1">
        <v>44939</v>
      </c>
      <c r="C1229" s="2">
        <v>0.98958333333333337</v>
      </c>
      <c r="D1229" t="s">
        <v>34</v>
      </c>
      <c r="E1229" t="s">
        <v>48</v>
      </c>
      <c r="F1229" t="s">
        <v>194</v>
      </c>
      <c r="G1229" t="s">
        <v>118</v>
      </c>
      <c r="H1229" s="2">
        <v>0.99027777777777781</v>
      </c>
      <c r="I1229" s="2">
        <v>8.3333333333333332E-3</v>
      </c>
      <c r="J1229">
        <v>0</v>
      </c>
      <c r="K1229">
        <v>11</v>
      </c>
      <c r="L1229" t="s">
        <v>45</v>
      </c>
      <c r="M1229">
        <v>23.6</v>
      </c>
      <c r="N1229">
        <v>41</v>
      </c>
      <c r="O1229">
        <v>48</v>
      </c>
      <c r="P1229">
        <v>9.3000000000000007</v>
      </c>
      <c r="Q1229" t="s">
        <v>46</v>
      </c>
      <c r="R1229">
        <v>0</v>
      </c>
      <c r="S1229">
        <v>1</v>
      </c>
      <c r="T1229">
        <v>0</v>
      </c>
      <c r="U1229">
        <v>0</v>
      </c>
      <c r="V1229">
        <v>4</v>
      </c>
      <c r="W1229" t="s">
        <v>55</v>
      </c>
      <c r="X1229">
        <v>1</v>
      </c>
      <c r="Y1229" t="str">
        <f t="shared" si="19"/>
        <v>Low</v>
      </c>
    </row>
    <row r="1230" spans="1:25">
      <c r="A1230" t="s">
        <v>1343</v>
      </c>
      <c r="B1230" s="1">
        <v>44940</v>
      </c>
      <c r="C1230" s="2">
        <v>0</v>
      </c>
      <c r="D1230" t="s">
        <v>74</v>
      </c>
      <c r="E1230" t="s">
        <v>61</v>
      </c>
      <c r="F1230" t="s">
        <v>58</v>
      </c>
      <c r="G1230" t="s">
        <v>53</v>
      </c>
      <c r="H1230" s="2">
        <v>6.9444444444444447E-4</v>
      </c>
      <c r="I1230" s="2">
        <v>2.8472222222222222E-2</v>
      </c>
      <c r="J1230">
        <v>7</v>
      </c>
      <c r="K1230">
        <v>6</v>
      </c>
      <c r="L1230" t="s">
        <v>38</v>
      </c>
      <c r="M1230">
        <v>-3.5</v>
      </c>
      <c r="N1230">
        <v>81</v>
      </c>
      <c r="O1230">
        <v>32</v>
      </c>
      <c r="P1230">
        <v>17.899999999999999</v>
      </c>
      <c r="Q1230" t="s">
        <v>46</v>
      </c>
      <c r="R1230">
        <v>0</v>
      </c>
      <c r="S1230">
        <v>93</v>
      </c>
      <c r="T1230">
        <v>1</v>
      </c>
      <c r="U1230">
        <v>0</v>
      </c>
      <c r="V1230">
        <v>5</v>
      </c>
      <c r="W1230" t="s">
        <v>32</v>
      </c>
      <c r="X1230">
        <v>1</v>
      </c>
      <c r="Y1230" t="str">
        <f t="shared" si="19"/>
        <v>High</v>
      </c>
    </row>
    <row r="1231" spans="1:25">
      <c r="A1231" t="s">
        <v>1344</v>
      </c>
      <c r="B1231" s="1">
        <v>44940</v>
      </c>
      <c r="C1231" s="2">
        <v>1.0416666666666666E-2</v>
      </c>
      <c r="D1231" t="s">
        <v>26</v>
      </c>
      <c r="E1231" t="s">
        <v>61</v>
      </c>
      <c r="F1231" t="s">
        <v>128</v>
      </c>
      <c r="G1231" t="s">
        <v>99</v>
      </c>
      <c r="H1231" s="2">
        <v>1.1111111111111112E-2</v>
      </c>
      <c r="I1231" s="2">
        <v>2.6388888888888889E-2</v>
      </c>
      <c r="J1231">
        <v>12</v>
      </c>
      <c r="K1231">
        <v>19</v>
      </c>
      <c r="L1231" t="s">
        <v>77</v>
      </c>
      <c r="M1231">
        <v>10.1</v>
      </c>
      <c r="N1231">
        <v>99</v>
      </c>
      <c r="O1231">
        <v>26</v>
      </c>
      <c r="P1231">
        <v>7.7</v>
      </c>
      <c r="Q1231" t="s">
        <v>31</v>
      </c>
      <c r="R1231">
        <v>0</v>
      </c>
      <c r="S1231">
        <v>36</v>
      </c>
      <c r="T1231">
        <v>0</v>
      </c>
      <c r="U1231">
        <v>0</v>
      </c>
      <c r="V1231">
        <v>5</v>
      </c>
      <c r="W1231" t="s">
        <v>32</v>
      </c>
      <c r="X1231">
        <v>1</v>
      </c>
      <c r="Y1231" t="str">
        <f t="shared" si="19"/>
        <v>Medium</v>
      </c>
    </row>
    <row r="1232" spans="1:25">
      <c r="A1232" t="s">
        <v>1345</v>
      </c>
      <c r="B1232" s="1">
        <v>44940</v>
      </c>
      <c r="C1232" s="2">
        <v>2.0833333333333332E-2</v>
      </c>
      <c r="D1232" t="s">
        <v>26</v>
      </c>
      <c r="E1232" t="s">
        <v>126</v>
      </c>
      <c r="F1232" t="s">
        <v>65</v>
      </c>
      <c r="G1232" t="s">
        <v>142</v>
      </c>
      <c r="H1232" s="2">
        <v>2.2222222222222223E-2</v>
      </c>
      <c r="I1232" s="2">
        <v>4.1666666666666664E-2</v>
      </c>
      <c r="J1232">
        <v>13</v>
      </c>
      <c r="K1232">
        <v>-1</v>
      </c>
      <c r="L1232" t="s">
        <v>77</v>
      </c>
      <c r="M1232">
        <v>27.4</v>
      </c>
      <c r="N1232">
        <v>81</v>
      </c>
      <c r="O1232">
        <v>4</v>
      </c>
      <c r="P1232">
        <v>8.1</v>
      </c>
      <c r="Q1232" t="s">
        <v>59</v>
      </c>
      <c r="R1232">
        <v>0</v>
      </c>
      <c r="S1232">
        <v>68</v>
      </c>
      <c r="T1232">
        <v>0</v>
      </c>
      <c r="U1232">
        <v>0</v>
      </c>
      <c r="V1232">
        <v>5</v>
      </c>
      <c r="W1232" t="s">
        <v>55</v>
      </c>
      <c r="X1232">
        <v>0</v>
      </c>
      <c r="Y1232" t="str">
        <f t="shared" si="19"/>
        <v>High</v>
      </c>
    </row>
    <row r="1233" spans="1:25">
      <c r="A1233" t="s">
        <v>1346</v>
      </c>
      <c r="B1233" s="1">
        <v>44940</v>
      </c>
      <c r="C1233" s="2">
        <v>3.125E-2</v>
      </c>
      <c r="D1233" t="s">
        <v>34</v>
      </c>
      <c r="E1233" t="s">
        <v>57</v>
      </c>
      <c r="F1233" t="s">
        <v>50</v>
      </c>
      <c r="G1233" t="s">
        <v>43</v>
      </c>
      <c r="H1233" s="2">
        <v>3.125E-2</v>
      </c>
      <c r="I1233" s="2">
        <v>0.05</v>
      </c>
      <c r="J1233">
        <v>14</v>
      </c>
      <c r="K1233">
        <v>-1</v>
      </c>
      <c r="L1233" t="s">
        <v>38</v>
      </c>
      <c r="M1233">
        <v>33.299999999999997</v>
      </c>
      <c r="N1233">
        <v>66</v>
      </c>
      <c r="O1233">
        <v>36</v>
      </c>
      <c r="P1233">
        <v>12.2</v>
      </c>
      <c r="Q1233" t="s">
        <v>31</v>
      </c>
      <c r="R1233">
        <v>50000</v>
      </c>
      <c r="S1233">
        <v>19</v>
      </c>
      <c r="T1233">
        <v>1</v>
      </c>
      <c r="U1233">
        <v>0</v>
      </c>
      <c r="V1233">
        <v>5</v>
      </c>
      <c r="W1233" t="s">
        <v>39</v>
      </c>
      <c r="X1233">
        <v>0</v>
      </c>
      <c r="Y1233" t="str">
        <f t="shared" si="19"/>
        <v>Low</v>
      </c>
    </row>
    <row r="1234" spans="1:25">
      <c r="A1234" t="s">
        <v>1347</v>
      </c>
      <c r="B1234" s="1">
        <v>44940</v>
      </c>
      <c r="C1234" s="2">
        <v>4.1666666666666664E-2</v>
      </c>
      <c r="D1234" t="s">
        <v>41</v>
      </c>
      <c r="E1234" t="s">
        <v>98</v>
      </c>
      <c r="F1234" t="s">
        <v>197</v>
      </c>
      <c r="G1234" t="s">
        <v>118</v>
      </c>
      <c r="H1234" s="2">
        <v>4.3055555555555555E-2</v>
      </c>
      <c r="I1234" s="2">
        <v>6.1111111111111109E-2</v>
      </c>
      <c r="J1234">
        <v>16</v>
      </c>
      <c r="K1234">
        <v>14</v>
      </c>
      <c r="L1234" t="s">
        <v>38</v>
      </c>
      <c r="M1234">
        <v>9.8000000000000007</v>
      </c>
      <c r="N1234">
        <v>32</v>
      </c>
      <c r="O1234">
        <v>6</v>
      </c>
      <c r="P1234">
        <v>15.1</v>
      </c>
      <c r="Q1234" t="s">
        <v>101</v>
      </c>
      <c r="R1234">
        <v>0</v>
      </c>
      <c r="S1234">
        <v>89</v>
      </c>
      <c r="T1234">
        <v>0</v>
      </c>
      <c r="U1234">
        <v>1</v>
      </c>
      <c r="V1234">
        <v>5</v>
      </c>
      <c r="W1234" t="s">
        <v>55</v>
      </c>
      <c r="X1234">
        <v>1</v>
      </c>
      <c r="Y1234" t="str">
        <f t="shared" si="19"/>
        <v>High</v>
      </c>
    </row>
    <row r="1235" spans="1:25">
      <c r="A1235" t="s">
        <v>1348</v>
      </c>
      <c r="B1235" s="1">
        <v>44940</v>
      </c>
      <c r="C1235" s="2">
        <v>5.2083333333333336E-2</v>
      </c>
      <c r="D1235" t="s">
        <v>41</v>
      </c>
      <c r="E1235" t="s">
        <v>61</v>
      </c>
      <c r="F1235" t="s">
        <v>86</v>
      </c>
      <c r="G1235" t="s">
        <v>50</v>
      </c>
      <c r="H1235" s="2">
        <v>5.347222222222222E-2</v>
      </c>
      <c r="I1235" s="2">
        <v>8.3333333333333329E-2</v>
      </c>
      <c r="J1235">
        <v>8</v>
      </c>
      <c r="K1235">
        <v>21</v>
      </c>
      <c r="L1235" t="s">
        <v>84</v>
      </c>
      <c r="M1235">
        <v>28.6</v>
      </c>
      <c r="N1235">
        <v>37</v>
      </c>
      <c r="O1235">
        <v>47</v>
      </c>
      <c r="P1235">
        <v>14.7</v>
      </c>
      <c r="Q1235" t="s">
        <v>71</v>
      </c>
      <c r="R1235">
        <v>10000</v>
      </c>
      <c r="S1235">
        <v>43</v>
      </c>
      <c r="T1235">
        <v>0</v>
      </c>
      <c r="U1235">
        <v>0</v>
      </c>
      <c r="V1235">
        <v>5</v>
      </c>
      <c r="W1235" t="s">
        <v>39</v>
      </c>
      <c r="X1235">
        <v>1</v>
      </c>
      <c r="Y1235" t="str">
        <f t="shared" si="19"/>
        <v>Medium</v>
      </c>
    </row>
    <row r="1236" spans="1:25">
      <c r="A1236" t="s">
        <v>1349</v>
      </c>
      <c r="B1236" s="1">
        <v>44940</v>
      </c>
      <c r="C1236" s="2">
        <v>6.25E-2</v>
      </c>
      <c r="D1236" t="s">
        <v>74</v>
      </c>
      <c r="E1236" t="s">
        <v>157</v>
      </c>
      <c r="F1236" t="s">
        <v>96</v>
      </c>
      <c r="G1236" t="s">
        <v>194</v>
      </c>
      <c r="H1236" s="2">
        <v>6.458333333333334E-2</v>
      </c>
      <c r="I1236" s="2">
        <v>7.7083333333333337E-2</v>
      </c>
      <c r="J1236">
        <v>13</v>
      </c>
      <c r="K1236">
        <v>16</v>
      </c>
      <c r="L1236" t="s">
        <v>77</v>
      </c>
      <c r="M1236">
        <v>29.6</v>
      </c>
      <c r="N1236">
        <v>39</v>
      </c>
      <c r="O1236">
        <v>17</v>
      </c>
      <c r="P1236">
        <v>0.4</v>
      </c>
      <c r="Q1236" t="s">
        <v>31</v>
      </c>
      <c r="R1236">
        <v>500</v>
      </c>
      <c r="S1236">
        <v>69</v>
      </c>
      <c r="T1236">
        <v>0</v>
      </c>
      <c r="U1236">
        <v>0</v>
      </c>
      <c r="V1236">
        <v>5</v>
      </c>
      <c r="W1236" t="s">
        <v>32</v>
      </c>
      <c r="X1236">
        <v>1</v>
      </c>
      <c r="Y1236" t="str">
        <f t="shared" si="19"/>
        <v>High</v>
      </c>
    </row>
    <row r="1237" spans="1:25">
      <c r="A1237" t="s">
        <v>1350</v>
      </c>
      <c r="B1237" s="1">
        <v>44940</v>
      </c>
      <c r="C1237" s="2">
        <v>7.2916666666666671E-2</v>
      </c>
      <c r="D1237" t="s">
        <v>34</v>
      </c>
      <c r="E1237" t="s">
        <v>68</v>
      </c>
      <c r="F1237" t="s">
        <v>144</v>
      </c>
      <c r="G1237" t="s">
        <v>43</v>
      </c>
      <c r="H1237" s="2">
        <v>7.4999999999999997E-2</v>
      </c>
      <c r="I1237" s="2">
        <v>9.7222222222222224E-2</v>
      </c>
      <c r="J1237">
        <v>2</v>
      </c>
      <c r="K1237">
        <v>25</v>
      </c>
      <c r="L1237" t="s">
        <v>38</v>
      </c>
      <c r="M1237">
        <v>-0.1</v>
      </c>
      <c r="N1237">
        <v>76</v>
      </c>
      <c r="O1237">
        <v>30</v>
      </c>
      <c r="P1237">
        <v>13.7</v>
      </c>
      <c r="Q1237" t="s">
        <v>63</v>
      </c>
      <c r="R1237">
        <v>0</v>
      </c>
      <c r="S1237">
        <v>92</v>
      </c>
      <c r="T1237">
        <v>0</v>
      </c>
      <c r="U1237">
        <v>1</v>
      </c>
      <c r="V1237">
        <v>5</v>
      </c>
      <c r="W1237" t="s">
        <v>72</v>
      </c>
      <c r="X1237">
        <v>1</v>
      </c>
      <c r="Y1237" t="str">
        <f t="shared" si="19"/>
        <v>High</v>
      </c>
    </row>
    <row r="1238" spans="1:25">
      <c r="A1238" t="s">
        <v>1351</v>
      </c>
      <c r="B1238" s="1">
        <v>44940</v>
      </c>
      <c r="C1238" s="2">
        <v>8.3333333333333329E-2</v>
      </c>
      <c r="D1238" t="s">
        <v>41</v>
      </c>
      <c r="E1238" t="s">
        <v>157</v>
      </c>
      <c r="F1238" t="s">
        <v>65</v>
      </c>
      <c r="G1238" t="s">
        <v>28</v>
      </c>
      <c r="H1238" s="2">
        <v>8.4722222222222227E-2</v>
      </c>
      <c r="I1238" s="2">
        <v>0.11805555555555555</v>
      </c>
      <c r="J1238">
        <v>2</v>
      </c>
      <c r="K1238">
        <v>18</v>
      </c>
      <c r="L1238" t="s">
        <v>77</v>
      </c>
      <c r="M1238">
        <v>28.8</v>
      </c>
      <c r="N1238">
        <v>70</v>
      </c>
      <c r="O1238">
        <v>5</v>
      </c>
      <c r="P1238">
        <v>9</v>
      </c>
      <c r="Q1238" t="s">
        <v>101</v>
      </c>
      <c r="R1238">
        <v>0</v>
      </c>
      <c r="S1238">
        <v>73</v>
      </c>
      <c r="T1238">
        <v>0</v>
      </c>
      <c r="U1238">
        <v>0</v>
      </c>
      <c r="V1238">
        <v>5</v>
      </c>
      <c r="W1238" t="s">
        <v>55</v>
      </c>
      <c r="X1238">
        <v>1</v>
      </c>
      <c r="Y1238" t="str">
        <f t="shared" si="19"/>
        <v>High</v>
      </c>
    </row>
    <row r="1239" spans="1:25">
      <c r="A1239" t="s">
        <v>1352</v>
      </c>
      <c r="B1239" s="1">
        <v>44940</v>
      </c>
      <c r="C1239" s="2">
        <v>9.375E-2</v>
      </c>
      <c r="D1239" t="s">
        <v>34</v>
      </c>
      <c r="E1239" t="s">
        <v>104</v>
      </c>
      <c r="F1239" t="s">
        <v>87</v>
      </c>
      <c r="G1239" t="s">
        <v>148</v>
      </c>
      <c r="H1239" s="2">
        <v>9.6527777777777782E-2</v>
      </c>
      <c r="I1239" s="2">
        <v>0.1111111111111111</v>
      </c>
      <c r="J1239">
        <v>11</v>
      </c>
      <c r="K1239">
        <v>11</v>
      </c>
      <c r="L1239" t="s">
        <v>45</v>
      </c>
      <c r="M1239">
        <v>8</v>
      </c>
      <c r="N1239">
        <v>93</v>
      </c>
      <c r="O1239">
        <v>1</v>
      </c>
      <c r="P1239">
        <v>10.5</v>
      </c>
      <c r="Q1239" t="s">
        <v>46</v>
      </c>
      <c r="R1239">
        <v>0</v>
      </c>
      <c r="S1239">
        <v>50</v>
      </c>
      <c r="T1239">
        <v>1</v>
      </c>
      <c r="U1239">
        <v>0</v>
      </c>
      <c r="V1239">
        <v>5</v>
      </c>
      <c r="W1239" t="s">
        <v>32</v>
      </c>
      <c r="X1239">
        <v>1</v>
      </c>
      <c r="Y1239" t="str">
        <f t="shared" si="19"/>
        <v>Medium</v>
      </c>
    </row>
    <row r="1240" spans="1:25">
      <c r="A1240" t="s">
        <v>1353</v>
      </c>
      <c r="B1240" s="1">
        <v>44940</v>
      </c>
      <c r="C1240" s="2">
        <v>0.10416666666666667</v>
      </c>
      <c r="D1240" t="s">
        <v>41</v>
      </c>
      <c r="E1240" t="s">
        <v>104</v>
      </c>
      <c r="F1240" t="s">
        <v>116</v>
      </c>
      <c r="G1240" t="s">
        <v>65</v>
      </c>
      <c r="H1240" s="2">
        <v>0.10625</v>
      </c>
      <c r="I1240" s="2">
        <v>0.13194444444444445</v>
      </c>
      <c r="J1240">
        <v>15</v>
      </c>
      <c r="K1240">
        <v>6</v>
      </c>
      <c r="L1240" t="s">
        <v>30</v>
      </c>
      <c r="M1240">
        <v>18.7</v>
      </c>
      <c r="N1240">
        <v>71</v>
      </c>
      <c r="O1240">
        <v>12</v>
      </c>
      <c r="P1240">
        <v>11.2</v>
      </c>
      <c r="Q1240" t="s">
        <v>31</v>
      </c>
      <c r="R1240">
        <v>0</v>
      </c>
      <c r="S1240">
        <v>79</v>
      </c>
      <c r="T1240">
        <v>0</v>
      </c>
      <c r="U1240">
        <v>0</v>
      </c>
      <c r="V1240">
        <v>5</v>
      </c>
      <c r="W1240" t="s">
        <v>32</v>
      </c>
      <c r="X1240">
        <v>1</v>
      </c>
      <c r="Y1240" t="str">
        <f t="shared" si="19"/>
        <v>High</v>
      </c>
    </row>
    <row r="1241" spans="1:25">
      <c r="A1241" t="s">
        <v>1354</v>
      </c>
      <c r="B1241" s="1">
        <v>44940</v>
      </c>
      <c r="C1241" s="2">
        <v>0.11458333333333333</v>
      </c>
      <c r="D1241" t="s">
        <v>26</v>
      </c>
      <c r="E1241" t="s">
        <v>79</v>
      </c>
      <c r="F1241" t="s">
        <v>81</v>
      </c>
      <c r="G1241" t="s">
        <v>142</v>
      </c>
      <c r="H1241" s="2">
        <v>0.11597222222222223</v>
      </c>
      <c r="I1241" s="2">
        <v>0.14583333333333334</v>
      </c>
      <c r="J1241">
        <v>5</v>
      </c>
      <c r="K1241">
        <v>17</v>
      </c>
      <c r="L1241" t="s">
        <v>30</v>
      </c>
      <c r="M1241">
        <v>16.600000000000001</v>
      </c>
      <c r="N1241">
        <v>72</v>
      </c>
      <c r="O1241">
        <v>41</v>
      </c>
      <c r="P1241">
        <v>14.6</v>
      </c>
      <c r="Q1241" t="s">
        <v>63</v>
      </c>
      <c r="R1241">
        <v>2000</v>
      </c>
      <c r="S1241">
        <v>97</v>
      </c>
      <c r="T1241">
        <v>0</v>
      </c>
      <c r="U1241">
        <v>0</v>
      </c>
      <c r="V1241">
        <v>5</v>
      </c>
      <c r="W1241" t="s">
        <v>72</v>
      </c>
      <c r="X1241">
        <v>1</v>
      </c>
      <c r="Y1241" t="str">
        <f t="shared" si="19"/>
        <v>High</v>
      </c>
    </row>
    <row r="1242" spans="1:25">
      <c r="A1242" t="s">
        <v>1355</v>
      </c>
      <c r="B1242" s="1">
        <v>44940</v>
      </c>
      <c r="C1242" s="2">
        <v>0.125</v>
      </c>
      <c r="D1242" t="s">
        <v>41</v>
      </c>
      <c r="E1242" t="s">
        <v>130</v>
      </c>
      <c r="F1242" t="s">
        <v>135</v>
      </c>
      <c r="G1242" t="s">
        <v>86</v>
      </c>
      <c r="H1242" s="2">
        <v>0.125</v>
      </c>
      <c r="I1242" s="2">
        <v>0.15138888888888888</v>
      </c>
      <c r="J1242">
        <v>2</v>
      </c>
      <c r="K1242">
        <v>25</v>
      </c>
      <c r="L1242" t="s">
        <v>54</v>
      </c>
      <c r="M1242">
        <v>21.5</v>
      </c>
      <c r="N1242">
        <v>38</v>
      </c>
      <c r="O1242">
        <v>52</v>
      </c>
      <c r="P1242">
        <v>16.600000000000001</v>
      </c>
      <c r="Q1242" t="s">
        <v>46</v>
      </c>
      <c r="R1242">
        <v>50000</v>
      </c>
      <c r="S1242">
        <v>30</v>
      </c>
      <c r="T1242">
        <v>0</v>
      </c>
      <c r="U1242">
        <v>0</v>
      </c>
      <c r="V1242">
        <v>5</v>
      </c>
      <c r="W1242" t="s">
        <v>55</v>
      </c>
      <c r="X1242">
        <v>1</v>
      </c>
      <c r="Y1242" t="str">
        <f t="shared" si="19"/>
        <v>Low</v>
      </c>
    </row>
    <row r="1243" spans="1:25">
      <c r="A1243" t="s">
        <v>1356</v>
      </c>
      <c r="B1243" s="1">
        <v>44940</v>
      </c>
      <c r="C1243" s="2">
        <v>0.13541666666666666</v>
      </c>
      <c r="D1243" t="s">
        <v>34</v>
      </c>
      <c r="E1243" t="s">
        <v>161</v>
      </c>
      <c r="F1243" t="s">
        <v>100</v>
      </c>
      <c r="G1243" t="s">
        <v>116</v>
      </c>
      <c r="H1243" s="2">
        <v>0.13819444444444445</v>
      </c>
      <c r="I1243" s="2">
        <v>0.16805555555555557</v>
      </c>
      <c r="J1243">
        <v>4</v>
      </c>
      <c r="K1243">
        <v>28</v>
      </c>
      <c r="L1243" t="s">
        <v>38</v>
      </c>
      <c r="M1243">
        <v>24.6</v>
      </c>
      <c r="N1243">
        <v>43</v>
      </c>
      <c r="O1243">
        <v>51</v>
      </c>
      <c r="P1243">
        <v>12.9</v>
      </c>
      <c r="Q1243" t="s">
        <v>71</v>
      </c>
      <c r="R1243">
        <v>0</v>
      </c>
      <c r="S1243">
        <v>99</v>
      </c>
      <c r="T1243">
        <v>0</v>
      </c>
      <c r="U1243">
        <v>1</v>
      </c>
      <c r="V1243">
        <v>5</v>
      </c>
      <c r="W1243" t="s">
        <v>32</v>
      </c>
      <c r="X1243">
        <v>1</v>
      </c>
      <c r="Y1243" t="str">
        <f t="shared" si="19"/>
        <v>High</v>
      </c>
    </row>
    <row r="1244" spans="1:25">
      <c r="A1244" t="s">
        <v>1357</v>
      </c>
      <c r="B1244" s="1">
        <v>44940</v>
      </c>
      <c r="C1244" s="2">
        <v>0.14583333333333334</v>
      </c>
      <c r="D1244" t="s">
        <v>26</v>
      </c>
      <c r="E1244" t="s">
        <v>157</v>
      </c>
      <c r="F1244" t="s">
        <v>28</v>
      </c>
      <c r="G1244" t="s">
        <v>197</v>
      </c>
      <c r="H1244" s="2">
        <v>0.14652777777777778</v>
      </c>
      <c r="I1244" s="2">
        <v>0.16458333333333333</v>
      </c>
      <c r="J1244">
        <v>13</v>
      </c>
      <c r="K1244">
        <v>6</v>
      </c>
      <c r="L1244" t="s">
        <v>38</v>
      </c>
      <c r="M1244">
        <v>12.6</v>
      </c>
      <c r="N1244">
        <v>33</v>
      </c>
      <c r="O1244">
        <v>10</v>
      </c>
      <c r="P1244">
        <v>11.3</v>
      </c>
      <c r="Q1244" t="s">
        <v>101</v>
      </c>
      <c r="R1244">
        <v>50000</v>
      </c>
      <c r="S1244">
        <v>40</v>
      </c>
      <c r="T1244">
        <v>0</v>
      </c>
      <c r="U1244">
        <v>0</v>
      </c>
      <c r="V1244">
        <v>5</v>
      </c>
      <c r="W1244" t="s">
        <v>39</v>
      </c>
      <c r="X1244">
        <v>1</v>
      </c>
      <c r="Y1244" t="str">
        <f t="shared" si="19"/>
        <v>Medium</v>
      </c>
    </row>
    <row r="1245" spans="1:25">
      <c r="A1245" t="s">
        <v>1358</v>
      </c>
      <c r="B1245" s="1">
        <v>44940</v>
      </c>
      <c r="C1245" s="2">
        <v>0.15625</v>
      </c>
      <c r="D1245" t="s">
        <v>26</v>
      </c>
      <c r="E1245" t="s">
        <v>68</v>
      </c>
      <c r="F1245" t="s">
        <v>116</v>
      </c>
      <c r="G1245" t="s">
        <v>69</v>
      </c>
      <c r="H1245" s="2">
        <v>0.15763888888888888</v>
      </c>
      <c r="I1245" s="2">
        <v>0.17916666666666667</v>
      </c>
      <c r="J1245">
        <v>11</v>
      </c>
      <c r="K1245">
        <v>9</v>
      </c>
      <c r="L1245" t="s">
        <v>77</v>
      </c>
      <c r="M1245">
        <v>30.5</v>
      </c>
      <c r="N1245">
        <v>31</v>
      </c>
      <c r="O1245">
        <v>25</v>
      </c>
      <c r="P1245">
        <v>7.5</v>
      </c>
      <c r="Q1245" t="s">
        <v>31</v>
      </c>
      <c r="R1245">
        <v>0</v>
      </c>
      <c r="S1245">
        <v>57</v>
      </c>
      <c r="T1245">
        <v>0</v>
      </c>
      <c r="U1245">
        <v>0</v>
      </c>
      <c r="V1245">
        <v>5</v>
      </c>
      <c r="W1245" t="s">
        <v>72</v>
      </c>
      <c r="X1245">
        <v>1</v>
      </c>
      <c r="Y1245" t="str">
        <f t="shared" si="19"/>
        <v>Medium</v>
      </c>
    </row>
    <row r="1246" spans="1:25">
      <c r="A1246" t="s">
        <v>1359</v>
      </c>
      <c r="B1246" s="1">
        <v>44940</v>
      </c>
      <c r="C1246" s="2">
        <v>0.16666666666666666</v>
      </c>
      <c r="D1246" t="s">
        <v>26</v>
      </c>
      <c r="E1246" t="s">
        <v>89</v>
      </c>
      <c r="F1246" t="s">
        <v>37</v>
      </c>
      <c r="G1246" t="s">
        <v>70</v>
      </c>
      <c r="H1246" s="2">
        <v>0.16805555555555557</v>
      </c>
      <c r="I1246" s="2">
        <v>0.19652777777777777</v>
      </c>
      <c r="J1246">
        <v>2</v>
      </c>
      <c r="K1246">
        <v>19</v>
      </c>
      <c r="L1246" t="s">
        <v>54</v>
      </c>
      <c r="M1246">
        <v>27.4</v>
      </c>
      <c r="N1246">
        <v>30</v>
      </c>
      <c r="O1246">
        <v>20</v>
      </c>
      <c r="P1246">
        <v>2.8</v>
      </c>
      <c r="Q1246" t="s">
        <v>31</v>
      </c>
      <c r="R1246">
        <v>0</v>
      </c>
      <c r="S1246">
        <v>4</v>
      </c>
      <c r="T1246">
        <v>0</v>
      </c>
      <c r="U1246">
        <v>0</v>
      </c>
      <c r="V1246">
        <v>5</v>
      </c>
      <c r="W1246" t="s">
        <v>39</v>
      </c>
      <c r="X1246">
        <v>1</v>
      </c>
      <c r="Y1246" t="str">
        <f t="shared" si="19"/>
        <v>Low</v>
      </c>
    </row>
    <row r="1247" spans="1:25">
      <c r="A1247" t="s">
        <v>1360</v>
      </c>
      <c r="B1247" s="1">
        <v>44940</v>
      </c>
      <c r="C1247" s="2">
        <v>0.17708333333333334</v>
      </c>
      <c r="D1247" t="s">
        <v>34</v>
      </c>
      <c r="E1247" t="s">
        <v>111</v>
      </c>
      <c r="F1247" t="s">
        <v>76</v>
      </c>
      <c r="G1247" t="s">
        <v>142</v>
      </c>
      <c r="H1247" s="2">
        <v>0.17986111111111111</v>
      </c>
      <c r="I1247" s="2">
        <v>0.21597222222222223</v>
      </c>
      <c r="J1247">
        <v>6</v>
      </c>
      <c r="K1247">
        <v>19</v>
      </c>
      <c r="L1247" t="s">
        <v>38</v>
      </c>
      <c r="M1247">
        <v>26.4</v>
      </c>
      <c r="N1247">
        <v>94</v>
      </c>
      <c r="O1247">
        <v>1</v>
      </c>
      <c r="P1247">
        <v>19.2</v>
      </c>
      <c r="Q1247" t="s">
        <v>31</v>
      </c>
      <c r="R1247">
        <v>0</v>
      </c>
      <c r="S1247">
        <v>32</v>
      </c>
      <c r="T1247">
        <v>0</v>
      </c>
      <c r="U1247">
        <v>0</v>
      </c>
      <c r="V1247">
        <v>5</v>
      </c>
      <c r="W1247" t="s">
        <v>55</v>
      </c>
      <c r="X1247">
        <v>1</v>
      </c>
      <c r="Y1247" t="str">
        <f t="shared" si="19"/>
        <v>Low</v>
      </c>
    </row>
    <row r="1248" spans="1:25">
      <c r="A1248" t="s">
        <v>1361</v>
      </c>
      <c r="B1248" s="1">
        <v>44940</v>
      </c>
      <c r="C1248" s="2">
        <v>0.1875</v>
      </c>
      <c r="D1248" t="s">
        <v>74</v>
      </c>
      <c r="E1248" t="s">
        <v>35</v>
      </c>
      <c r="F1248" t="s">
        <v>91</v>
      </c>
      <c r="G1248" t="s">
        <v>148</v>
      </c>
      <c r="H1248" s="2">
        <v>0.18958333333333333</v>
      </c>
      <c r="I1248" s="2">
        <v>0.21875</v>
      </c>
      <c r="J1248">
        <v>1</v>
      </c>
      <c r="K1248">
        <v>27</v>
      </c>
      <c r="L1248" t="s">
        <v>77</v>
      </c>
      <c r="M1248">
        <v>13.3</v>
      </c>
      <c r="N1248">
        <v>75</v>
      </c>
      <c r="O1248">
        <v>39</v>
      </c>
      <c r="P1248">
        <v>9.1999999999999993</v>
      </c>
      <c r="Q1248" t="s">
        <v>31</v>
      </c>
      <c r="R1248">
        <v>0</v>
      </c>
      <c r="S1248">
        <v>42</v>
      </c>
      <c r="T1248">
        <v>0</v>
      </c>
      <c r="U1248">
        <v>1</v>
      </c>
      <c r="V1248">
        <v>5</v>
      </c>
      <c r="W1248" t="s">
        <v>39</v>
      </c>
      <c r="X1248">
        <v>1</v>
      </c>
      <c r="Y1248" t="str">
        <f t="shared" si="19"/>
        <v>Medium</v>
      </c>
    </row>
    <row r="1249" spans="1:25">
      <c r="A1249" t="s">
        <v>1362</v>
      </c>
      <c r="B1249" s="1">
        <v>44940</v>
      </c>
      <c r="C1249" s="2">
        <v>0.19791666666666666</v>
      </c>
      <c r="D1249" t="s">
        <v>74</v>
      </c>
      <c r="E1249" t="s">
        <v>126</v>
      </c>
      <c r="F1249" t="s">
        <v>168</v>
      </c>
      <c r="G1249" t="s">
        <v>163</v>
      </c>
      <c r="H1249" s="2">
        <v>0.2</v>
      </c>
      <c r="I1249" s="2">
        <v>0.2326388888888889</v>
      </c>
      <c r="J1249">
        <v>1</v>
      </c>
      <c r="K1249">
        <v>0</v>
      </c>
      <c r="L1249" t="s">
        <v>38</v>
      </c>
      <c r="M1249">
        <v>-3.5</v>
      </c>
      <c r="N1249">
        <v>88</v>
      </c>
      <c r="O1249">
        <v>55</v>
      </c>
      <c r="P1249">
        <v>11.3</v>
      </c>
      <c r="Q1249" t="s">
        <v>71</v>
      </c>
      <c r="R1249">
        <v>0</v>
      </c>
      <c r="S1249">
        <v>18</v>
      </c>
      <c r="T1249">
        <v>0</v>
      </c>
      <c r="U1249">
        <v>0</v>
      </c>
      <c r="V1249">
        <v>5</v>
      </c>
      <c r="W1249" t="s">
        <v>72</v>
      </c>
      <c r="X1249">
        <v>0</v>
      </c>
      <c r="Y1249" t="str">
        <f t="shared" si="19"/>
        <v>Low</v>
      </c>
    </row>
    <row r="1250" spans="1:25">
      <c r="A1250" t="s">
        <v>1363</v>
      </c>
      <c r="B1250" s="1">
        <v>44940</v>
      </c>
      <c r="C1250" s="2">
        <v>0.20833333333333334</v>
      </c>
      <c r="D1250" t="s">
        <v>74</v>
      </c>
      <c r="E1250" t="s">
        <v>157</v>
      </c>
      <c r="F1250" t="s">
        <v>116</v>
      </c>
      <c r="G1250" t="s">
        <v>43</v>
      </c>
      <c r="H1250" s="2">
        <v>0.21041666666666667</v>
      </c>
      <c r="I1250" s="2">
        <v>0.24374999999999999</v>
      </c>
      <c r="J1250">
        <v>13</v>
      </c>
      <c r="K1250">
        <v>-1</v>
      </c>
      <c r="L1250" t="s">
        <v>77</v>
      </c>
      <c r="M1250">
        <v>14.7</v>
      </c>
      <c r="N1250">
        <v>36</v>
      </c>
      <c r="O1250">
        <v>53</v>
      </c>
      <c r="P1250">
        <v>15</v>
      </c>
      <c r="Q1250" t="s">
        <v>31</v>
      </c>
      <c r="R1250">
        <v>0</v>
      </c>
      <c r="S1250">
        <v>31</v>
      </c>
      <c r="T1250">
        <v>0</v>
      </c>
      <c r="U1250">
        <v>0</v>
      </c>
      <c r="V1250">
        <v>5</v>
      </c>
      <c r="W1250" t="s">
        <v>32</v>
      </c>
      <c r="X1250">
        <v>0</v>
      </c>
      <c r="Y1250" t="str">
        <f t="shared" si="19"/>
        <v>Low</v>
      </c>
    </row>
    <row r="1251" spans="1:25">
      <c r="A1251" t="s">
        <v>1364</v>
      </c>
      <c r="B1251" s="1">
        <v>44940</v>
      </c>
      <c r="C1251" s="2">
        <v>0.21875</v>
      </c>
      <c r="D1251" t="s">
        <v>34</v>
      </c>
      <c r="E1251" t="s">
        <v>35</v>
      </c>
      <c r="F1251" t="s">
        <v>123</v>
      </c>
      <c r="G1251" t="s">
        <v>81</v>
      </c>
      <c r="H1251" s="2">
        <v>0.21944444444444444</v>
      </c>
      <c r="I1251" s="2">
        <v>0.23333333333333334</v>
      </c>
      <c r="J1251">
        <v>14</v>
      </c>
      <c r="K1251">
        <v>17</v>
      </c>
      <c r="L1251" t="s">
        <v>38</v>
      </c>
      <c r="M1251">
        <v>30.9</v>
      </c>
      <c r="N1251">
        <v>95</v>
      </c>
      <c r="O1251">
        <v>50</v>
      </c>
      <c r="P1251">
        <v>1.4</v>
      </c>
      <c r="Q1251" t="s">
        <v>31</v>
      </c>
      <c r="R1251">
        <v>0</v>
      </c>
      <c r="S1251">
        <v>86</v>
      </c>
      <c r="T1251">
        <v>0</v>
      </c>
      <c r="U1251">
        <v>0</v>
      </c>
      <c r="V1251">
        <v>5</v>
      </c>
      <c r="W1251" t="s">
        <v>72</v>
      </c>
      <c r="X1251">
        <v>1</v>
      </c>
      <c r="Y1251" t="str">
        <f t="shared" si="19"/>
        <v>High</v>
      </c>
    </row>
    <row r="1252" spans="1:25">
      <c r="A1252" t="s">
        <v>1365</v>
      </c>
      <c r="B1252" s="1">
        <v>44940</v>
      </c>
      <c r="C1252" s="2">
        <v>0.22916666666666666</v>
      </c>
      <c r="D1252" t="s">
        <v>26</v>
      </c>
      <c r="E1252" t="s">
        <v>98</v>
      </c>
      <c r="F1252" t="s">
        <v>28</v>
      </c>
      <c r="G1252" t="s">
        <v>154</v>
      </c>
      <c r="H1252" s="2">
        <v>0.23194444444444445</v>
      </c>
      <c r="I1252" s="2">
        <v>0.25972222222222224</v>
      </c>
      <c r="J1252">
        <v>12</v>
      </c>
      <c r="K1252">
        <v>-2</v>
      </c>
      <c r="L1252" t="s">
        <v>84</v>
      </c>
      <c r="M1252">
        <v>2.6</v>
      </c>
      <c r="N1252">
        <v>44</v>
      </c>
      <c r="O1252">
        <v>19</v>
      </c>
      <c r="P1252">
        <v>17.100000000000001</v>
      </c>
      <c r="Q1252" t="s">
        <v>31</v>
      </c>
      <c r="R1252">
        <v>0</v>
      </c>
      <c r="S1252">
        <v>2</v>
      </c>
      <c r="T1252">
        <v>1</v>
      </c>
      <c r="U1252">
        <v>0</v>
      </c>
      <c r="V1252">
        <v>5</v>
      </c>
      <c r="W1252" t="s">
        <v>32</v>
      </c>
      <c r="X1252">
        <v>0</v>
      </c>
      <c r="Y1252" t="str">
        <f t="shared" si="19"/>
        <v>Low</v>
      </c>
    </row>
    <row r="1253" spans="1:25">
      <c r="A1253" t="s">
        <v>1366</v>
      </c>
      <c r="B1253" s="1">
        <v>44940</v>
      </c>
      <c r="C1253" s="2">
        <v>0.23958333333333334</v>
      </c>
      <c r="D1253" t="s">
        <v>74</v>
      </c>
      <c r="E1253" t="s">
        <v>104</v>
      </c>
      <c r="F1253" t="s">
        <v>53</v>
      </c>
      <c r="G1253" t="s">
        <v>62</v>
      </c>
      <c r="H1253" s="2">
        <v>0.24236111111111111</v>
      </c>
      <c r="I1253" s="2">
        <v>0.25416666666666665</v>
      </c>
      <c r="J1253">
        <v>1</v>
      </c>
      <c r="K1253">
        <v>0</v>
      </c>
      <c r="L1253" t="s">
        <v>77</v>
      </c>
      <c r="M1253">
        <v>34.299999999999997</v>
      </c>
      <c r="N1253">
        <v>76</v>
      </c>
      <c r="O1253">
        <v>16</v>
      </c>
      <c r="P1253">
        <v>15.9</v>
      </c>
      <c r="Q1253" t="s">
        <v>31</v>
      </c>
      <c r="R1253">
        <v>0</v>
      </c>
      <c r="S1253">
        <v>0</v>
      </c>
      <c r="T1253">
        <v>0</v>
      </c>
      <c r="U1253">
        <v>0</v>
      </c>
      <c r="V1253">
        <v>5</v>
      </c>
      <c r="W1253" t="s">
        <v>32</v>
      </c>
      <c r="X1253">
        <v>0</v>
      </c>
      <c r="Y1253" t="str">
        <f t="shared" si="19"/>
        <v>Low</v>
      </c>
    </row>
    <row r="1254" spans="1:25">
      <c r="A1254" t="s">
        <v>1367</v>
      </c>
      <c r="B1254" s="1">
        <v>44940</v>
      </c>
      <c r="C1254" s="2">
        <v>0.25</v>
      </c>
      <c r="D1254" t="s">
        <v>34</v>
      </c>
      <c r="E1254" t="s">
        <v>130</v>
      </c>
      <c r="F1254" t="s">
        <v>203</v>
      </c>
      <c r="G1254" t="s">
        <v>123</v>
      </c>
      <c r="H1254" s="2">
        <v>0.25208333333333333</v>
      </c>
      <c r="I1254" s="2">
        <v>0.2638888888888889</v>
      </c>
      <c r="J1254">
        <v>3</v>
      </c>
      <c r="K1254">
        <v>-3</v>
      </c>
      <c r="L1254" t="s">
        <v>84</v>
      </c>
      <c r="M1254">
        <v>27.3</v>
      </c>
      <c r="N1254">
        <v>69</v>
      </c>
      <c r="O1254">
        <v>15</v>
      </c>
      <c r="P1254">
        <v>15.5</v>
      </c>
      <c r="Q1254" t="s">
        <v>31</v>
      </c>
      <c r="R1254">
        <v>0</v>
      </c>
      <c r="S1254">
        <v>99</v>
      </c>
      <c r="T1254">
        <v>0</v>
      </c>
      <c r="U1254">
        <v>0</v>
      </c>
      <c r="V1254">
        <v>5</v>
      </c>
      <c r="W1254" t="s">
        <v>39</v>
      </c>
      <c r="X1254">
        <v>0</v>
      </c>
      <c r="Y1254" t="str">
        <f t="shared" si="19"/>
        <v>High</v>
      </c>
    </row>
    <row r="1255" spans="1:25">
      <c r="A1255" t="s">
        <v>1368</v>
      </c>
      <c r="B1255" s="1">
        <v>44940</v>
      </c>
      <c r="C1255" s="2">
        <v>0.26041666666666669</v>
      </c>
      <c r="D1255" t="s">
        <v>74</v>
      </c>
      <c r="E1255" t="s">
        <v>111</v>
      </c>
      <c r="F1255" t="s">
        <v>128</v>
      </c>
      <c r="G1255" t="s">
        <v>70</v>
      </c>
      <c r="H1255" s="2">
        <v>0.26250000000000001</v>
      </c>
      <c r="I1255" s="2">
        <v>0.2986111111111111</v>
      </c>
      <c r="J1255">
        <v>13</v>
      </c>
      <c r="K1255">
        <v>11</v>
      </c>
      <c r="L1255" t="s">
        <v>84</v>
      </c>
      <c r="M1255">
        <v>23.4</v>
      </c>
      <c r="N1255">
        <v>71</v>
      </c>
      <c r="O1255">
        <v>56</v>
      </c>
      <c r="P1255">
        <v>0.4</v>
      </c>
      <c r="Q1255" t="s">
        <v>31</v>
      </c>
      <c r="R1255">
        <v>0</v>
      </c>
      <c r="S1255">
        <v>40</v>
      </c>
      <c r="T1255">
        <v>0</v>
      </c>
      <c r="U1255">
        <v>0</v>
      </c>
      <c r="V1255">
        <v>5</v>
      </c>
      <c r="W1255" t="s">
        <v>72</v>
      </c>
      <c r="X1255">
        <v>1</v>
      </c>
      <c r="Y1255" t="str">
        <f t="shared" si="19"/>
        <v>Medium</v>
      </c>
    </row>
    <row r="1256" spans="1:25">
      <c r="A1256" t="s">
        <v>1369</v>
      </c>
      <c r="B1256" s="1">
        <v>44940</v>
      </c>
      <c r="C1256" s="2">
        <v>0.27083333333333331</v>
      </c>
      <c r="D1256" t="s">
        <v>41</v>
      </c>
      <c r="E1256" t="s">
        <v>98</v>
      </c>
      <c r="F1256" t="s">
        <v>36</v>
      </c>
      <c r="G1256" t="s">
        <v>203</v>
      </c>
      <c r="H1256" s="2">
        <v>0.27083333333333331</v>
      </c>
      <c r="I1256" s="2">
        <v>0.29236111111111113</v>
      </c>
      <c r="J1256">
        <v>1</v>
      </c>
      <c r="K1256">
        <v>29</v>
      </c>
      <c r="L1256" t="s">
        <v>84</v>
      </c>
      <c r="M1256">
        <v>22.1</v>
      </c>
      <c r="N1256">
        <v>80</v>
      </c>
      <c r="O1256">
        <v>41</v>
      </c>
      <c r="P1256">
        <v>10.5</v>
      </c>
      <c r="Q1256" t="s">
        <v>31</v>
      </c>
      <c r="R1256">
        <v>0</v>
      </c>
      <c r="S1256">
        <v>91</v>
      </c>
      <c r="T1256">
        <v>0</v>
      </c>
      <c r="U1256">
        <v>1</v>
      </c>
      <c r="V1256">
        <v>5</v>
      </c>
      <c r="W1256" t="s">
        <v>72</v>
      </c>
      <c r="X1256">
        <v>1</v>
      </c>
      <c r="Y1256" t="str">
        <f t="shared" si="19"/>
        <v>High</v>
      </c>
    </row>
    <row r="1257" spans="1:25">
      <c r="A1257" t="s">
        <v>1370</v>
      </c>
      <c r="B1257" s="1">
        <v>44940</v>
      </c>
      <c r="C1257" s="2">
        <v>0.28125</v>
      </c>
      <c r="D1257" t="s">
        <v>74</v>
      </c>
      <c r="E1257" t="s">
        <v>42</v>
      </c>
      <c r="F1257" t="s">
        <v>123</v>
      </c>
      <c r="G1257" t="s">
        <v>83</v>
      </c>
      <c r="H1257" s="2">
        <v>0.28125</v>
      </c>
      <c r="I1257" s="2">
        <v>0.30069444444444443</v>
      </c>
      <c r="J1257">
        <v>3</v>
      </c>
      <c r="K1257">
        <v>2</v>
      </c>
      <c r="L1257" t="s">
        <v>84</v>
      </c>
      <c r="M1257">
        <v>18.5</v>
      </c>
      <c r="N1257">
        <v>64</v>
      </c>
      <c r="O1257">
        <v>4</v>
      </c>
      <c r="P1257">
        <v>1.1000000000000001</v>
      </c>
      <c r="Q1257" t="s">
        <v>46</v>
      </c>
      <c r="R1257">
        <v>10000</v>
      </c>
      <c r="S1257">
        <v>47</v>
      </c>
      <c r="T1257">
        <v>0</v>
      </c>
      <c r="U1257">
        <v>0</v>
      </c>
      <c r="V1257">
        <v>5</v>
      </c>
      <c r="W1257" t="s">
        <v>32</v>
      </c>
      <c r="X1257">
        <v>0</v>
      </c>
      <c r="Y1257" t="str">
        <f t="shared" si="19"/>
        <v>Medium</v>
      </c>
    </row>
    <row r="1258" spans="1:25">
      <c r="A1258" t="s">
        <v>1371</v>
      </c>
      <c r="B1258" s="1">
        <v>44940</v>
      </c>
      <c r="C1258" s="2">
        <v>0.29166666666666669</v>
      </c>
      <c r="D1258" t="s">
        <v>74</v>
      </c>
      <c r="E1258" t="s">
        <v>42</v>
      </c>
      <c r="F1258" t="s">
        <v>96</v>
      </c>
      <c r="G1258" t="s">
        <v>36</v>
      </c>
      <c r="H1258" s="2">
        <v>0.29305555555555557</v>
      </c>
      <c r="I1258" s="2">
        <v>0.3298611111111111</v>
      </c>
      <c r="J1258">
        <v>2</v>
      </c>
      <c r="K1258">
        <v>3</v>
      </c>
      <c r="L1258" t="s">
        <v>45</v>
      </c>
      <c r="M1258">
        <v>23.8</v>
      </c>
      <c r="N1258">
        <v>70</v>
      </c>
      <c r="O1258">
        <v>13</v>
      </c>
      <c r="P1258">
        <v>11</v>
      </c>
      <c r="Q1258" t="s">
        <v>101</v>
      </c>
      <c r="R1258">
        <v>0</v>
      </c>
      <c r="S1258">
        <v>38</v>
      </c>
      <c r="T1258">
        <v>0</v>
      </c>
      <c r="U1258">
        <v>0</v>
      </c>
      <c r="V1258">
        <v>5</v>
      </c>
      <c r="W1258" t="s">
        <v>72</v>
      </c>
      <c r="X1258">
        <v>0</v>
      </c>
      <c r="Y1258" t="str">
        <f t="shared" si="19"/>
        <v>Medium</v>
      </c>
    </row>
    <row r="1259" spans="1:25">
      <c r="A1259" t="s">
        <v>1372</v>
      </c>
      <c r="B1259" s="1">
        <v>44940</v>
      </c>
      <c r="C1259" s="2">
        <v>0.30208333333333331</v>
      </c>
      <c r="D1259" t="s">
        <v>26</v>
      </c>
      <c r="E1259" t="s">
        <v>98</v>
      </c>
      <c r="F1259" t="s">
        <v>154</v>
      </c>
      <c r="G1259" t="s">
        <v>100</v>
      </c>
      <c r="H1259" s="2">
        <v>0.3034722222222222</v>
      </c>
      <c r="I1259" s="2">
        <v>0.3347222222222222</v>
      </c>
      <c r="J1259">
        <v>13</v>
      </c>
      <c r="K1259">
        <v>15</v>
      </c>
      <c r="L1259" t="s">
        <v>54</v>
      </c>
      <c r="M1259">
        <v>11.9</v>
      </c>
      <c r="N1259">
        <v>86</v>
      </c>
      <c r="O1259">
        <v>23</v>
      </c>
      <c r="P1259">
        <v>14.4</v>
      </c>
      <c r="Q1259" t="s">
        <v>31</v>
      </c>
      <c r="R1259">
        <v>0</v>
      </c>
      <c r="S1259">
        <v>4</v>
      </c>
      <c r="T1259">
        <v>0</v>
      </c>
      <c r="U1259">
        <v>0</v>
      </c>
      <c r="V1259">
        <v>5</v>
      </c>
      <c r="W1259" t="s">
        <v>55</v>
      </c>
      <c r="X1259">
        <v>1</v>
      </c>
      <c r="Y1259" t="str">
        <f t="shared" si="19"/>
        <v>Low</v>
      </c>
    </row>
    <row r="1260" spans="1:25">
      <c r="A1260" t="s">
        <v>1373</v>
      </c>
      <c r="B1260" s="1">
        <v>44940</v>
      </c>
      <c r="C1260" s="2">
        <v>0.3125</v>
      </c>
      <c r="D1260" t="s">
        <v>34</v>
      </c>
      <c r="E1260" t="s">
        <v>93</v>
      </c>
      <c r="F1260" t="s">
        <v>96</v>
      </c>
      <c r="G1260" t="s">
        <v>69</v>
      </c>
      <c r="H1260" s="2">
        <v>0.31527777777777777</v>
      </c>
      <c r="I1260" s="2">
        <v>0.35208333333333336</v>
      </c>
      <c r="J1260">
        <v>13</v>
      </c>
      <c r="K1260">
        <v>-3</v>
      </c>
      <c r="L1260" t="s">
        <v>30</v>
      </c>
      <c r="M1260">
        <v>28.8</v>
      </c>
      <c r="N1260">
        <v>67</v>
      </c>
      <c r="O1260">
        <v>50</v>
      </c>
      <c r="P1260">
        <v>2.4</v>
      </c>
      <c r="Q1260" t="s">
        <v>31</v>
      </c>
      <c r="R1260">
        <v>2000</v>
      </c>
      <c r="S1260">
        <v>76</v>
      </c>
      <c r="T1260">
        <v>0</v>
      </c>
      <c r="U1260">
        <v>0</v>
      </c>
      <c r="V1260">
        <v>5</v>
      </c>
      <c r="W1260" t="s">
        <v>55</v>
      </c>
      <c r="X1260">
        <v>0</v>
      </c>
      <c r="Y1260" t="str">
        <f t="shared" si="19"/>
        <v>High</v>
      </c>
    </row>
    <row r="1261" spans="1:25">
      <c r="A1261" t="s">
        <v>1374</v>
      </c>
      <c r="B1261" s="1">
        <v>44940</v>
      </c>
      <c r="C1261" s="2">
        <v>0.32291666666666669</v>
      </c>
      <c r="D1261" t="s">
        <v>26</v>
      </c>
      <c r="E1261" t="s">
        <v>68</v>
      </c>
      <c r="F1261" t="s">
        <v>163</v>
      </c>
      <c r="G1261" t="s">
        <v>203</v>
      </c>
      <c r="H1261" s="2">
        <v>0.32569444444444445</v>
      </c>
      <c r="I1261" s="2">
        <v>0.35902777777777778</v>
      </c>
      <c r="J1261">
        <v>7</v>
      </c>
      <c r="K1261">
        <v>15</v>
      </c>
      <c r="L1261" t="s">
        <v>45</v>
      </c>
      <c r="M1261">
        <v>22.9</v>
      </c>
      <c r="N1261">
        <v>37</v>
      </c>
      <c r="O1261">
        <v>3</v>
      </c>
      <c r="P1261">
        <v>13.9</v>
      </c>
      <c r="Q1261" t="s">
        <v>31</v>
      </c>
      <c r="R1261">
        <v>0</v>
      </c>
      <c r="S1261">
        <v>10</v>
      </c>
      <c r="T1261">
        <v>0</v>
      </c>
      <c r="U1261">
        <v>0</v>
      </c>
      <c r="V1261">
        <v>5</v>
      </c>
      <c r="W1261" t="s">
        <v>39</v>
      </c>
      <c r="X1261">
        <v>1</v>
      </c>
      <c r="Y1261" t="str">
        <f t="shared" si="19"/>
        <v>Low</v>
      </c>
    </row>
    <row r="1262" spans="1:25">
      <c r="A1262" t="s">
        <v>1375</v>
      </c>
      <c r="B1262" s="1">
        <v>44940</v>
      </c>
      <c r="C1262" s="2">
        <v>0.33333333333333331</v>
      </c>
      <c r="D1262" t="s">
        <v>26</v>
      </c>
      <c r="E1262" t="s">
        <v>35</v>
      </c>
      <c r="F1262" t="s">
        <v>87</v>
      </c>
      <c r="G1262" t="s">
        <v>197</v>
      </c>
      <c r="H1262" s="2">
        <v>0.33402777777777776</v>
      </c>
      <c r="I1262" s="2">
        <v>0.36180555555555555</v>
      </c>
      <c r="J1262">
        <v>6</v>
      </c>
      <c r="K1262">
        <v>22</v>
      </c>
      <c r="L1262" t="s">
        <v>38</v>
      </c>
      <c r="M1262">
        <v>25.9</v>
      </c>
      <c r="N1262">
        <v>92</v>
      </c>
      <c r="O1262">
        <v>51</v>
      </c>
      <c r="P1262">
        <v>9</v>
      </c>
      <c r="Q1262" t="s">
        <v>31</v>
      </c>
      <c r="R1262">
        <v>2000</v>
      </c>
      <c r="S1262">
        <v>21</v>
      </c>
      <c r="T1262">
        <v>0</v>
      </c>
      <c r="U1262">
        <v>1</v>
      </c>
      <c r="V1262">
        <v>5</v>
      </c>
      <c r="W1262" t="s">
        <v>39</v>
      </c>
      <c r="X1262">
        <v>1</v>
      </c>
      <c r="Y1262" t="str">
        <f t="shared" si="19"/>
        <v>Low</v>
      </c>
    </row>
    <row r="1263" spans="1:25">
      <c r="A1263" t="s">
        <v>1376</v>
      </c>
      <c r="B1263" s="1">
        <v>44940</v>
      </c>
      <c r="C1263" s="2">
        <v>0.34375</v>
      </c>
      <c r="D1263" t="s">
        <v>26</v>
      </c>
      <c r="E1263" t="s">
        <v>89</v>
      </c>
      <c r="F1263" t="s">
        <v>123</v>
      </c>
      <c r="G1263" t="s">
        <v>107</v>
      </c>
      <c r="H1263" s="2">
        <v>0.34444444444444444</v>
      </c>
      <c r="I1263" s="2">
        <v>0.37430555555555556</v>
      </c>
      <c r="J1263">
        <v>1</v>
      </c>
      <c r="K1263">
        <v>8</v>
      </c>
      <c r="L1263" t="s">
        <v>38</v>
      </c>
      <c r="M1263">
        <v>26.7</v>
      </c>
      <c r="N1263">
        <v>33</v>
      </c>
      <c r="O1263">
        <v>47</v>
      </c>
      <c r="P1263">
        <v>16.2</v>
      </c>
      <c r="Q1263" t="s">
        <v>101</v>
      </c>
      <c r="R1263">
        <v>0</v>
      </c>
      <c r="S1263">
        <v>86</v>
      </c>
      <c r="T1263">
        <v>0</v>
      </c>
      <c r="U1263">
        <v>0</v>
      </c>
      <c r="V1263">
        <v>5</v>
      </c>
      <c r="W1263" t="s">
        <v>72</v>
      </c>
      <c r="X1263">
        <v>1</v>
      </c>
      <c r="Y1263" t="str">
        <f t="shared" si="19"/>
        <v>High</v>
      </c>
    </row>
    <row r="1264" spans="1:25">
      <c r="A1264" t="s">
        <v>1377</v>
      </c>
      <c r="B1264" s="1">
        <v>44940</v>
      </c>
      <c r="C1264" s="2">
        <v>0.35416666666666669</v>
      </c>
      <c r="D1264" t="s">
        <v>26</v>
      </c>
      <c r="E1264" t="s">
        <v>93</v>
      </c>
      <c r="F1264" t="s">
        <v>62</v>
      </c>
      <c r="G1264" t="s">
        <v>154</v>
      </c>
      <c r="H1264" s="2">
        <v>0.35416666666666669</v>
      </c>
      <c r="I1264" s="2">
        <v>0.37986111111111109</v>
      </c>
      <c r="J1264">
        <v>11</v>
      </c>
      <c r="K1264">
        <v>18</v>
      </c>
      <c r="L1264" t="s">
        <v>54</v>
      </c>
      <c r="M1264">
        <v>-1.3</v>
      </c>
      <c r="N1264">
        <v>77</v>
      </c>
      <c r="O1264">
        <v>23</v>
      </c>
      <c r="P1264">
        <v>10.7</v>
      </c>
      <c r="Q1264" t="s">
        <v>31</v>
      </c>
      <c r="R1264">
        <v>0</v>
      </c>
      <c r="S1264">
        <v>63</v>
      </c>
      <c r="T1264">
        <v>0</v>
      </c>
      <c r="U1264">
        <v>0</v>
      </c>
      <c r="V1264">
        <v>5</v>
      </c>
      <c r="W1264" t="s">
        <v>39</v>
      </c>
      <c r="X1264">
        <v>1</v>
      </c>
      <c r="Y1264" t="str">
        <f t="shared" si="19"/>
        <v>Medium</v>
      </c>
    </row>
    <row r="1265" spans="1:25">
      <c r="A1265" t="s">
        <v>1378</v>
      </c>
      <c r="B1265" s="1">
        <v>44940</v>
      </c>
      <c r="C1265" s="2">
        <v>0.36458333333333331</v>
      </c>
      <c r="D1265" t="s">
        <v>26</v>
      </c>
      <c r="E1265" t="s">
        <v>157</v>
      </c>
      <c r="F1265" t="s">
        <v>65</v>
      </c>
      <c r="G1265" t="s">
        <v>185</v>
      </c>
      <c r="H1265" s="2">
        <v>0.3659722222222222</v>
      </c>
      <c r="I1265" s="2">
        <v>0.38194444444444442</v>
      </c>
      <c r="J1265">
        <v>1</v>
      </c>
      <c r="K1265">
        <v>9</v>
      </c>
      <c r="L1265" t="s">
        <v>30</v>
      </c>
      <c r="M1265">
        <v>-2.8</v>
      </c>
      <c r="N1265">
        <v>81</v>
      </c>
      <c r="O1265">
        <v>46</v>
      </c>
      <c r="P1265">
        <v>6.7</v>
      </c>
      <c r="Q1265" t="s">
        <v>31</v>
      </c>
      <c r="R1265">
        <v>0</v>
      </c>
      <c r="S1265">
        <v>11</v>
      </c>
      <c r="T1265">
        <v>0</v>
      </c>
      <c r="U1265">
        <v>1</v>
      </c>
      <c r="V1265">
        <v>5</v>
      </c>
      <c r="W1265" t="s">
        <v>72</v>
      </c>
      <c r="X1265">
        <v>1</v>
      </c>
      <c r="Y1265" t="str">
        <f t="shared" si="19"/>
        <v>Low</v>
      </c>
    </row>
    <row r="1266" spans="1:25">
      <c r="A1266" t="s">
        <v>1379</v>
      </c>
      <c r="B1266" s="1">
        <v>44940</v>
      </c>
      <c r="C1266" s="2">
        <v>0.375</v>
      </c>
      <c r="D1266" t="s">
        <v>74</v>
      </c>
      <c r="E1266" t="s">
        <v>147</v>
      </c>
      <c r="F1266" t="s">
        <v>28</v>
      </c>
      <c r="G1266" t="s">
        <v>118</v>
      </c>
      <c r="H1266" s="2">
        <v>0.375</v>
      </c>
      <c r="I1266" s="2">
        <v>0.40069444444444446</v>
      </c>
      <c r="J1266">
        <v>9</v>
      </c>
      <c r="K1266">
        <v>24</v>
      </c>
      <c r="L1266" t="s">
        <v>30</v>
      </c>
      <c r="M1266">
        <v>27</v>
      </c>
      <c r="N1266">
        <v>67</v>
      </c>
      <c r="O1266">
        <v>59</v>
      </c>
      <c r="P1266">
        <v>6.6</v>
      </c>
      <c r="Q1266" t="s">
        <v>31</v>
      </c>
      <c r="R1266">
        <v>0</v>
      </c>
      <c r="S1266">
        <v>52</v>
      </c>
      <c r="T1266">
        <v>0</v>
      </c>
      <c r="U1266">
        <v>0</v>
      </c>
      <c r="V1266">
        <v>5</v>
      </c>
      <c r="W1266" t="s">
        <v>39</v>
      </c>
      <c r="X1266">
        <v>1</v>
      </c>
      <c r="Y1266" t="str">
        <f t="shared" si="19"/>
        <v>Medium</v>
      </c>
    </row>
    <row r="1267" spans="1:25">
      <c r="A1267" t="s">
        <v>1380</v>
      </c>
      <c r="B1267" s="1">
        <v>44940</v>
      </c>
      <c r="C1267" s="2">
        <v>0.38541666666666669</v>
      </c>
      <c r="D1267" t="s">
        <v>26</v>
      </c>
      <c r="E1267" t="s">
        <v>126</v>
      </c>
      <c r="F1267" t="s">
        <v>142</v>
      </c>
      <c r="G1267" t="s">
        <v>163</v>
      </c>
      <c r="H1267" s="2">
        <v>0.38541666666666669</v>
      </c>
      <c r="I1267" s="2">
        <v>0.40972222222222221</v>
      </c>
      <c r="J1267">
        <v>7</v>
      </c>
      <c r="K1267">
        <v>10</v>
      </c>
      <c r="L1267" t="s">
        <v>30</v>
      </c>
      <c r="M1267">
        <v>5.4</v>
      </c>
      <c r="N1267">
        <v>34</v>
      </c>
      <c r="O1267">
        <v>8</v>
      </c>
      <c r="P1267">
        <v>17.899999999999999</v>
      </c>
      <c r="Q1267" t="s">
        <v>63</v>
      </c>
      <c r="R1267">
        <v>2000</v>
      </c>
      <c r="S1267">
        <v>54</v>
      </c>
      <c r="T1267">
        <v>0</v>
      </c>
      <c r="U1267">
        <v>0</v>
      </c>
      <c r="V1267">
        <v>5</v>
      </c>
      <c r="W1267" t="s">
        <v>55</v>
      </c>
      <c r="X1267">
        <v>1</v>
      </c>
      <c r="Y1267" t="str">
        <f t="shared" si="19"/>
        <v>Medium</v>
      </c>
    </row>
    <row r="1268" spans="1:25">
      <c r="A1268" t="s">
        <v>1381</v>
      </c>
      <c r="B1268" s="1">
        <v>44940</v>
      </c>
      <c r="C1268" s="2">
        <v>0.39583333333333331</v>
      </c>
      <c r="D1268" t="s">
        <v>26</v>
      </c>
      <c r="E1268" t="s">
        <v>79</v>
      </c>
      <c r="F1268" t="s">
        <v>80</v>
      </c>
      <c r="G1268" t="s">
        <v>29</v>
      </c>
      <c r="H1268" s="2">
        <v>0.3972222222222222</v>
      </c>
      <c r="I1268" s="2">
        <v>0.41944444444444445</v>
      </c>
      <c r="J1268">
        <v>1</v>
      </c>
      <c r="K1268">
        <v>18</v>
      </c>
      <c r="L1268" t="s">
        <v>84</v>
      </c>
      <c r="M1268">
        <v>18.3</v>
      </c>
      <c r="N1268">
        <v>99</v>
      </c>
      <c r="O1268">
        <v>2</v>
      </c>
      <c r="P1268">
        <v>9.1</v>
      </c>
      <c r="Q1268" t="s">
        <v>31</v>
      </c>
      <c r="R1268">
        <v>0</v>
      </c>
      <c r="S1268">
        <v>52</v>
      </c>
      <c r="T1268">
        <v>0</v>
      </c>
      <c r="U1268">
        <v>0</v>
      </c>
      <c r="V1268">
        <v>5</v>
      </c>
      <c r="W1268" t="s">
        <v>32</v>
      </c>
      <c r="X1268">
        <v>1</v>
      </c>
      <c r="Y1268" t="str">
        <f t="shared" si="19"/>
        <v>Medium</v>
      </c>
    </row>
    <row r="1269" spans="1:25">
      <c r="A1269" t="s">
        <v>1382</v>
      </c>
      <c r="B1269" s="1">
        <v>44940</v>
      </c>
      <c r="C1269" s="2">
        <v>0.40625</v>
      </c>
      <c r="D1269" t="s">
        <v>34</v>
      </c>
      <c r="E1269" t="s">
        <v>147</v>
      </c>
      <c r="F1269" t="s">
        <v>83</v>
      </c>
      <c r="G1269" t="s">
        <v>69</v>
      </c>
      <c r="H1269" s="2">
        <v>0.40694444444444444</v>
      </c>
      <c r="I1269" s="2">
        <v>0.42499999999999999</v>
      </c>
      <c r="J1269">
        <v>15</v>
      </c>
      <c r="K1269">
        <v>26</v>
      </c>
      <c r="L1269" t="s">
        <v>45</v>
      </c>
      <c r="M1269">
        <v>12.7</v>
      </c>
      <c r="N1269">
        <v>53</v>
      </c>
      <c r="O1269">
        <v>54</v>
      </c>
      <c r="P1269">
        <v>8.1</v>
      </c>
      <c r="Q1269" t="s">
        <v>31</v>
      </c>
      <c r="R1269">
        <v>50000</v>
      </c>
      <c r="S1269">
        <v>20</v>
      </c>
      <c r="T1269">
        <v>0</v>
      </c>
      <c r="U1269">
        <v>0</v>
      </c>
      <c r="V1269">
        <v>5</v>
      </c>
      <c r="W1269" t="s">
        <v>32</v>
      </c>
      <c r="X1269">
        <v>1</v>
      </c>
      <c r="Y1269" t="str">
        <f t="shared" si="19"/>
        <v>Low</v>
      </c>
    </row>
    <row r="1270" spans="1:25">
      <c r="A1270" t="s">
        <v>1383</v>
      </c>
      <c r="B1270" s="1">
        <v>44940</v>
      </c>
      <c r="C1270" s="2">
        <v>0.41666666666666669</v>
      </c>
      <c r="D1270" t="s">
        <v>41</v>
      </c>
      <c r="E1270" t="s">
        <v>157</v>
      </c>
      <c r="F1270" t="s">
        <v>36</v>
      </c>
      <c r="G1270" t="s">
        <v>185</v>
      </c>
      <c r="H1270" s="2">
        <v>0.41805555555555557</v>
      </c>
      <c r="I1270" s="2">
        <v>0.43888888888888888</v>
      </c>
      <c r="J1270">
        <v>10</v>
      </c>
      <c r="K1270">
        <v>16</v>
      </c>
      <c r="L1270" t="s">
        <v>38</v>
      </c>
      <c r="M1270">
        <v>-4.0999999999999996</v>
      </c>
      <c r="N1270">
        <v>46</v>
      </c>
      <c r="O1270">
        <v>8</v>
      </c>
      <c r="P1270">
        <v>0.8</v>
      </c>
      <c r="Q1270" t="s">
        <v>31</v>
      </c>
      <c r="R1270">
        <v>0</v>
      </c>
      <c r="S1270">
        <v>18</v>
      </c>
      <c r="T1270">
        <v>1</v>
      </c>
      <c r="U1270">
        <v>0</v>
      </c>
      <c r="V1270">
        <v>5</v>
      </c>
      <c r="W1270" t="s">
        <v>55</v>
      </c>
      <c r="X1270">
        <v>1</v>
      </c>
      <c r="Y1270" t="str">
        <f t="shared" si="19"/>
        <v>Low</v>
      </c>
    </row>
    <row r="1271" spans="1:25">
      <c r="A1271" t="s">
        <v>1384</v>
      </c>
      <c r="B1271" s="1">
        <v>44940</v>
      </c>
      <c r="C1271" s="2">
        <v>0.42708333333333331</v>
      </c>
      <c r="D1271" t="s">
        <v>74</v>
      </c>
      <c r="E1271" t="s">
        <v>79</v>
      </c>
      <c r="F1271" t="s">
        <v>37</v>
      </c>
      <c r="G1271" t="s">
        <v>148</v>
      </c>
      <c r="H1271" s="2">
        <v>0.42916666666666664</v>
      </c>
      <c r="I1271" s="2">
        <v>0.44513888888888886</v>
      </c>
      <c r="J1271">
        <v>10</v>
      </c>
      <c r="K1271">
        <v>23</v>
      </c>
      <c r="L1271" t="s">
        <v>45</v>
      </c>
      <c r="M1271">
        <v>-3.4</v>
      </c>
      <c r="N1271">
        <v>55</v>
      </c>
      <c r="O1271">
        <v>17</v>
      </c>
      <c r="P1271">
        <v>7.3</v>
      </c>
      <c r="Q1271" t="s">
        <v>31</v>
      </c>
      <c r="R1271">
        <v>50000</v>
      </c>
      <c r="S1271">
        <v>68</v>
      </c>
      <c r="T1271">
        <v>1</v>
      </c>
      <c r="U1271">
        <v>0</v>
      </c>
      <c r="V1271">
        <v>5</v>
      </c>
      <c r="W1271" t="s">
        <v>32</v>
      </c>
      <c r="X1271">
        <v>1</v>
      </c>
      <c r="Y1271" t="str">
        <f t="shared" si="19"/>
        <v>High</v>
      </c>
    </row>
    <row r="1272" spans="1:25">
      <c r="A1272" t="s">
        <v>1385</v>
      </c>
      <c r="B1272" s="1">
        <v>44940</v>
      </c>
      <c r="C1272" s="2">
        <v>0.4375</v>
      </c>
      <c r="D1272" t="s">
        <v>74</v>
      </c>
      <c r="E1272" t="s">
        <v>161</v>
      </c>
      <c r="F1272" t="s">
        <v>122</v>
      </c>
      <c r="G1272" t="s">
        <v>95</v>
      </c>
      <c r="H1272" s="2">
        <v>0.43958333333333333</v>
      </c>
      <c r="I1272" s="2">
        <v>0.46250000000000002</v>
      </c>
      <c r="J1272">
        <v>11</v>
      </c>
      <c r="K1272">
        <v>-3</v>
      </c>
      <c r="L1272" t="s">
        <v>45</v>
      </c>
      <c r="M1272">
        <v>28.1</v>
      </c>
      <c r="N1272">
        <v>32</v>
      </c>
      <c r="O1272">
        <v>35</v>
      </c>
      <c r="P1272">
        <v>17</v>
      </c>
      <c r="Q1272" t="s">
        <v>59</v>
      </c>
      <c r="R1272">
        <v>0</v>
      </c>
      <c r="S1272">
        <v>87</v>
      </c>
      <c r="T1272">
        <v>0</v>
      </c>
      <c r="U1272">
        <v>0</v>
      </c>
      <c r="V1272">
        <v>5</v>
      </c>
      <c r="W1272" t="s">
        <v>72</v>
      </c>
      <c r="X1272">
        <v>0</v>
      </c>
      <c r="Y1272" t="str">
        <f t="shared" si="19"/>
        <v>High</v>
      </c>
    </row>
    <row r="1273" spans="1:25">
      <c r="A1273" t="s">
        <v>1386</v>
      </c>
      <c r="B1273" s="1">
        <v>44940</v>
      </c>
      <c r="C1273" s="2">
        <v>0.44791666666666669</v>
      </c>
      <c r="D1273" t="s">
        <v>74</v>
      </c>
      <c r="E1273" t="s">
        <v>104</v>
      </c>
      <c r="F1273" t="s">
        <v>37</v>
      </c>
      <c r="G1273" t="s">
        <v>95</v>
      </c>
      <c r="H1273" s="2">
        <v>0.45</v>
      </c>
      <c r="I1273" s="2">
        <v>0.48333333333333334</v>
      </c>
      <c r="J1273">
        <v>15</v>
      </c>
      <c r="K1273">
        <v>11</v>
      </c>
      <c r="L1273" t="s">
        <v>45</v>
      </c>
      <c r="M1273">
        <v>19.3</v>
      </c>
      <c r="N1273">
        <v>31</v>
      </c>
      <c r="O1273">
        <v>18</v>
      </c>
      <c r="P1273">
        <v>15.2</v>
      </c>
      <c r="Q1273" t="s">
        <v>31</v>
      </c>
      <c r="R1273">
        <v>0</v>
      </c>
      <c r="S1273">
        <v>93</v>
      </c>
      <c r="T1273">
        <v>0</v>
      </c>
      <c r="U1273">
        <v>0</v>
      </c>
      <c r="V1273">
        <v>5</v>
      </c>
      <c r="W1273" t="s">
        <v>72</v>
      </c>
      <c r="X1273">
        <v>1</v>
      </c>
      <c r="Y1273" t="str">
        <f t="shared" si="19"/>
        <v>High</v>
      </c>
    </row>
    <row r="1274" spans="1:25">
      <c r="A1274" t="s">
        <v>1387</v>
      </c>
      <c r="B1274" s="1">
        <v>44940</v>
      </c>
      <c r="C1274" s="2">
        <v>0.45833333333333331</v>
      </c>
      <c r="D1274" t="s">
        <v>26</v>
      </c>
      <c r="E1274" t="s">
        <v>68</v>
      </c>
      <c r="F1274" t="s">
        <v>53</v>
      </c>
      <c r="G1274" t="s">
        <v>81</v>
      </c>
      <c r="H1274" s="2">
        <v>0.46111111111111114</v>
      </c>
      <c r="I1274" s="2">
        <v>0.48680555555555555</v>
      </c>
      <c r="J1274">
        <v>-2</v>
      </c>
      <c r="K1274">
        <v>28</v>
      </c>
      <c r="L1274" t="s">
        <v>30</v>
      </c>
      <c r="M1274">
        <v>16</v>
      </c>
      <c r="N1274">
        <v>31</v>
      </c>
      <c r="O1274">
        <v>23</v>
      </c>
      <c r="P1274">
        <v>4.4000000000000004</v>
      </c>
      <c r="Q1274" t="s">
        <v>71</v>
      </c>
      <c r="R1274">
        <v>0</v>
      </c>
      <c r="S1274">
        <v>71</v>
      </c>
      <c r="T1274">
        <v>0</v>
      </c>
      <c r="U1274">
        <v>1</v>
      </c>
      <c r="V1274">
        <v>5</v>
      </c>
      <c r="W1274" t="s">
        <v>55</v>
      </c>
      <c r="X1274">
        <v>1</v>
      </c>
      <c r="Y1274" t="str">
        <f t="shared" si="19"/>
        <v>High</v>
      </c>
    </row>
    <row r="1275" spans="1:25">
      <c r="A1275" t="s">
        <v>1388</v>
      </c>
      <c r="B1275" s="1">
        <v>44940</v>
      </c>
      <c r="C1275" s="2">
        <v>0.46875</v>
      </c>
      <c r="D1275" t="s">
        <v>26</v>
      </c>
      <c r="E1275" t="s">
        <v>27</v>
      </c>
      <c r="F1275" t="s">
        <v>100</v>
      </c>
      <c r="G1275" t="s">
        <v>203</v>
      </c>
      <c r="H1275" s="2">
        <v>0.46944444444444444</v>
      </c>
      <c r="I1275" s="2">
        <v>0.4909722222222222</v>
      </c>
      <c r="J1275">
        <v>18</v>
      </c>
      <c r="K1275">
        <v>4</v>
      </c>
      <c r="L1275" t="s">
        <v>54</v>
      </c>
      <c r="M1275">
        <v>32.799999999999997</v>
      </c>
      <c r="N1275">
        <v>51</v>
      </c>
      <c r="O1275">
        <v>3</v>
      </c>
      <c r="P1275">
        <v>8.3000000000000007</v>
      </c>
      <c r="Q1275" t="s">
        <v>31</v>
      </c>
      <c r="R1275">
        <v>0</v>
      </c>
      <c r="S1275">
        <v>65</v>
      </c>
      <c r="T1275">
        <v>0</v>
      </c>
      <c r="U1275">
        <v>1</v>
      </c>
      <c r="V1275">
        <v>5</v>
      </c>
      <c r="W1275" t="s">
        <v>55</v>
      </c>
      <c r="X1275">
        <v>0</v>
      </c>
      <c r="Y1275" t="str">
        <f t="shared" si="19"/>
        <v>Medium</v>
      </c>
    </row>
    <row r="1276" spans="1:25">
      <c r="A1276" t="s">
        <v>1389</v>
      </c>
      <c r="B1276" s="1">
        <v>44940</v>
      </c>
      <c r="C1276" s="2">
        <v>0.47916666666666669</v>
      </c>
      <c r="D1276" t="s">
        <v>26</v>
      </c>
      <c r="E1276" t="s">
        <v>79</v>
      </c>
      <c r="F1276" t="s">
        <v>123</v>
      </c>
      <c r="G1276" t="s">
        <v>90</v>
      </c>
      <c r="H1276" s="2">
        <v>0.47986111111111113</v>
      </c>
      <c r="I1276" s="2">
        <v>0.5083333333333333</v>
      </c>
      <c r="J1276">
        <v>13</v>
      </c>
      <c r="K1276">
        <v>29</v>
      </c>
      <c r="L1276" t="s">
        <v>54</v>
      </c>
      <c r="M1276">
        <v>1.9</v>
      </c>
      <c r="N1276">
        <v>33</v>
      </c>
      <c r="O1276">
        <v>8</v>
      </c>
      <c r="P1276">
        <v>3.9</v>
      </c>
      <c r="Q1276" t="s">
        <v>31</v>
      </c>
      <c r="R1276">
        <v>10000</v>
      </c>
      <c r="S1276">
        <v>58</v>
      </c>
      <c r="T1276">
        <v>0</v>
      </c>
      <c r="U1276">
        <v>0</v>
      </c>
      <c r="V1276">
        <v>5</v>
      </c>
      <c r="W1276" t="s">
        <v>55</v>
      </c>
      <c r="X1276">
        <v>1</v>
      </c>
      <c r="Y1276" t="str">
        <f t="shared" si="19"/>
        <v>Medium</v>
      </c>
    </row>
    <row r="1277" spans="1:25">
      <c r="A1277" t="s">
        <v>1390</v>
      </c>
      <c r="B1277" s="1">
        <v>44940</v>
      </c>
      <c r="C1277" s="2">
        <v>0.48958333333333331</v>
      </c>
      <c r="D1277" t="s">
        <v>34</v>
      </c>
      <c r="E1277" t="s">
        <v>147</v>
      </c>
      <c r="F1277" t="s">
        <v>91</v>
      </c>
      <c r="G1277" t="s">
        <v>70</v>
      </c>
      <c r="H1277" s="2">
        <v>0.49236111111111114</v>
      </c>
      <c r="I1277" s="2">
        <v>0.5229166666666667</v>
      </c>
      <c r="J1277">
        <v>12</v>
      </c>
      <c r="K1277">
        <v>14</v>
      </c>
      <c r="L1277" t="s">
        <v>30</v>
      </c>
      <c r="M1277">
        <v>5.3</v>
      </c>
      <c r="N1277">
        <v>67</v>
      </c>
      <c r="O1277">
        <v>32</v>
      </c>
      <c r="P1277">
        <v>19.100000000000001</v>
      </c>
      <c r="Q1277" t="s">
        <v>31</v>
      </c>
      <c r="R1277">
        <v>0</v>
      </c>
      <c r="S1277">
        <v>48</v>
      </c>
      <c r="T1277">
        <v>0</v>
      </c>
      <c r="U1277">
        <v>0</v>
      </c>
      <c r="V1277">
        <v>5</v>
      </c>
      <c r="W1277" t="s">
        <v>55</v>
      </c>
      <c r="X1277">
        <v>1</v>
      </c>
      <c r="Y1277" t="str">
        <f t="shared" si="19"/>
        <v>Medium</v>
      </c>
    </row>
    <row r="1278" spans="1:25">
      <c r="A1278" t="s">
        <v>1391</v>
      </c>
      <c r="B1278" s="1">
        <v>44940</v>
      </c>
      <c r="C1278" s="2">
        <v>0.5</v>
      </c>
      <c r="D1278" t="s">
        <v>41</v>
      </c>
      <c r="E1278" t="s">
        <v>126</v>
      </c>
      <c r="F1278" t="s">
        <v>203</v>
      </c>
      <c r="G1278" t="s">
        <v>58</v>
      </c>
      <c r="H1278" s="2">
        <v>0.5</v>
      </c>
      <c r="I1278" s="2">
        <v>0.52847222222222223</v>
      </c>
      <c r="J1278">
        <v>19</v>
      </c>
      <c r="K1278">
        <v>25</v>
      </c>
      <c r="L1278" t="s">
        <v>38</v>
      </c>
      <c r="M1278">
        <v>25.3</v>
      </c>
      <c r="N1278">
        <v>99</v>
      </c>
      <c r="O1278">
        <v>0</v>
      </c>
      <c r="P1278">
        <v>12</v>
      </c>
      <c r="Q1278" t="s">
        <v>71</v>
      </c>
      <c r="R1278">
        <v>500</v>
      </c>
      <c r="S1278">
        <v>97</v>
      </c>
      <c r="T1278">
        <v>0</v>
      </c>
      <c r="U1278">
        <v>0</v>
      </c>
      <c r="V1278">
        <v>5</v>
      </c>
      <c r="W1278" t="s">
        <v>32</v>
      </c>
      <c r="X1278">
        <v>1</v>
      </c>
      <c r="Y1278" t="str">
        <f t="shared" si="19"/>
        <v>High</v>
      </c>
    </row>
    <row r="1279" spans="1:25">
      <c r="A1279" t="s">
        <v>1392</v>
      </c>
      <c r="B1279" s="1">
        <v>44940</v>
      </c>
      <c r="C1279" s="2">
        <v>0.51041666666666663</v>
      </c>
      <c r="D1279" t="s">
        <v>26</v>
      </c>
      <c r="E1279" t="s">
        <v>27</v>
      </c>
      <c r="F1279" t="s">
        <v>95</v>
      </c>
      <c r="G1279" t="s">
        <v>66</v>
      </c>
      <c r="H1279" s="2">
        <v>0.51249999999999996</v>
      </c>
      <c r="I1279" s="2">
        <v>0.52430555555555558</v>
      </c>
      <c r="J1279">
        <v>2</v>
      </c>
      <c r="K1279">
        <v>28</v>
      </c>
      <c r="L1279" t="s">
        <v>38</v>
      </c>
      <c r="M1279">
        <v>26</v>
      </c>
      <c r="N1279">
        <v>81</v>
      </c>
      <c r="O1279">
        <v>51</v>
      </c>
      <c r="P1279">
        <v>15.1</v>
      </c>
      <c r="Q1279" t="s">
        <v>31</v>
      </c>
      <c r="R1279">
        <v>0</v>
      </c>
      <c r="S1279">
        <v>58</v>
      </c>
      <c r="T1279">
        <v>1</v>
      </c>
      <c r="U1279">
        <v>0</v>
      </c>
      <c r="V1279">
        <v>5</v>
      </c>
      <c r="W1279" t="s">
        <v>32</v>
      </c>
      <c r="X1279">
        <v>1</v>
      </c>
      <c r="Y1279" t="str">
        <f t="shared" si="19"/>
        <v>Medium</v>
      </c>
    </row>
    <row r="1280" spans="1:25">
      <c r="A1280" t="s">
        <v>1393</v>
      </c>
      <c r="B1280" s="1">
        <v>44940</v>
      </c>
      <c r="C1280" s="2">
        <v>0.52083333333333337</v>
      </c>
      <c r="D1280" t="s">
        <v>41</v>
      </c>
      <c r="E1280" t="s">
        <v>42</v>
      </c>
      <c r="F1280" t="s">
        <v>154</v>
      </c>
      <c r="G1280" t="s">
        <v>95</v>
      </c>
      <c r="H1280" s="2">
        <v>0.5229166666666667</v>
      </c>
      <c r="I1280" s="2">
        <v>0.5541666666666667</v>
      </c>
      <c r="J1280">
        <v>3</v>
      </c>
      <c r="K1280">
        <v>29</v>
      </c>
      <c r="L1280" t="s">
        <v>38</v>
      </c>
      <c r="M1280">
        <v>11.2</v>
      </c>
      <c r="N1280">
        <v>60</v>
      </c>
      <c r="O1280">
        <v>50</v>
      </c>
      <c r="P1280">
        <v>14.3</v>
      </c>
      <c r="Q1280" t="s">
        <v>31</v>
      </c>
      <c r="R1280">
        <v>500</v>
      </c>
      <c r="S1280">
        <v>22</v>
      </c>
      <c r="T1280">
        <v>1</v>
      </c>
      <c r="U1280">
        <v>0</v>
      </c>
      <c r="V1280">
        <v>5</v>
      </c>
      <c r="W1280" t="s">
        <v>32</v>
      </c>
      <c r="X1280">
        <v>1</v>
      </c>
      <c r="Y1280" t="str">
        <f t="shared" si="19"/>
        <v>Low</v>
      </c>
    </row>
    <row r="1281" spans="1:25">
      <c r="A1281" t="s">
        <v>1394</v>
      </c>
      <c r="B1281" s="1">
        <v>44940</v>
      </c>
      <c r="C1281" s="2">
        <v>0.53125</v>
      </c>
      <c r="D1281" t="s">
        <v>34</v>
      </c>
      <c r="E1281" t="s">
        <v>104</v>
      </c>
      <c r="F1281" t="s">
        <v>76</v>
      </c>
      <c r="G1281" t="s">
        <v>44</v>
      </c>
      <c r="H1281" s="2">
        <v>0.53125</v>
      </c>
      <c r="I1281" s="2">
        <v>0.54791666666666672</v>
      </c>
      <c r="J1281">
        <v>3</v>
      </c>
      <c r="K1281">
        <v>1</v>
      </c>
      <c r="L1281" t="s">
        <v>54</v>
      </c>
      <c r="M1281">
        <v>33</v>
      </c>
      <c r="N1281">
        <v>55</v>
      </c>
      <c r="O1281">
        <v>34</v>
      </c>
      <c r="P1281">
        <v>17.5</v>
      </c>
      <c r="Q1281" t="s">
        <v>31</v>
      </c>
      <c r="R1281">
        <v>0</v>
      </c>
      <c r="S1281">
        <v>2</v>
      </c>
      <c r="T1281">
        <v>0</v>
      </c>
      <c r="U1281">
        <v>0</v>
      </c>
      <c r="V1281">
        <v>5</v>
      </c>
      <c r="W1281" t="s">
        <v>72</v>
      </c>
      <c r="X1281">
        <v>0</v>
      </c>
      <c r="Y1281" t="str">
        <f t="shared" si="19"/>
        <v>Low</v>
      </c>
    </row>
    <row r="1282" spans="1:25">
      <c r="A1282" t="s">
        <v>1395</v>
      </c>
      <c r="B1282" s="1">
        <v>44940</v>
      </c>
      <c r="C1282" s="2">
        <v>0.54166666666666663</v>
      </c>
      <c r="D1282" t="s">
        <v>74</v>
      </c>
      <c r="E1282" t="s">
        <v>98</v>
      </c>
      <c r="F1282" t="s">
        <v>113</v>
      </c>
      <c r="G1282" t="s">
        <v>197</v>
      </c>
      <c r="H1282" s="2">
        <v>0.54305555555555551</v>
      </c>
      <c r="I1282" s="2">
        <v>0.57916666666666672</v>
      </c>
      <c r="J1282">
        <v>0</v>
      </c>
      <c r="K1282">
        <v>14</v>
      </c>
      <c r="L1282" t="s">
        <v>54</v>
      </c>
      <c r="M1282">
        <v>32.5</v>
      </c>
      <c r="N1282">
        <v>65</v>
      </c>
      <c r="O1282">
        <v>9</v>
      </c>
      <c r="P1282">
        <v>19</v>
      </c>
      <c r="Q1282" t="s">
        <v>46</v>
      </c>
      <c r="R1282">
        <v>2000</v>
      </c>
      <c r="S1282">
        <v>55</v>
      </c>
      <c r="T1282">
        <v>0</v>
      </c>
      <c r="U1282">
        <v>0</v>
      </c>
      <c r="V1282">
        <v>5</v>
      </c>
      <c r="W1282" t="s">
        <v>39</v>
      </c>
      <c r="X1282">
        <v>1</v>
      </c>
      <c r="Y1282" t="str">
        <f t="shared" ref="Y1282:Y1345" si="20">IF(S1282&lt;=33,"Low",IF(S1282&lt;=66,"Medium","High"))</f>
        <v>Medium</v>
      </c>
    </row>
    <row r="1283" spans="1:25">
      <c r="A1283" t="s">
        <v>1396</v>
      </c>
      <c r="B1283" s="1">
        <v>44940</v>
      </c>
      <c r="C1283" s="2">
        <v>0.55208333333333337</v>
      </c>
      <c r="D1283" t="s">
        <v>26</v>
      </c>
      <c r="E1283" t="s">
        <v>35</v>
      </c>
      <c r="F1283" t="s">
        <v>148</v>
      </c>
      <c r="G1283" t="s">
        <v>66</v>
      </c>
      <c r="H1283" s="2">
        <v>0.55347222222222225</v>
      </c>
      <c r="I1283" s="2">
        <v>0.57222222222222219</v>
      </c>
      <c r="J1283">
        <v>13</v>
      </c>
      <c r="K1283">
        <v>6</v>
      </c>
      <c r="L1283" t="s">
        <v>45</v>
      </c>
      <c r="M1283">
        <v>-4.5</v>
      </c>
      <c r="N1283">
        <v>55</v>
      </c>
      <c r="O1283">
        <v>11</v>
      </c>
      <c r="P1283">
        <v>0.6</v>
      </c>
      <c r="Q1283" t="s">
        <v>101</v>
      </c>
      <c r="R1283">
        <v>0</v>
      </c>
      <c r="S1283">
        <v>57</v>
      </c>
      <c r="T1283">
        <v>0</v>
      </c>
      <c r="U1283">
        <v>1</v>
      </c>
      <c r="V1283">
        <v>5</v>
      </c>
      <c r="W1283" t="s">
        <v>72</v>
      </c>
      <c r="X1283">
        <v>1</v>
      </c>
      <c r="Y1283" t="str">
        <f t="shared" si="20"/>
        <v>Medium</v>
      </c>
    </row>
    <row r="1284" spans="1:25">
      <c r="A1284" t="s">
        <v>1397</v>
      </c>
      <c r="B1284" s="1">
        <v>44940</v>
      </c>
      <c r="C1284" s="2">
        <v>0.5625</v>
      </c>
      <c r="D1284" t="s">
        <v>41</v>
      </c>
      <c r="E1284" t="s">
        <v>111</v>
      </c>
      <c r="F1284" t="s">
        <v>107</v>
      </c>
      <c r="G1284" t="s">
        <v>100</v>
      </c>
      <c r="H1284" s="2">
        <v>0.56319444444444444</v>
      </c>
      <c r="I1284" s="2">
        <v>0.58888888888888891</v>
      </c>
      <c r="J1284">
        <v>9</v>
      </c>
      <c r="K1284">
        <v>29</v>
      </c>
      <c r="L1284" t="s">
        <v>30</v>
      </c>
      <c r="M1284">
        <v>1.9</v>
      </c>
      <c r="N1284">
        <v>57</v>
      </c>
      <c r="O1284">
        <v>17</v>
      </c>
      <c r="P1284">
        <v>19.5</v>
      </c>
      <c r="Q1284" t="s">
        <v>59</v>
      </c>
      <c r="R1284">
        <v>50000</v>
      </c>
      <c r="S1284">
        <v>87</v>
      </c>
      <c r="T1284">
        <v>0</v>
      </c>
      <c r="U1284">
        <v>0</v>
      </c>
      <c r="V1284">
        <v>5</v>
      </c>
      <c r="W1284" t="s">
        <v>39</v>
      </c>
      <c r="X1284">
        <v>1</v>
      </c>
      <c r="Y1284" t="str">
        <f t="shared" si="20"/>
        <v>High</v>
      </c>
    </row>
    <row r="1285" spans="1:25">
      <c r="A1285" t="s">
        <v>1398</v>
      </c>
      <c r="B1285" s="1">
        <v>44940</v>
      </c>
      <c r="C1285" s="2">
        <v>0.57291666666666663</v>
      </c>
      <c r="D1285" t="s">
        <v>41</v>
      </c>
      <c r="E1285" t="s">
        <v>61</v>
      </c>
      <c r="F1285" t="s">
        <v>43</v>
      </c>
      <c r="G1285" t="s">
        <v>122</v>
      </c>
      <c r="H1285" s="2">
        <v>0.5756944444444444</v>
      </c>
      <c r="I1285" s="2">
        <v>0.6118055555555556</v>
      </c>
      <c r="J1285">
        <v>1</v>
      </c>
      <c r="K1285">
        <v>19</v>
      </c>
      <c r="L1285" t="s">
        <v>84</v>
      </c>
      <c r="M1285">
        <v>27.8</v>
      </c>
      <c r="N1285">
        <v>34</v>
      </c>
      <c r="O1285">
        <v>13</v>
      </c>
      <c r="P1285">
        <v>17.399999999999999</v>
      </c>
      <c r="Q1285" t="s">
        <v>31</v>
      </c>
      <c r="R1285">
        <v>50000</v>
      </c>
      <c r="S1285">
        <v>61</v>
      </c>
      <c r="T1285">
        <v>0</v>
      </c>
      <c r="U1285">
        <v>1</v>
      </c>
      <c r="V1285">
        <v>5</v>
      </c>
      <c r="W1285" t="s">
        <v>55</v>
      </c>
      <c r="X1285">
        <v>1</v>
      </c>
      <c r="Y1285" t="str">
        <f t="shared" si="20"/>
        <v>Medium</v>
      </c>
    </row>
    <row r="1286" spans="1:25">
      <c r="A1286" t="s">
        <v>1399</v>
      </c>
      <c r="B1286" s="1">
        <v>44940</v>
      </c>
      <c r="C1286" s="2">
        <v>0.58333333333333337</v>
      </c>
      <c r="D1286" t="s">
        <v>26</v>
      </c>
      <c r="E1286" t="s">
        <v>79</v>
      </c>
      <c r="F1286" t="s">
        <v>113</v>
      </c>
      <c r="G1286" t="s">
        <v>62</v>
      </c>
      <c r="H1286" s="2">
        <v>0.58402777777777781</v>
      </c>
      <c r="I1286" s="2">
        <v>0.60138888888888886</v>
      </c>
      <c r="J1286">
        <v>-2</v>
      </c>
      <c r="K1286">
        <v>1</v>
      </c>
      <c r="L1286" t="s">
        <v>45</v>
      </c>
      <c r="M1286">
        <v>8.4</v>
      </c>
      <c r="N1286">
        <v>47</v>
      </c>
      <c r="O1286">
        <v>9</v>
      </c>
      <c r="P1286">
        <v>7.7</v>
      </c>
      <c r="Q1286" t="s">
        <v>31</v>
      </c>
      <c r="R1286">
        <v>10000</v>
      </c>
      <c r="S1286">
        <v>17</v>
      </c>
      <c r="T1286">
        <v>0</v>
      </c>
      <c r="U1286">
        <v>1</v>
      </c>
      <c r="V1286">
        <v>5</v>
      </c>
      <c r="W1286" t="s">
        <v>55</v>
      </c>
      <c r="X1286">
        <v>0</v>
      </c>
      <c r="Y1286" t="str">
        <f t="shared" si="20"/>
        <v>Low</v>
      </c>
    </row>
    <row r="1287" spans="1:25">
      <c r="A1287" t="s">
        <v>1400</v>
      </c>
      <c r="B1287" s="1">
        <v>44940</v>
      </c>
      <c r="C1287" s="2">
        <v>0.59375</v>
      </c>
      <c r="D1287" t="s">
        <v>74</v>
      </c>
      <c r="E1287" t="s">
        <v>61</v>
      </c>
      <c r="F1287" t="s">
        <v>100</v>
      </c>
      <c r="G1287" t="s">
        <v>62</v>
      </c>
      <c r="H1287" s="2">
        <v>0.59513888888888888</v>
      </c>
      <c r="I1287" s="2">
        <v>0.63124999999999998</v>
      </c>
      <c r="J1287">
        <v>1</v>
      </c>
      <c r="K1287">
        <v>20</v>
      </c>
      <c r="L1287" t="s">
        <v>77</v>
      </c>
      <c r="M1287">
        <v>-1.2</v>
      </c>
      <c r="N1287">
        <v>44</v>
      </c>
      <c r="O1287">
        <v>9</v>
      </c>
      <c r="P1287">
        <v>16.7</v>
      </c>
      <c r="Q1287" t="s">
        <v>31</v>
      </c>
      <c r="R1287">
        <v>0</v>
      </c>
      <c r="S1287">
        <v>60</v>
      </c>
      <c r="T1287">
        <v>0</v>
      </c>
      <c r="U1287">
        <v>0</v>
      </c>
      <c r="V1287">
        <v>5</v>
      </c>
      <c r="W1287" t="s">
        <v>32</v>
      </c>
      <c r="X1287">
        <v>1</v>
      </c>
      <c r="Y1287" t="str">
        <f t="shared" si="20"/>
        <v>Medium</v>
      </c>
    </row>
    <row r="1288" spans="1:25">
      <c r="A1288" t="s">
        <v>1401</v>
      </c>
      <c r="B1288" s="1">
        <v>44940</v>
      </c>
      <c r="C1288" s="2">
        <v>0.60416666666666663</v>
      </c>
      <c r="D1288" t="s">
        <v>74</v>
      </c>
      <c r="E1288" t="s">
        <v>130</v>
      </c>
      <c r="F1288" t="s">
        <v>197</v>
      </c>
      <c r="G1288" t="s">
        <v>62</v>
      </c>
      <c r="H1288" s="2">
        <v>0.60416666666666663</v>
      </c>
      <c r="I1288" s="2">
        <v>0.62638888888888888</v>
      </c>
      <c r="J1288">
        <v>-2</v>
      </c>
      <c r="K1288">
        <v>13</v>
      </c>
      <c r="L1288" t="s">
        <v>54</v>
      </c>
      <c r="M1288">
        <v>26.4</v>
      </c>
      <c r="N1288">
        <v>86</v>
      </c>
      <c r="O1288">
        <v>17</v>
      </c>
      <c r="P1288">
        <v>14.7</v>
      </c>
      <c r="Q1288" t="s">
        <v>31</v>
      </c>
      <c r="R1288">
        <v>0</v>
      </c>
      <c r="S1288">
        <v>36</v>
      </c>
      <c r="T1288">
        <v>0</v>
      </c>
      <c r="U1288">
        <v>0</v>
      </c>
      <c r="V1288">
        <v>5</v>
      </c>
      <c r="W1288" t="s">
        <v>32</v>
      </c>
      <c r="X1288">
        <v>1</v>
      </c>
      <c r="Y1288" t="str">
        <f t="shared" si="20"/>
        <v>Medium</v>
      </c>
    </row>
    <row r="1289" spans="1:25">
      <c r="A1289" t="s">
        <v>1402</v>
      </c>
      <c r="B1289" s="1">
        <v>44940</v>
      </c>
      <c r="C1289" s="2">
        <v>0.61458333333333337</v>
      </c>
      <c r="D1289" t="s">
        <v>74</v>
      </c>
      <c r="E1289" t="s">
        <v>61</v>
      </c>
      <c r="F1289" t="s">
        <v>76</v>
      </c>
      <c r="G1289" t="s">
        <v>118</v>
      </c>
      <c r="H1289" s="2">
        <v>0.61527777777777781</v>
      </c>
      <c r="I1289" s="2">
        <v>0.63472222222222219</v>
      </c>
      <c r="J1289">
        <v>18</v>
      </c>
      <c r="K1289">
        <v>27</v>
      </c>
      <c r="L1289" t="s">
        <v>45</v>
      </c>
      <c r="M1289">
        <v>13.2</v>
      </c>
      <c r="N1289">
        <v>34</v>
      </c>
      <c r="O1289">
        <v>23</v>
      </c>
      <c r="P1289">
        <v>15.9</v>
      </c>
      <c r="Q1289" t="s">
        <v>59</v>
      </c>
      <c r="R1289">
        <v>0</v>
      </c>
      <c r="S1289">
        <v>53</v>
      </c>
      <c r="T1289">
        <v>0</v>
      </c>
      <c r="U1289">
        <v>0</v>
      </c>
      <c r="V1289">
        <v>5</v>
      </c>
      <c r="W1289" t="s">
        <v>39</v>
      </c>
      <c r="X1289">
        <v>1</v>
      </c>
      <c r="Y1289" t="str">
        <f t="shared" si="20"/>
        <v>Medium</v>
      </c>
    </row>
    <row r="1290" spans="1:25">
      <c r="A1290" t="s">
        <v>1403</v>
      </c>
      <c r="B1290" s="1">
        <v>44940</v>
      </c>
      <c r="C1290" s="2">
        <v>0.625</v>
      </c>
      <c r="D1290" t="s">
        <v>34</v>
      </c>
      <c r="E1290" t="s">
        <v>57</v>
      </c>
      <c r="F1290" t="s">
        <v>100</v>
      </c>
      <c r="G1290" t="s">
        <v>43</v>
      </c>
      <c r="H1290" s="2">
        <v>0.62708333333333333</v>
      </c>
      <c r="I1290" s="2">
        <v>0.63958333333333328</v>
      </c>
      <c r="J1290">
        <v>5</v>
      </c>
      <c r="K1290">
        <v>3</v>
      </c>
      <c r="L1290" t="s">
        <v>30</v>
      </c>
      <c r="M1290">
        <v>14.7</v>
      </c>
      <c r="N1290">
        <v>66</v>
      </c>
      <c r="O1290">
        <v>0</v>
      </c>
      <c r="P1290">
        <v>4.4000000000000004</v>
      </c>
      <c r="Q1290" t="s">
        <v>46</v>
      </c>
      <c r="R1290">
        <v>50000</v>
      </c>
      <c r="S1290">
        <v>94</v>
      </c>
      <c r="T1290">
        <v>1</v>
      </c>
      <c r="U1290">
        <v>0</v>
      </c>
      <c r="V1290">
        <v>5</v>
      </c>
      <c r="W1290" t="s">
        <v>39</v>
      </c>
      <c r="X1290">
        <v>0</v>
      </c>
      <c r="Y1290" t="str">
        <f t="shared" si="20"/>
        <v>High</v>
      </c>
    </row>
    <row r="1291" spans="1:25">
      <c r="A1291" t="s">
        <v>1404</v>
      </c>
      <c r="B1291" s="1">
        <v>44940</v>
      </c>
      <c r="C1291" s="2">
        <v>0.63541666666666663</v>
      </c>
      <c r="D1291" t="s">
        <v>41</v>
      </c>
      <c r="E1291" t="s">
        <v>48</v>
      </c>
      <c r="F1291" t="s">
        <v>148</v>
      </c>
      <c r="G1291" t="s">
        <v>65</v>
      </c>
      <c r="H1291" s="2">
        <v>0.63749999999999996</v>
      </c>
      <c r="I1291" s="2">
        <v>0.65277777777777779</v>
      </c>
      <c r="J1291">
        <v>2</v>
      </c>
      <c r="K1291">
        <v>13</v>
      </c>
      <c r="L1291" t="s">
        <v>77</v>
      </c>
      <c r="M1291">
        <v>2.5</v>
      </c>
      <c r="N1291">
        <v>51</v>
      </c>
      <c r="O1291">
        <v>29</v>
      </c>
      <c r="P1291">
        <v>13</v>
      </c>
      <c r="Q1291" t="s">
        <v>46</v>
      </c>
      <c r="R1291">
        <v>50000</v>
      </c>
      <c r="S1291">
        <v>77</v>
      </c>
      <c r="T1291">
        <v>0</v>
      </c>
      <c r="U1291">
        <v>0</v>
      </c>
      <c r="V1291">
        <v>5</v>
      </c>
      <c r="W1291" t="s">
        <v>32</v>
      </c>
      <c r="X1291">
        <v>1</v>
      </c>
      <c r="Y1291" t="str">
        <f t="shared" si="20"/>
        <v>High</v>
      </c>
    </row>
    <row r="1292" spans="1:25">
      <c r="A1292" t="s">
        <v>1405</v>
      </c>
      <c r="B1292" s="1">
        <v>44940</v>
      </c>
      <c r="C1292" s="2">
        <v>0.64583333333333337</v>
      </c>
      <c r="D1292" t="s">
        <v>41</v>
      </c>
      <c r="E1292" t="s">
        <v>48</v>
      </c>
      <c r="F1292" t="s">
        <v>81</v>
      </c>
      <c r="G1292" t="s">
        <v>176</v>
      </c>
      <c r="H1292" s="2">
        <v>0.64583333333333337</v>
      </c>
      <c r="I1292" s="2">
        <v>0.6645833333333333</v>
      </c>
      <c r="J1292">
        <v>-1</v>
      </c>
      <c r="K1292">
        <v>24</v>
      </c>
      <c r="L1292" t="s">
        <v>45</v>
      </c>
      <c r="M1292">
        <v>21.4</v>
      </c>
      <c r="N1292">
        <v>81</v>
      </c>
      <c r="O1292">
        <v>14</v>
      </c>
      <c r="P1292">
        <v>0.5</v>
      </c>
      <c r="Q1292" t="s">
        <v>31</v>
      </c>
      <c r="R1292">
        <v>0</v>
      </c>
      <c r="S1292">
        <v>64</v>
      </c>
      <c r="T1292">
        <v>0</v>
      </c>
      <c r="U1292">
        <v>0</v>
      </c>
      <c r="V1292">
        <v>5</v>
      </c>
      <c r="W1292" t="s">
        <v>55</v>
      </c>
      <c r="X1292">
        <v>1</v>
      </c>
      <c r="Y1292" t="str">
        <f t="shared" si="20"/>
        <v>Medium</v>
      </c>
    </row>
    <row r="1293" spans="1:25">
      <c r="A1293" t="s">
        <v>1406</v>
      </c>
      <c r="B1293" s="1">
        <v>44940</v>
      </c>
      <c r="C1293" s="2">
        <v>0.65625</v>
      </c>
      <c r="D1293" t="s">
        <v>41</v>
      </c>
      <c r="E1293" t="s">
        <v>35</v>
      </c>
      <c r="F1293" t="s">
        <v>87</v>
      </c>
      <c r="G1293" t="s">
        <v>144</v>
      </c>
      <c r="H1293" s="2">
        <v>0.65763888888888888</v>
      </c>
      <c r="I1293" s="2">
        <v>0.69444444444444442</v>
      </c>
      <c r="J1293">
        <v>9</v>
      </c>
      <c r="K1293">
        <v>18</v>
      </c>
      <c r="L1293" t="s">
        <v>30</v>
      </c>
      <c r="M1293">
        <v>17</v>
      </c>
      <c r="N1293">
        <v>44</v>
      </c>
      <c r="O1293">
        <v>7</v>
      </c>
      <c r="P1293">
        <v>17</v>
      </c>
      <c r="Q1293" t="s">
        <v>101</v>
      </c>
      <c r="R1293">
        <v>0</v>
      </c>
      <c r="S1293">
        <v>13</v>
      </c>
      <c r="T1293">
        <v>0</v>
      </c>
      <c r="U1293">
        <v>0</v>
      </c>
      <c r="V1293">
        <v>5</v>
      </c>
      <c r="W1293" t="s">
        <v>32</v>
      </c>
      <c r="X1293">
        <v>1</v>
      </c>
      <c r="Y1293" t="str">
        <f t="shared" si="20"/>
        <v>Low</v>
      </c>
    </row>
    <row r="1294" spans="1:25">
      <c r="A1294" t="s">
        <v>1407</v>
      </c>
      <c r="B1294" s="1">
        <v>44940</v>
      </c>
      <c r="C1294" s="2">
        <v>0.66666666666666663</v>
      </c>
      <c r="D1294" t="s">
        <v>34</v>
      </c>
      <c r="E1294" t="s">
        <v>89</v>
      </c>
      <c r="F1294" t="s">
        <v>113</v>
      </c>
      <c r="G1294" t="s">
        <v>50</v>
      </c>
      <c r="H1294" s="2">
        <v>0.66874999999999996</v>
      </c>
      <c r="I1294" s="2">
        <v>0.69722222222222219</v>
      </c>
      <c r="J1294">
        <v>19</v>
      </c>
      <c r="K1294">
        <v>11</v>
      </c>
      <c r="L1294" t="s">
        <v>30</v>
      </c>
      <c r="M1294">
        <v>3.3</v>
      </c>
      <c r="N1294">
        <v>46</v>
      </c>
      <c r="O1294">
        <v>57</v>
      </c>
      <c r="P1294">
        <v>19</v>
      </c>
      <c r="Q1294" t="s">
        <v>101</v>
      </c>
      <c r="R1294">
        <v>10000</v>
      </c>
      <c r="S1294">
        <v>4</v>
      </c>
      <c r="T1294">
        <v>0</v>
      </c>
      <c r="U1294">
        <v>0</v>
      </c>
      <c r="V1294">
        <v>5</v>
      </c>
      <c r="W1294" t="s">
        <v>55</v>
      </c>
      <c r="X1294">
        <v>1</v>
      </c>
      <c r="Y1294" t="str">
        <f t="shared" si="20"/>
        <v>Low</v>
      </c>
    </row>
    <row r="1295" spans="1:25">
      <c r="A1295" t="s">
        <v>1408</v>
      </c>
      <c r="B1295" s="1">
        <v>44940</v>
      </c>
      <c r="C1295" s="2">
        <v>0.67708333333333337</v>
      </c>
      <c r="D1295" t="s">
        <v>41</v>
      </c>
      <c r="E1295" t="s">
        <v>161</v>
      </c>
      <c r="F1295" t="s">
        <v>75</v>
      </c>
      <c r="G1295" t="s">
        <v>194</v>
      </c>
      <c r="H1295" s="2">
        <v>0.6791666666666667</v>
      </c>
      <c r="I1295" s="2">
        <v>0.71805555555555556</v>
      </c>
      <c r="J1295">
        <v>14</v>
      </c>
      <c r="K1295">
        <v>11</v>
      </c>
      <c r="L1295" t="s">
        <v>54</v>
      </c>
      <c r="M1295">
        <v>8.6</v>
      </c>
      <c r="N1295">
        <v>80</v>
      </c>
      <c r="O1295">
        <v>34</v>
      </c>
      <c r="P1295">
        <v>13.2</v>
      </c>
      <c r="Q1295" t="s">
        <v>31</v>
      </c>
      <c r="R1295">
        <v>0</v>
      </c>
      <c r="S1295">
        <v>94</v>
      </c>
      <c r="T1295">
        <v>1</v>
      </c>
      <c r="U1295">
        <v>1</v>
      </c>
      <c r="V1295">
        <v>5</v>
      </c>
      <c r="W1295" t="s">
        <v>55</v>
      </c>
      <c r="X1295">
        <v>1</v>
      </c>
      <c r="Y1295" t="str">
        <f t="shared" si="20"/>
        <v>High</v>
      </c>
    </row>
    <row r="1296" spans="1:25">
      <c r="A1296" t="s">
        <v>1409</v>
      </c>
      <c r="B1296" s="1">
        <v>44940</v>
      </c>
      <c r="C1296" s="2">
        <v>0.6875</v>
      </c>
      <c r="D1296" t="s">
        <v>34</v>
      </c>
      <c r="E1296" t="s">
        <v>79</v>
      </c>
      <c r="F1296" t="s">
        <v>80</v>
      </c>
      <c r="G1296" t="s">
        <v>109</v>
      </c>
      <c r="H1296" s="2">
        <v>0.69027777777777777</v>
      </c>
      <c r="I1296" s="2">
        <v>0.7055555555555556</v>
      </c>
      <c r="J1296">
        <v>4</v>
      </c>
      <c r="K1296">
        <v>21</v>
      </c>
      <c r="L1296" t="s">
        <v>84</v>
      </c>
      <c r="M1296">
        <v>18.899999999999999</v>
      </c>
      <c r="N1296">
        <v>74</v>
      </c>
      <c r="O1296">
        <v>17</v>
      </c>
      <c r="P1296">
        <v>10.3</v>
      </c>
      <c r="Q1296" t="s">
        <v>31</v>
      </c>
      <c r="R1296">
        <v>0</v>
      </c>
      <c r="S1296">
        <v>94</v>
      </c>
      <c r="T1296">
        <v>0</v>
      </c>
      <c r="U1296">
        <v>0</v>
      </c>
      <c r="V1296">
        <v>5</v>
      </c>
      <c r="W1296" t="s">
        <v>72</v>
      </c>
      <c r="X1296">
        <v>1</v>
      </c>
      <c r="Y1296" t="str">
        <f t="shared" si="20"/>
        <v>High</v>
      </c>
    </row>
    <row r="1297" spans="1:25">
      <c r="A1297" t="s">
        <v>1410</v>
      </c>
      <c r="B1297" s="1">
        <v>44940</v>
      </c>
      <c r="C1297" s="2">
        <v>0.69791666666666663</v>
      </c>
      <c r="D1297" t="s">
        <v>74</v>
      </c>
      <c r="E1297" t="s">
        <v>157</v>
      </c>
      <c r="F1297" t="s">
        <v>96</v>
      </c>
      <c r="G1297" t="s">
        <v>144</v>
      </c>
      <c r="H1297" s="2">
        <v>0.69861111111111107</v>
      </c>
      <c r="I1297" s="2">
        <v>0.7270833333333333</v>
      </c>
      <c r="J1297">
        <v>8</v>
      </c>
      <c r="K1297">
        <v>17</v>
      </c>
      <c r="L1297" t="s">
        <v>45</v>
      </c>
      <c r="M1297">
        <v>32</v>
      </c>
      <c r="N1297">
        <v>92</v>
      </c>
      <c r="O1297">
        <v>40</v>
      </c>
      <c r="P1297">
        <v>14.5</v>
      </c>
      <c r="Q1297" t="s">
        <v>31</v>
      </c>
      <c r="R1297">
        <v>50000</v>
      </c>
      <c r="S1297">
        <v>93</v>
      </c>
      <c r="T1297">
        <v>0</v>
      </c>
      <c r="U1297">
        <v>0</v>
      </c>
      <c r="V1297">
        <v>5</v>
      </c>
      <c r="W1297" t="s">
        <v>72</v>
      </c>
      <c r="X1297">
        <v>1</v>
      </c>
      <c r="Y1297" t="str">
        <f t="shared" si="20"/>
        <v>High</v>
      </c>
    </row>
    <row r="1298" spans="1:25">
      <c r="A1298" t="s">
        <v>1411</v>
      </c>
      <c r="B1298" s="1">
        <v>44940</v>
      </c>
      <c r="C1298" s="2">
        <v>0.70833333333333337</v>
      </c>
      <c r="D1298" t="s">
        <v>26</v>
      </c>
      <c r="E1298" t="s">
        <v>98</v>
      </c>
      <c r="F1298" t="s">
        <v>176</v>
      </c>
      <c r="G1298" t="s">
        <v>109</v>
      </c>
      <c r="H1298" s="2">
        <v>0.70972222222222225</v>
      </c>
      <c r="I1298" s="2">
        <v>0.73472222222222228</v>
      </c>
      <c r="J1298">
        <v>1</v>
      </c>
      <c r="K1298">
        <v>-2</v>
      </c>
      <c r="L1298" t="s">
        <v>30</v>
      </c>
      <c r="M1298">
        <v>31.8</v>
      </c>
      <c r="N1298">
        <v>57</v>
      </c>
      <c r="O1298">
        <v>15</v>
      </c>
      <c r="P1298">
        <v>6.5</v>
      </c>
      <c r="Q1298" t="s">
        <v>31</v>
      </c>
      <c r="R1298">
        <v>10000</v>
      </c>
      <c r="S1298">
        <v>99</v>
      </c>
      <c r="T1298">
        <v>0</v>
      </c>
      <c r="U1298">
        <v>0</v>
      </c>
      <c r="V1298">
        <v>5</v>
      </c>
      <c r="W1298" t="s">
        <v>39</v>
      </c>
      <c r="X1298">
        <v>0</v>
      </c>
      <c r="Y1298" t="str">
        <f t="shared" si="20"/>
        <v>High</v>
      </c>
    </row>
    <row r="1299" spans="1:25">
      <c r="A1299" t="s">
        <v>1412</v>
      </c>
      <c r="B1299" s="1">
        <v>44940</v>
      </c>
      <c r="C1299" s="2">
        <v>0.71875</v>
      </c>
      <c r="D1299" t="s">
        <v>41</v>
      </c>
      <c r="E1299" t="s">
        <v>104</v>
      </c>
      <c r="F1299" t="s">
        <v>118</v>
      </c>
      <c r="G1299" t="s">
        <v>80</v>
      </c>
      <c r="H1299" s="2">
        <v>0.71944444444444444</v>
      </c>
      <c r="I1299" s="2">
        <v>0.74722222222222223</v>
      </c>
      <c r="J1299">
        <v>2</v>
      </c>
      <c r="K1299">
        <v>23</v>
      </c>
      <c r="L1299" t="s">
        <v>38</v>
      </c>
      <c r="M1299">
        <v>6.5</v>
      </c>
      <c r="N1299">
        <v>88</v>
      </c>
      <c r="O1299">
        <v>20</v>
      </c>
      <c r="P1299">
        <v>12.5</v>
      </c>
      <c r="Q1299" t="s">
        <v>101</v>
      </c>
      <c r="R1299">
        <v>50000</v>
      </c>
      <c r="S1299">
        <v>61</v>
      </c>
      <c r="T1299">
        <v>1</v>
      </c>
      <c r="U1299">
        <v>1</v>
      </c>
      <c r="V1299">
        <v>5</v>
      </c>
      <c r="W1299" t="s">
        <v>55</v>
      </c>
      <c r="X1299">
        <v>1</v>
      </c>
      <c r="Y1299" t="str">
        <f t="shared" si="20"/>
        <v>Medium</v>
      </c>
    </row>
    <row r="1300" spans="1:25">
      <c r="A1300" t="s">
        <v>1413</v>
      </c>
      <c r="B1300" s="1">
        <v>44940</v>
      </c>
      <c r="C1300" s="2">
        <v>0.72916666666666663</v>
      </c>
      <c r="D1300" t="s">
        <v>41</v>
      </c>
      <c r="E1300" t="s">
        <v>161</v>
      </c>
      <c r="F1300" t="s">
        <v>105</v>
      </c>
      <c r="G1300" t="s">
        <v>107</v>
      </c>
      <c r="H1300" s="2">
        <v>0.73055555555555551</v>
      </c>
      <c r="I1300" s="2">
        <v>0.75138888888888888</v>
      </c>
      <c r="J1300">
        <v>3</v>
      </c>
      <c r="K1300">
        <v>28</v>
      </c>
      <c r="L1300" t="s">
        <v>30</v>
      </c>
      <c r="M1300">
        <v>24.4</v>
      </c>
      <c r="N1300">
        <v>50</v>
      </c>
      <c r="O1300">
        <v>14</v>
      </c>
      <c r="P1300">
        <v>14.4</v>
      </c>
      <c r="Q1300" t="s">
        <v>31</v>
      </c>
      <c r="R1300">
        <v>0</v>
      </c>
      <c r="S1300">
        <v>0</v>
      </c>
      <c r="T1300">
        <v>0</v>
      </c>
      <c r="U1300">
        <v>0</v>
      </c>
      <c r="V1300">
        <v>5</v>
      </c>
      <c r="W1300" t="s">
        <v>32</v>
      </c>
      <c r="X1300">
        <v>1</v>
      </c>
      <c r="Y1300" t="str">
        <f t="shared" si="20"/>
        <v>Low</v>
      </c>
    </row>
    <row r="1301" spans="1:25">
      <c r="A1301" t="s">
        <v>1414</v>
      </c>
      <c r="B1301" s="1">
        <v>44940</v>
      </c>
      <c r="C1301" s="2">
        <v>0.73958333333333337</v>
      </c>
      <c r="D1301" t="s">
        <v>74</v>
      </c>
      <c r="E1301" t="s">
        <v>57</v>
      </c>
      <c r="F1301" t="s">
        <v>95</v>
      </c>
      <c r="G1301" t="s">
        <v>107</v>
      </c>
      <c r="H1301" s="2">
        <v>0.7416666666666667</v>
      </c>
      <c r="I1301" s="2">
        <v>0.76736111111111116</v>
      </c>
      <c r="J1301">
        <v>8</v>
      </c>
      <c r="K1301">
        <v>17</v>
      </c>
      <c r="L1301" t="s">
        <v>84</v>
      </c>
      <c r="M1301">
        <v>26</v>
      </c>
      <c r="N1301">
        <v>71</v>
      </c>
      <c r="O1301">
        <v>4</v>
      </c>
      <c r="P1301">
        <v>2.9</v>
      </c>
      <c r="Q1301" t="s">
        <v>31</v>
      </c>
      <c r="R1301">
        <v>0</v>
      </c>
      <c r="S1301">
        <v>62</v>
      </c>
      <c r="T1301">
        <v>0</v>
      </c>
      <c r="U1301">
        <v>1</v>
      </c>
      <c r="V1301">
        <v>5</v>
      </c>
      <c r="W1301" t="s">
        <v>55</v>
      </c>
      <c r="X1301">
        <v>1</v>
      </c>
      <c r="Y1301" t="str">
        <f t="shared" si="20"/>
        <v>Medium</v>
      </c>
    </row>
    <row r="1302" spans="1:25">
      <c r="A1302" t="s">
        <v>1415</v>
      </c>
      <c r="B1302" s="1">
        <v>44940</v>
      </c>
      <c r="C1302" s="2">
        <v>0.75</v>
      </c>
      <c r="D1302" t="s">
        <v>26</v>
      </c>
      <c r="E1302" t="s">
        <v>141</v>
      </c>
      <c r="F1302" t="s">
        <v>95</v>
      </c>
      <c r="G1302" t="s">
        <v>50</v>
      </c>
      <c r="H1302" s="2">
        <v>0.75277777777777777</v>
      </c>
      <c r="I1302" s="2">
        <v>0.76388888888888884</v>
      </c>
      <c r="J1302">
        <v>-2</v>
      </c>
      <c r="K1302">
        <v>0</v>
      </c>
      <c r="L1302" t="s">
        <v>30</v>
      </c>
      <c r="M1302">
        <v>27.4</v>
      </c>
      <c r="N1302">
        <v>98</v>
      </c>
      <c r="O1302">
        <v>44</v>
      </c>
      <c r="P1302">
        <v>2.8</v>
      </c>
      <c r="Q1302" t="s">
        <v>31</v>
      </c>
      <c r="R1302">
        <v>500</v>
      </c>
      <c r="S1302">
        <v>66</v>
      </c>
      <c r="T1302">
        <v>0</v>
      </c>
      <c r="U1302">
        <v>1</v>
      </c>
      <c r="V1302">
        <v>5</v>
      </c>
      <c r="W1302" t="s">
        <v>39</v>
      </c>
      <c r="X1302">
        <v>0</v>
      </c>
      <c r="Y1302" t="str">
        <f t="shared" si="20"/>
        <v>Medium</v>
      </c>
    </row>
    <row r="1303" spans="1:25">
      <c r="A1303" t="s">
        <v>1416</v>
      </c>
      <c r="B1303" s="1">
        <v>44940</v>
      </c>
      <c r="C1303" s="2">
        <v>0.76041666666666663</v>
      </c>
      <c r="D1303" t="s">
        <v>34</v>
      </c>
      <c r="E1303" t="s">
        <v>147</v>
      </c>
      <c r="F1303" t="s">
        <v>154</v>
      </c>
      <c r="G1303" t="s">
        <v>116</v>
      </c>
      <c r="H1303" s="2">
        <v>0.76111111111111107</v>
      </c>
      <c r="I1303" s="2">
        <v>0.78680555555555554</v>
      </c>
      <c r="J1303">
        <v>7</v>
      </c>
      <c r="K1303">
        <v>15</v>
      </c>
      <c r="L1303" t="s">
        <v>54</v>
      </c>
      <c r="M1303">
        <v>17.8</v>
      </c>
      <c r="N1303">
        <v>46</v>
      </c>
      <c r="O1303">
        <v>53</v>
      </c>
      <c r="P1303">
        <v>14.3</v>
      </c>
      <c r="Q1303" t="s">
        <v>31</v>
      </c>
      <c r="R1303">
        <v>0</v>
      </c>
      <c r="S1303">
        <v>19</v>
      </c>
      <c r="T1303">
        <v>0</v>
      </c>
      <c r="U1303">
        <v>1</v>
      </c>
      <c r="V1303">
        <v>5</v>
      </c>
      <c r="W1303" t="s">
        <v>55</v>
      </c>
      <c r="X1303">
        <v>1</v>
      </c>
      <c r="Y1303" t="str">
        <f t="shared" si="20"/>
        <v>Low</v>
      </c>
    </row>
    <row r="1304" spans="1:25">
      <c r="A1304" t="s">
        <v>1417</v>
      </c>
      <c r="B1304" s="1">
        <v>44940</v>
      </c>
      <c r="C1304" s="2">
        <v>0.77083333333333337</v>
      </c>
      <c r="D1304" t="s">
        <v>26</v>
      </c>
      <c r="E1304" t="s">
        <v>89</v>
      </c>
      <c r="F1304" t="s">
        <v>135</v>
      </c>
      <c r="G1304" t="s">
        <v>100</v>
      </c>
      <c r="H1304" s="2">
        <v>0.7729166666666667</v>
      </c>
      <c r="I1304" s="2">
        <v>0.80694444444444446</v>
      </c>
      <c r="J1304">
        <v>17</v>
      </c>
      <c r="K1304">
        <v>-2</v>
      </c>
      <c r="L1304" t="s">
        <v>45</v>
      </c>
      <c r="M1304">
        <v>-4.5999999999999996</v>
      </c>
      <c r="N1304">
        <v>97</v>
      </c>
      <c r="O1304">
        <v>51</v>
      </c>
      <c r="P1304">
        <v>8.6</v>
      </c>
      <c r="Q1304" t="s">
        <v>31</v>
      </c>
      <c r="R1304">
        <v>0</v>
      </c>
      <c r="S1304">
        <v>42</v>
      </c>
      <c r="T1304">
        <v>0</v>
      </c>
      <c r="U1304">
        <v>0</v>
      </c>
      <c r="V1304">
        <v>5</v>
      </c>
      <c r="W1304" t="s">
        <v>55</v>
      </c>
      <c r="X1304">
        <v>0</v>
      </c>
      <c r="Y1304" t="str">
        <f t="shared" si="20"/>
        <v>Medium</v>
      </c>
    </row>
    <row r="1305" spans="1:25">
      <c r="A1305" t="s">
        <v>1418</v>
      </c>
      <c r="B1305" s="1">
        <v>44940</v>
      </c>
      <c r="C1305" s="2">
        <v>0.78125</v>
      </c>
      <c r="D1305" t="s">
        <v>74</v>
      </c>
      <c r="E1305" t="s">
        <v>104</v>
      </c>
      <c r="F1305" t="s">
        <v>83</v>
      </c>
      <c r="G1305" t="s">
        <v>37</v>
      </c>
      <c r="H1305" s="2">
        <v>0.78263888888888888</v>
      </c>
      <c r="I1305" s="2">
        <v>0.79722222222222228</v>
      </c>
      <c r="J1305">
        <v>18</v>
      </c>
      <c r="K1305">
        <v>22</v>
      </c>
      <c r="L1305" t="s">
        <v>54</v>
      </c>
      <c r="M1305">
        <v>25.5</v>
      </c>
      <c r="N1305">
        <v>36</v>
      </c>
      <c r="O1305">
        <v>6</v>
      </c>
      <c r="P1305">
        <v>17.8</v>
      </c>
      <c r="Q1305" t="s">
        <v>63</v>
      </c>
      <c r="R1305">
        <v>10000</v>
      </c>
      <c r="S1305">
        <v>84</v>
      </c>
      <c r="T1305">
        <v>0</v>
      </c>
      <c r="U1305">
        <v>0</v>
      </c>
      <c r="V1305">
        <v>5</v>
      </c>
      <c r="W1305" t="s">
        <v>39</v>
      </c>
      <c r="X1305">
        <v>1</v>
      </c>
      <c r="Y1305" t="str">
        <f t="shared" si="20"/>
        <v>High</v>
      </c>
    </row>
    <row r="1306" spans="1:25">
      <c r="A1306" t="s">
        <v>1419</v>
      </c>
      <c r="B1306" s="1">
        <v>44940</v>
      </c>
      <c r="C1306" s="2">
        <v>0.79166666666666663</v>
      </c>
      <c r="D1306" t="s">
        <v>74</v>
      </c>
      <c r="E1306" t="s">
        <v>57</v>
      </c>
      <c r="F1306" t="s">
        <v>107</v>
      </c>
      <c r="G1306" t="s">
        <v>144</v>
      </c>
      <c r="H1306" s="2">
        <v>0.79236111111111107</v>
      </c>
      <c r="I1306" s="2">
        <v>0.80694444444444446</v>
      </c>
      <c r="J1306">
        <v>8</v>
      </c>
      <c r="K1306">
        <v>10</v>
      </c>
      <c r="L1306" t="s">
        <v>45</v>
      </c>
      <c r="M1306">
        <v>-0.7</v>
      </c>
      <c r="N1306">
        <v>69</v>
      </c>
      <c r="O1306">
        <v>47</v>
      </c>
      <c r="P1306">
        <v>6.2</v>
      </c>
      <c r="Q1306" t="s">
        <v>31</v>
      </c>
      <c r="R1306">
        <v>50000</v>
      </c>
      <c r="S1306">
        <v>93</v>
      </c>
      <c r="T1306">
        <v>0</v>
      </c>
      <c r="U1306">
        <v>0</v>
      </c>
      <c r="V1306">
        <v>5</v>
      </c>
      <c r="W1306" t="s">
        <v>55</v>
      </c>
      <c r="X1306">
        <v>1</v>
      </c>
      <c r="Y1306" t="str">
        <f t="shared" si="20"/>
        <v>High</v>
      </c>
    </row>
    <row r="1307" spans="1:25">
      <c r="A1307" t="s">
        <v>1420</v>
      </c>
      <c r="B1307" s="1">
        <v>44940</v>
      </c>
      <c r="C1307" s="2">
        <v>0.80208333333333337</v>
      </c>
      <c r="D1307" t="s">
        <v>26</v>
      </c>
      <c r="E1307" t="s">
        <v>57</v>
      </c>
      <c r="F1307" t="s">
        <v>36</v>
      </c>
      <c r="G1307" t="s">
        <v>105</v>
      </c>
      <c r="H1307" s="2">
        <v>0.80277777777777781</v>
      </c>
      <c r="I1307" s="2">
        <v>0.83402777777777781</v>
      </c>
      <c r="J1307">
        <v>14</v>
      </c>
      <c r="K1307">
        <v>11</v>
      </c>
      <c r="L1307" t="s">
        <v>77</v>
      </c>
      <c r="M1307">
        <v>-0.3</v>
      </c>
      <c r="N1307">
        <v>69</v>
      </c>
      <c r="O1307">
        <v>6</v>
      </c>
      <c r="P1307">
        <v>0.8</v>
      </c>
      <c r="Q1307" t="s">
        <v>46</v>
      </c>
      <c r="R1307">
        <v>0</v>
      </c>
      <c r="S1307">
        <v>41</v>
      </c>
      <c r="T1307">
        <v>0</v>
      </c>
      <c r="U1307">
        <v>0</v>
      </c>
      <c r="V1307">
        <v>5</v>
      </c>
      <c r="W1307" t="s">
        <v>72</v>
      </c>
      <c r="X1307">
        <v>1</v>
      </c>
      <c r="Y1307" t="str">
        <f t="shared" si="20"/>
        <v>Medium</v>
      </c>
    </row>
    <row r="1308" spans="1:25">
      <c r="A1308" t="s">
        <v>1421</v>
      </c>
      <c r="B1308" s="1">
        <v>44940</v>
      </c>
      <c r="C1308" s="2">
        <v>0.8125</v>
      </c>
      <c r="D1308" t="s">
        <v>34</v>
      </c>
      <c r="E1308" t="s">
        <v>141</v>
      </c>
      <c r="F1308" t="s">
        <v>44</v>
      </c>
      <c r="G1308" t="s">
        <v>44</v>
      </c>
      <c r="H1308" s="2">
        <v>0.81458333333333333</v>
      </c>
      <c r="I1308" s="2">
        <v>0.85</v>
      </c>
      <c r="J1308">
        <v>5</v>
      </c>
      <c r="K1308">
        <v>16</v>
      </c>
      <c r="L1308" t="s">
        <v>45</v>
      </c>
      <c r="M1308">
        <v>19.2</v>
      </c>
      <c r="N1308">
        <v>72</v>
      </c>
      <c r="O1308">
        <v>26</v>
      </c>
      <c r="P1308">
        <v>13</v>
      </c>
      <c r="Q1308" t="s">
        <v>46</v>
      </c>
      <c r="R1308">
        <v>0</v>
      </c>
      <c r="S1308">
        <v>93</v>
      </c>
      <c r="T1308">
        <v>0</v>
      </c>
      <c r="U1308">
        <v>0</v>
      </c>
      <c r="V1308">
        <v>5</v>
      </c>
      <c r="W1308" t="s">
        <v>39</v>
      </c>
      <c r="X1308">
        <v>1</v>
      </c>
      <c r="Y1308" t="str">
        <f t="shared" si="20"/>
        <v>High</v>
      </c>
    </row>
    <row r="1309" spans="1:25">
      <c r="A1309" t="s">
        <v>1422</v>
      </c>
      <c r="B1309" s="1">
        <v>44940</v>
      </c>
      <c r="C1309" s="2">
        <v>0.82291666666666663</v>
      </c>
      <c r="D1309" t="s">
        <v>34</v>
      </c>
      <c r="E1309" t="s">
        <v>68</v>
      </c>
      <c r="F1309" t="s">
        <v>81</v>
      </c>
      <c r="G1309" t="s">
        <v>90</v>
      </c>
      <c r="H1309" s="2">
        <v>0.82361111111111107</v>
      </c>
      <c r="I1309" s="2">
        <v>0.85555555555555551</v>
      </c>
      <c r="J1309">
        <v>10</v>
      </c>
      <c r="K1309">
        <v>15</v>
      </c>
      <c r="L1309" t="s">
        <v>77</v>
      </c>
      <c r="M1309">
        <v>34.299999999999997</v>
      </c>
      <c r="N1309">
        <v>80</v>
      </c>
      <c r="O1309">
        <v>24</v>
      </c>
      <c r="P1309">
        <v>13.7</v>
      </c>
      <c r="Q1309" t="s">
        <v>31</v>
      </c>
      <c r="R1309">
        <v>0</v>
      </c>
      <c r="S1309">
        <v>68</v>
      </c>
      <c r="T1309">
        <v>0</v>
      </c>
      <c r="U1309">
        <v>0</v>
      </c>
      <c r="V1309">
        <v>5</v>
      </c>
      <c r="W1309" t="s">
        <v>72</v>
      </c>
      <c r="X1309">
        <v>1</v>
      </c>
      <c r="Y1309" t="str">
        <f t="shared" si="20"/>
        <v>High</v>
      </c>
    </row>
    <row r="1310" spans="1:25">
      <c r="A1310" t="s">
        <v>1423</v>
      </c>
      <c r="B1310" s="1">
        <v>44940</v>
      </c>
      <c r="C1310" s="2">
        <v>0.83333333333333337</v>
      </c>
      <c r="D1310" t="s">
        <v>41</v>
      </c>
      <c r="E1310" t="s">
        <v>111</v>
      </c>
      <c r="F1310" t="s">
        <v>65</v>
      </c>
      <c r="G1310" t="s">
        <v>122</v>
      </c>
      <c r="H1310" s="2">
        <v>0.83611111111111114</v>
      </c>
      <c r="I1310" s="2">
        <v>0.85069444444444442</v>
      </c>
      <c r="J1310">
        <v>17</v>
      </c>
      <c r="K1310">
        <v>5</v>
      </c>
      <c r="L1310" t="s">
        <v>54</v>
      </c>
      <c r="M1310">
        <v>4.7</v>
      </c>
      <c r="N1310">
        <v>52</v>
      </c>
      <c r="O1310">
        <v>21</v>
      </c>
      <c r="P1310">
        <v>11.1</v>
      </c>
      <c r="Q1310" t="s">
        <v>101</v>
      </c>
      <c r="R1310">
        <v>0</v>
      </c>
      <c r="S1310">
        <v>73</v>
      </c>
      <c r="T1310">
        <v>0</v>
      </c>
      <c r="U1310">
        <v>0</v>
      </c>
      <c r="V1310">
        <v>5</v>
      </c>
      <c r="W1310" t="s">
        <v>39</v>
      </c>
      <c r="X1310">
        <v>0</v>
      </c>
      <c r="Y1310" t="str">
        <f t="shared" si="20"/>
        <v>High</v>
      </c>
    </row>
    <row r="1311" spans="1:25">
      <c r="A1311" t="s">
        <v>1424</v>
      </c>
      <c r="B1311" s="1">
        <v>44940</v>
      </c>
      <c r="C1311" s="2">
        <v>0.84375</v>
      </c>
      <c r="D1311" t="s">
        <v>34</v>
      </c>
      <c r="E1311" t="s">
        <v>68</v>
      </c>
      <c r="F1311" t="s">
        <v>148</v>
      </c>
      <c r="G1311" t="s">
        <v>29</v>
      </c>
      <c r="H1311" s="2">
        <v>0.84652777777777777</v>
      </c>
      <c r="I1311" s="2">
        <v>0.86111111111111116</v>
      </c>
      <c r="J1311">
        <v>15</v>
      </c>
      <c r="K1311">
        <v>3</v>
      </c>
      <c r="L1311" t="s">
        <v>38</v>
      </c>
      <c r="M1311">
        <v>20.8</v>
      </c>
      <c r="N1311">
        <v>61</v>
      </c>
      <c r="O1311">
        <v>47</v>
      </c>
      <c r="P1311">
        <v>13.7</v>
      </c>
      <c r="Q1311" t="s">
        <v>31</v>
      </c>
      <c r="R1311">
        <v>0</v>
      </c>
      <c r="S1311">
        <v>87</v>
      </c>
      <c r="T1311">
        <v>0</v>
      </c>
      <c r="U1311">
        <v>0</v>
      </c>
      <c r="V1311">
        <v>5</v>
      </c>
      <c r="W1311" t="s">
        <v>55</v>
      </c>
      <c r="X1311">
        <v>0</v>
      </c>
      <c r="Y1311" t="str">
        <f t="shared" si="20"/>
        <v>High</v>
      </c>
    </row>
    <row r="1312" spans="1:25">
      <c r="A1312" t="s">
        <v>1425</v>
      </c>
      <c r="B1312" s="1">
        <v>44940</v>
      </c>
      <c r="C1312" s="2">
        <v>0.85416666666666663</v>
      </c>
      <c r="D1312" t="s">
        <v>26</v>
      </c>
      <c r="E1312" t="s">
        <v>141</v>
      </c>
      <c r="F1312" t="s">
        <v>142</v>
      </c>
      <c r="G1312" t="s">
        <v>203</v>
      </c>
      <c r="H1312" s="2">
        <v>0.85624999999999996</v>
      </c>
      <c r="I1312" s="2">
        <v>0.8833333333333333</v>
      </c>
      <c r="J1312">
        <v>19</v>
      </c>
      <c r="K1312">
        <v>26</v>
      </c>
      <c r="L1312" t="s">
        <v>84</v>
      </c>
      <c r="M1312">
        <v>7.1</v>
      </c>
      <c r="N1312">
        <v>60</v>
      </c>
      <c r="O1312">
        <v>12</v>
      </c>
      <c r="P1312">
        <v>10.5</v>
      </c>
      <c r="Q1312" t="s">
        <v>71</v>
      </c>
      <c r="R1312">
        <v>0</v>
      </c>
      <c r="S1312">
        <v>38</v>
      </c>
      <c r="T1312">
        <v>0</v>
      </c>
      <c r="U1312">
        <v>0</v>
      </c>
      <c r="V1312">
        <v>5</v>
      </c>
      <c r="W1312" t="s">
        <v>72</v>
      </c>
      <c r="X1312">
        <v>1</v>
      </c>
      <c r="Y1312" t="str">
        <f t="shared" si="20"/>
        <v>Medium</v>
      </c>
    </row>
    <row r="1313" spans="1:25">
      <c r="A1313" t="s">
        <v>1426</v>
      </c>
      <c r="B1313" s="1">
        <v>44940</v>
      </c>
      <c r="C1313" s="2">
        <v>0.86458333333333337</v>
      </c>
      <c r="D1313" t="s">
        <v>74</v>
      </c>
      <c r="E1313" t="s">
        <v>161</v>
      </c>
      <c r="F1313" t="s">
        <v>96</v>
      </c>
      <c r="G1313" t="s">
        <v>118</v>
      </c>
      <c r="H1313" s="2">
        <v>0.86597222222222225</v>
      </c>
      <c r="I1313" s="2">
        <v>0.90069444444444446</v>
      </c>
      <c r="J1313">
        <v>13</v>
      </c>
      <c r="K1313">
        <v>9</v>
      </c>
      <c r="L1313" t="s">
        <v>38</v>
      </c>
      <c r="M1313">
        <v>30.9</v>
      </c>
      <c r="N1313">
        <v>46</v>
      </c>
      <c r="O1313">
        <v>16</v>
      </c>
      <c r="P1313">
        <v>13.9</v>
      </c>
      <c r="Q1313" t="s">
        <v>71</v>
      </c>
      <c r="R1313">
        <v>0</v>
      </c>
      <c r="S1313">
        <v>61</v>
      </c>
      <c r="T1313">
        <v>0</v>
      </c>
      <c r="U1313">
        <v>0</v>
      </c>
      <c r="V1313">
        <v>5</v>
      </c>
      <c r="W1313" t="s">
        <v>72</v>
      </c>
      <c r="X1313">
        <v>1</v>
      </c>
      <c r="Y1313" t="str">
        <f t="shared" si="20"/>
        <v>Medium</v>
      </c>
    </row>
    <row r="1314" spans="1:25">
      <c r="A1314" t="s">
        <v>1427</v>
      </c>
      <c r="B1314" s="1">
        <v>44940</v>
      </c>
      <c r="C1314" s="2">
        <v>0.875</v>
      </c>
      <c r="D1314" t="s">
        <v>41</v>
      </c>
      <c r="E1314" t="s">
        <v>98</v>
      </c>
      <c r="F1314" t="s">
        <v>37</v>
      </c>
      <c r="G1314" t="s">
        <v>75</v>
      </c>
      <c r="H1314" s="2">
        <v>0.87708333333333333</v>
      </c>
      <c r="I1314" s="2">
        <v>0.89930555555555558</v>
      </c>
      <c r="J1314">
        <v>-1</v>
      </c>
      <c r="K1314">
        <v>23</v>
      </c>
      <c r="L1314" t="s">
        <v>77</v>
      </c>
      <c r="M1314">
        <v>18.7</v>
      </c>
      <c r="N1314">
        <v>87</v>
      </c>
      <c r="O1314">
        <v>40</v>
      </c>
      <c r="P1314">
        <v>0.9</v>
      </c>
      <c r="Q1314" t="s">
        <v>31</v>
      </c>
      <c r="R1314">
        <v>10000</v>
      </c>
      <c r="S1314">
        <v>47</v>
      </c>
      <c r="T1314">
        <v>0</v>
      </c>
      <c r="U1314">
        <v>1</v>
      </c>
      <c r="V1314">
        <v>5</v>
      </c>
      <c r="W1314" t="s">
        <v>32</v>
      </c>
      <c r="X1314">
        <v>1</v>
      </c>
      <c r="Y1314" t="str">
        <f t="shared" si="20"/>
        <v>Medium</v>
      </c>
    </row>
    <row r="1315" spans="1:25">
      <c r="A1315" t="s">
        <v>1428</v>
      </c>
      <c r="B1315" s="1">
        <v>44940</v>
      </c>
      <c r="C1315" s="2">
        <v>0.88541666666666663</v>
      </c>
      <c r="D1315" t="s">
        <v>41</v>
      </c>
      <c r="E1315" t="s">
        <v>61</v>
      </c>
      <c r="F1315" t="s">
        <v>96</v>
      </c>
      <c r="G1315" t="s">
        <v>83</v>
      </c>
      <c r="H1315" s="2">
        <v>0.8881944444444444</v>
      </c>
      <c r="I1315" s="2">
        <v>0.91527777777777775</v>
      </c>
      <c r="J1315">
        <v>2</v>
      </c>
      <c r="K1315">
        <v>9</v>
      </c>
      <c r="L1315" t="s">
        <v>30</v>
      </c>
      <c r="M1315">
        <v>3.3</v>
      </c>
      <c r="N1315">
        <v>64</v>
      </c>
      <c r="O1315">
        <v>43</v>
      </c>
      <c r="P1315">
        <v>7.4</v>
      </c>
      <c r="Q1315" t="s">
        <v>31</v>
      </c>
      <c r="R1315">
        <v>0</v>
      </c>
      <c r="S1315">
        <v>5</v>
      </c>
      <c r="T1315">
        <v>0</v>
      </c>
      <c r="U1315">
        <v>0</v>
      </c>
      <c r="V1315">
        <v>5</v>
      </c>
      <c r="W1315" t="s">
        <v>72</v>
      </c>
      <c r="X1315">
        <v>1</v>
      </c>
      <c r="Y1315" t="str">
        <f t="shared" si="20"/>
        <v>Low</v>
      </c>
    </row>
    <row r="1316" spans="1:25">
      <c r="A1316" t="s">
        <v>1429</v>
      </c>
      <c r="B1316" s="1">
        <v>44940</v>
      </c>
      <c r="C1316" s="2">
        <v>0.89583333333333337</v>
      </c>
      <c r="D1316" t="s">
        <v>74</v>
      </c>
      <c r="E1316" t="s">
        <v>141</v>
      </c>
      <c r="F1316" t="s">
        <v>50</v>
      </c>
      <c r="G1316" t="s">
        <v>44</v>
      </c>
      <c r="H1316" s="2">
        <v>0.89583333333333337</v>
      </c>
      <c r="I1316" s="2">
        <v>0.91249999999999998</v>
      </c>
      <c r="J1316">
        <v>15</v>
      </c>
      <c r="K1316">
        <v>11</v>
      </c>
      <c r="L1316" t="s">
        <v>30</v>
      </c>
      <c r="M1316">
        <v>5.5</v>
      </c>
      <c r="N1316">
        <v>59</v>
      </c>
      <c r="O1316">
        <v>12</v>
      </c>
      <c r="P1316">
        <v>4.2</v>
      </c>
      <c r="Q1316" t="s">
        <v>46</v>
      </c>
      <c r="R1316">
        <v>0</v>
      </c>
      <c r="S1316">
        <v>73</v>
      </c>
      <c r="T1316">
        <v>0</v>
      </c>
      <c r="U1316">
        <v>0</v>
      </c>
      <c r="V1316">
        <v>5</v>
      </c>
      <c r="W1316" t="s">
        <v>72</v>
      </c>
      <c r="X1316">
        <v>1</v>
      </c>
      <c r="Y1316" t="str">
        <f t="shared" si="20"/>
        <v>High</v>
      </c>
    </row>
    <row r="1317" spans="1:25">
      <c r="A1317" t="s">
        <v>1430</v>
      </c>
      <c r="B1317" s="1">
        <v>44940</v>
      </c>
      <c r="C1317" s="2">
        <v>0.90625</v>
      </c>
      <c r="D1317" t="s">
        <v>34</v>
      </c>
      <c r="E1317" t="s">
        <v>42</v>
      </c>
      <c r="F1317" t="s">
        <v>116</v>
      </c>
      <c r="G1317" t="s">
        <v>80</v>
      </c>
      <c r="H1317" s="2">
        <v>0.90625</v>
      </c>
      <c r="I1317" s="2">
        <v>0.92847222222222225</v>
      </c>
      <c r="J1317">
        <v>0</v>
      </c>
      <c r="K1317">
        <v>5</v>
      </c>
      <c r="L1317" t="s">
        <v>38</v>
      </c>
      <c r="M1317">
        <v>12.3</v>
      </c>
      <c r="N1317">
        <v>93</v>
      </c>
      <c r="O1317">
        <v>25</v>
      </c>
      <c r="P1317">
        <v>2</v>
      </c>
      <c r="Q1317" t="s">
        <v>31</v>
      </c>
      <c r="R1317">
        <v>2000</v>
      </c>
      <c r="S1317">
        <v>41</v>
      </c>
      <c r="T1317">
        <v>0</v>
      </c>
      <c r="U1317">
        <v>0</v>
      </c>
      <c r="V1317">
        <v>5</v>
      </c>
      <c r="W1317" t="s">
        <v>55</v>
      </c>
      <c r="X1317">
        <v>0</v>
      </c>
      <c r="Y1317" t="str">
        <f t="shared" si="20"/>
        <v>Medium</v>
      </c>
    </row>
    <row r="1318" spans="1:25">
      <c r="A1318" t="s">
        <v>1431</v>
      </c>
      <c r="B1318" s="1">
        <v>44940</v>
      </c>
      <c r="C1318" s="2">
        <v>0.91666666666666663</v>
      </c>
      <c r="D1318" t="s">
        <v>74</v>
      </c>
      <c r="E1318" t="s">
        <v>141</v>
      </c>
      <c r="F1318" t="s">
        <v>50</v>
      </c>
      <c r="G1318" t="s">
        <v>36</v>
      </c>
      <c r="H1318" s="2">
        <v>0.91736111111111107</v>
      </c>
      <c r="I1318" s="2">
        <v>0.93819444444444444</v>
      </c>
      <c r="J1318">
        <v>19</v>
      </c>
      <c r="K1318">
        <v>19</v>
      </c>
      <c r="L1318" t="s">
        <v>30</v>
      </c>
      <c r="M1318">
        <v>-0.1</v>
      </c>
      <c r="N1318">
        <v>82</v>
      </c>
      <c r="O1318">
        <v>8</v>
      </c>
      <c r="P1318">
        <v>4.7</v>
      </c>
      <c r="Q1318" t="s">
        <v>31</v>
      </c>
      <c r="R1318">
        <v>0</v>
      </c>
      <c r="S1318">
        <v>57</v>
      </c>
      <c r="T1318">
        <v>0</v>
      </c>
      <c r="U1318">
        <v>1</v>
      </c>
      <c r="V1318">
        <v>5</v>
      </c>
      <c r="W1318" t="s">
        <v>72</v>
      </c>
      <c r="X1318">
        <v>1</v>
      </c>
      <c r="Y1318" t="str">
        <f t="shared" si="20"/>
        <v>Medium</v>
      </c>
    </row>
    <row r="1319" spans="1:25">
      <c r="A1319" t="s">
        <v>1432</v>
      </c>
      <c r="B1319" s="1">
        <v>44940</v>
      </c>
      <c r="C1319" s="2">
        <v>0.92708333333333337</v>
      </c>
      <c r="D1319" t="s">
        <v>34</v>
      </c>
      <c r="E1319" t="s">
        <v>98</v>
      </c>
      <c r="F1319" t="s">
        <v>75</v>
      </c>
      <c r="G1319" t="s">
        <v>128</v>
      </c>
      <c r="H1319" s="2">
        <v>0.92777777777777781</v>
      </c>
      <c r="I1319" s="2">
        <v>0.94374999999999998</v>
      </c>
      <c r="J1319">
        <v>14</v>
      </c>
      <c r="K1319">
        <v>-1</v>
      </c>
      <c r="L1319" t="s">
        <v>77</v>
      </c>
      <c r="M1319">
        <v>-1.9</v>
      </c>
      <c r="N1319">
        <v>80</v>
      </c>
      <c r="O1319">
        <v>4</v>
      </c>
      <c r="P1319">
        <v>3.8</v>
      </c>
      <c r="Q1319" t="s">
        <v>46</v>
      </c>
      <c r="R1319">
        <v>50000</v>
      </c>
      <c r="S1319">
        <v>42</v>
      </c>
      <c r="T1319">
        <v>0</v>
      </c>
      <c r="U1319">
        <v>1</v>
      </c>
      <c r="V1319">
        <v>5</v>
      </c>
      <c r="W1319" t="s">
        <v>72</v>
      </c>
      <c r="X1319">
        <v>0</v>
      </c>
      <c r="Y1319" t="str">
        <f t="shared" si="20"/>
        <v>Medium</v>
      </c>
    </row>
    <row r="1320" spans="1:25">
      <c r="A1320" t="s">
        <v>1433</v>
      </c>
      <c r="B1320" s="1">
        <v>44940</v>
      </c>
      <c r="C1320" s="2">
        <v>0.9375</v>
      </c>
      <c r="D1320" t="s">
        <v>74</v>
      </c>
      <c r="E1320" t="s">
        <v>141</v>
      </c>
      <c r="F1320" t="s">
        <v>96</v>
      </c>
      <c r="G1320" t="s">
        <v>50</v>
      </c>
      <c r="H1320" s="2">
        <v>0.9375</v>
      </c>
      <c r="I1320" s="2">
        <v>0.97638888888888886</v>
      </c>
      <c r="J1320">
        <v>13</v>
      </c>
      <c r="K1320">
        <v>15</v>
      </c>
      <c r="L1320" t="s">
        <v>54</v>
      </c>
      <c r="M1320">
        <v>22.2</v>
      </c>
      <c r="N1320">
        <v>66</v>
      </c>
      <c r="O1320">
        <v>38</v>
      </c>
      <c r="P1320">
        <v>19.5</v>
      </c>
      <c r="Q1320" t="s">
        <v>46</v>
      </c>
      <c r="R1320">
        <v>500</v>
      </c>
      <c r="S1320">
        <v>9</v>
      </c>
      <c r="T1320">
        <v>0</v>
      </c>
      <c r="U1320">
        <v>0</v>
      </c>
      <c r="V1320">
        <v>5</v>
      </c>
      <c r="W1320" t="s">
        <v>72</v>
      </c>
      <c r="X1320">
        <v>1</v>
      </c>
      <c r="Y1320" t="str">
        <f t="shared" si="20"/>
        <v>Low</v>
      </c>
    </row>
    <row r="1321" spans="1:25">
      <c r="A1321" t="s">
        <v>1434</v>
      </c>
      <c r="B1321" s="1">
        <v>44940</v>
      </c>
      <c r="C1321" s="2">
        <v>0.94791666666666663</v>
      </c>
      <c r="D1321" t="s">
        <v>26</v>
      </c>
      <c r="E1321" t="s">
        <v>42</v>
      </c>
      <c r="F1321" t="s">
        <v>154</v>
      </c>
      <c r="G1321" t="s">
        <v>128</v>
      </c>
      <c r="H1321" s="2">
        <v>0.9506944444444444</v>
      </c>
      <c r="I1321" s="2">
        <v>0.98263888888888884</v>
      </c>
      <c r="J1321">
        <v>3</v>
      </c>
      <c r="K1321">
        <v>24</v>
      </c>
      <c r="L1321" t="s">
        <v>84</v>
      </c>
      <c r="M1321">
        <v>11.3</v>
      </c>
      <c r="N1321">
        <v>35</v>
      </c>
      <c r="O1321">
        <v>32</v>
      </c>
      <c r="P1321">
        <v>5.7</v>
      </c>
      <c r="Q1321" t="s">
        <v>31</v>
      </c>
      <c r="R1321">
        <v>50000</v>
      </c>
      <c r="S1321">
        <v>88</v>
      </c>
      <c r="T1321">
        <v>0</v>
      </c>
      <c r="U1321">
        <v>0</v>
      </c>
      <c r="V1321">
        <v>5</v>
      </c>
      <c r="W1321" t="s">
        <v>55</v>
      </c>
      <c r="X1321">
        <v>1</v>
      </c>
      <c r="Y1321" t="str">
        <f t="shared" si="20"/>
        <v>High</v>
      </c>
    </row>
    <row r="1322" spans="1:25">
      <c r="A1322" t="s">
        <v>1435</v>
      </c>
      <c r="B1322" s="1">
        <v>44940</v>
      </c>
      <c r="C1322" s="2">
        <v>0.95833333333333337</v>
      </c>
      <c r="D1322" t="s">
        <v>34</v>
      </c>
      <c r="E1322" t="s">
        <v>42</v>
      </c>
      <c r="F1322" t="s">
        <v>99</v>
      </c>
      <c r="G1322" t="s">
        <v>36</v>
      </c>
      <c r="H1322" s="2">
        <v>0.95902777777777781</v>
      </c>
      <c r="I1322" s="2">
        <v>0.99097222222222225</v>
      </c>
      <c r="J1322">
        <v>16</v>
      </c>
      <c r="K1322">
        <v>19</v>
      </c>
      <c r="L1322" t="s">
        <v>45</v>
      </c>
      <c r="M1322">
        <v>24</v>
      </c>
      <c r="N1322">
        <v>63</v>
      </c>
      <c r="O1322">
        <v>3</v>
      </c>
      <c r="P1322">
        <v>4.5999999999999996</v>
      </c>
      <c r="Q1322" t="s">
        <v>31</v>
      </c>
      <c r="R1322">
        <v>0</v>
      </c>
      <c r="S1322">
        <v>77</v>
      </c>
      <c r="T1322">
        <v>0</v>
      </c>
      <c r="U1322">
        <v>0</v>
      </c>
      <c r="V1322">
        <v>5</v>
      </c>
      <c r="W1322" t="s">
        <v>39</v>
      </c>
      <c r="X1322">
        <v>1</v>
      </c>
      <c r="Y1322" t="str">
        <f t="shared" si="20"/>
        <v>High</v>
      </c>
    </row>
    <row r="1323" spans="1:25">
      <c r="A1323" t="s">
        <v>1436</v>
      </c>
      <c r="B1323" s="1">
        <v>44940</v>
      </c>
      <c r="C1323" s="2">
        <v>0.96875</v>
      </c>
      <c r="D1323" t="s">
        <v>26</v>
      </c>
      <c r="E1323" t="s">
        <v>48</v>
      </c>
      <c r="F1323" t="s">
        <v>95</v>
      </c>
      <c r="G1323" t="s">
        <v>70</v>
      </c>
      <c r="H1323" s="2">
        <v>0.97083333333333333</v>
      </c>
      <c r="I1323" s="2">
        <v>1.3888888888888889E-3</v>
      </c>
      <c r="J1323">
        <v>4</v>
      </c>
      <c r="K1323">
        <v>3</v>
      </c>
      <c r="L1323" t="s">
        <v>77</v>
      </c>
      <c r="M1323">
        <v>-0.6</v>
      </c>
      <c r="N1323">
        <v>85</v>
      </c>
      <c r="O1323">
        <v>27</v>
      </c>
      <c r="P1323">
        <v>16.7</v>
      </c>
      <c r="Q1323" t="s">
        <v>31</v>
      </c>
      <c r="R1323">
        <v>0</v>
      </c>
      <c r="S1323">
        <v>38</v>
      </c>
      <c r="T1323">
        <v>0</v>
      </c>
      <c r="U1323">
        <v>0</v>
      </c>
      <c r="V1323">
        <v>5</v>
      </c>
      <c r="W1323" t="s">
        <v>55</v>
      </c>
      <c r="X1323">
        <v>0</v>
      </c>
      <c r="Y1323" t="str">
        <f t="shared" si="20"/>
        <v>Medium</v>
      </c>
    </row>
    <row r="1324" spans="1:25">
      <c r="A1324" t="s">
        <v>1437</v>
      </c>
      <c r="B1324" s="1">
        <v>44940</v>
      </c>
      <c r="C1324" s="2">
        <v>0.97916666666666663</v>
      </c>
      <c r="D1324" t="s">
        <v>41</v>
      </c>
      <c r="E1324" t="s">
        <v>104</v>
      </c>
      <c r="F1324" t="s">
        <v>75</v>
      </c>
      <c r="G1324" t="s">
        <v>100</v>
      </c>
      <c r="H1324" s="2">
        <v>0.98124999999999996</v>
      </c>
      <c r="I1324" s="2">
        <v>1.3194444444444444E-2</v>
      </c>
      <c r="J1324">
        <v>15</v>
      </c>
      <c r="K1324">
        <v>8</v>
      </c>
      <c r="L1324" t="s">
        <v>77</v>
      </c>
      <c r="M1324">
        <v>19.399999999999999</v>
      </c>
      <c r="N1324">
        <v>54</v>
      </c>
      <c r="O1324">
        <v>25</v>
      </c>
      <c r="P1324">
        <v>8.4</v>
      </c>
      <c r="Q1324" t="s">
        <v>31</v>
      </c>
      <c r="R1324">
        <v>0</v>
      </c>
      <c r="S1324">
        <v>12</v>
      </c>
      <c r="T1324">
        <v>0</v>
      </c>
      <c r="U1324">
        <v>1</v>
      </c>
      <c r="V1324">
        <v>5</v>
      </c>
      <c r="W1324" t="s">
        <v>72</v>
      </c>
      <c r="X1324">
        <v>1</v>
      </c>
      <c r="Y1324" t="str">
        <f t="shared" si="20"/>
        <v>Low</v>
      </c>
    </row>
    <row r="1325" spans="1:25">
      <c r="A1325" t="s">
        <v>1438</v>
      </c>
      <c r="B1325" s="1">
        <v>44940</v>
      </c>
      <c r="C1325" s="2">
        <v>0.98958333333333337</v>
      </c>
      <c r="D1325" t="s">
        <v>74</v>
      </c>
      <c r="E1325" t="s">
        <v>35</v>
      </c>
      <c r="F1325" t="s">
        <v>90</v>
      </c>
      <c r="G1325" t="s">
        <v>185</v>
      </c>
      <c r="H1325" s="2">
        <v>0.99236111111111114</v>
      </c>
      <c r="I1325" s="2">
        <v>1.5277777777777777E-2</v>
      </c>
      <c r="J1325">
        <v>11</v>
      </c>
      <c r="K1325">
        <v>10</v>
      </c>
      <c r="L1325" t="s">
        <v>45</v>
      </c>
      <c r="M1325">
        <v>12.7</v>
      </c>
      <c r="N1325">
        <v>42</v>
      </c>
      <c r="O1325">
        <v>3</v>
      </c>
      <c r="P1325">
        <v>8.4</v>
      </c>
      <c r="Q1325" t="s">
        <v>31</v>
      </c>
      <c r="R1325">
        <v>50000</v>
      </c>
      <c r="S1325">
        <v>74</v>
      </c>
      <c r="T1325">
        <v>0</v>
      </c>
      <c r="U1325">
        <v>0</v>
      </c>
      <c r="V1325">
        <v>5</v>
      </c>
      <c r="W1325" t="s">
        <v>39</v>
      </c>
      <c r="X1325">
        <v>1</v>
      </c>
      <c r="Y1325" t="str">
        <f t="shared" si="20"/>
        <v>High</v>
      </c>
    </row>
    <row r="1326" spans="1:25">
      <c r="A1326" t="s">
        <v>1439</v>
      </c>
      <c r="B1326" s="1">
        <v>44941</v>
      </c>
      <c r="C1326" s="2">
        <v>0</v>
      </c>
      <c r="D1326" t="s">
        <v>41</v>
      </c>
      <c r="E1326" t="s">
        <v>27</v>
      </c>
      <c r="F1326" t="s">
        <v>148</v>
      </c>
      <c r="G1326" t="s">
        <v>44</v>
      </c>
      <c r="H1326" s="2">
        <v>6.9444444444444447E-4</v>
      </c>
      <c r="I1326" s="2">
        <v>3.1944444444444442E-2</v>
      </c>
      <c r="J1326">
        <v>3</v>
      </c>
      <c r="K1326">
        <v>11</v>
      </c>
      <c r="L1326" t="s">
        <v>45</v>
      </c>
      <c r="M1326">
        <v>-2.7</v>
      </c>
      <c r="N1326">
        <v>92</v>
      </c>
      <c r="O1326">
        <v>15</v>
      </c>
      <c r="P1326">
        <v>8.9</v>
      </c>
      <c r="Q1326" t="s">
        <v>101</v>
      </c>
      <c r="R1326">
        <v>0</v>
      </c>
      <c r="S1326">
        <v>38</v>
      </c>
      <c r="T1326">
        <v>0</v>
      </c>
      <c r="U1326">
        <v>0</v>
      </c>
      <c r="V1326">
        <v>6</v>
      </c>
      <c r="W1326" t="s">
        <v>55</v>
      </c>
      <c r="X1326">
        <v>1</v>
      </c>
      <c r="Y1326" t="str">
        <f t="shared" si="20"/>
        <v>Medium</v>
      </c>
    </row>
    <row r="1327" spans="1:25">
      <c r="A1327" t="s">
        <v>1440</v>
      </c>
      <c r="B1327" s="1">
        <v>44941</v>
      </c>
      <c r="C1327" s="2">
        <v>1.0416666666666666E-2</v>
      </c>
      <c r="D1327" t="s">
        <v>41</v>
      </c>
      <c r="E1327" t="s">
        <v>52</v>
      </c>
      <c r="F1327" t="s">
        <v>90</v>
      </c>
      <c r="G1327" t="s">
        <v>69</v>
      </c>
      <c r="H1327" s="2">
        <v>1.2500000000000001E-2</v>
      </c>
      <c r="I1327" s="2">
        <v>4.791666666666667E-2</v>
      </c>
      <c r="J1327">
        <v>5</v>
      </c>
      <c r="K1327">
        <v>-1</v>
      </c>
      <c r="L1327" t="s">
        <v>84</v>
      </c>
      <c r="M1327">
        <v>16.8</v>
      </c>
      <c r="N1327">
        <v>95</v>
      </c>
      <c r="O1327">
        <v>36</v>
      </c>
      <c r="P1327">
        <v>8.3000000000000007</v>
      </c>
      <c r="Q1327" t="s">
        <v>31</v>
      </c>
      <c r="R1327">
        <v>0</v>
      </c>
      <c r="S1327">
        <v>10</v>
      </c>
      <c r="T1327">
        <v>1</v>
      </c>
      <c r="U1327">
        <v>0</v>
      </c>
      <c r="V1327">
        <v>6</v>
      </c>
      <c r="W1327" t="s">
        <v>55</v>
      </c>
      <c r="X1327">
        <v>0</v>
      </c>
      <c r="Y1327" t="str">
        <f t="shared" si="20"/>
        <v>Low</v>
      </c>
    </row>
    <row r="1328" spans="1:25">
      <c r="A1328" t="s">
        <v>1441</v>
      </c>
      <c r="B1328" s="1">
        <v>44941</v>
      </c>
      <c r="C1328" s="2">
        <v>2.0833333333333332E-2</v>
      </c>
      <c r="D1328" t="s">
        <v>41</v>
      </c>
      <c r="E1328" t="s">
        <v>68</v>
      </c>
      <c r="F1328" t="s">
        <v>76</v>
      </c>
      <c r="G1328" t="s">
        <v>53</v>
      </c>
      <c r="H1328" s="2">
        <v>2.1527777777777778E-2</v>
      </c>
      <c r="I1328" s="2">
        <v>5.2083333333333336E-2</v>
      </c>
      <c r="J1328">
        <v>12</v>
      </c>
      <c r="K1328">
        <v>11</v>
      </c>
      <c r="L1328" t="s">
        <v>84</v>
      </c>
      <c r="M1328">
        <v>-1.7</v>
      </c>
      <c r="N1328">
        <v>34</v>
      </c>
      <c r="O1328">
        <v>21</v>
      </c>
      <c r="P1328">
        <v>6.5</v>
      </c>
      <c r="Q1328" t="s">
        <v>31</v>
      </c>
      <c r="R1328">
        <v>500</v>
      </c>
      <c r="S1328">
        <v>15</v>
      </c>
      <c r="T1328">
        <v>0</v>
      </c>
      <c r="U1328">
        <v>1</v>
      </c>
      <c r="V1328">
        <v>6</v>
      </c>
      <c r="W1328" t="s">
        <v>39</v>
      </c>
      <c r="X1328">
        <v>1</v>
      </c>
      <c r="Y1328" t="str">
        <f t="shared" si="20"/>
        <v>Low</v>
      </c>
    </row>
    <row r="1329" spans="1:25">
      <c r="A1329" t="s">
        <v>1442</v>
      </c>
      <c r="B1329" s="1">
        <v>44941</v>
      </c>
      <c r="C1329" s="2">
        <v>3.125E-2</v>
      </c>
      <c r="D1329" t="s">
        <v>41</v>
      </c>
      <c r="E1329" t="s">
        <v>98</v>
      </c>
      <c r="F1329" t="s">
        <v>62</v>
      </c>
      <c r="G1329" t="s">
        <v>50</v>
      </c>
      <c r="H1329" s="2">
        <v>3.1944444444444442E-2</v>
      </c>
      <c r="I1329" s="2">
        <v>7.1527777777777773E-2</v>
      </c>
      <c r="J1329">
        <v>12</v>
      </c>
      <c r="K1329">
        <v>20</v>
      </c>
      <c r="L1329" t="s">
        <v>84</v>
      </c>
      <c r="M1329">
        <v>28.1</v>
      </c>
      <c r="N1329">
        <v>40</v>
      </c>
      <c r="O1329">
        <v>35</v>
      </c>
      <c r="P1329">
        <v>5.7</v>
      </c>
      <c r="Q1329" t="s">
        <v>46</v>
      </c>
      <c r="R1329">
        <v>0</v>
      </c>
      <c r="S1329">
        <v>32</v>
      </c>
      <c r="T1329">
        <v>1</v>
      </c>
      <c r="U1329">
        <v>0</v>
      </c>
      <c r="V1329">
        <v>6</v>
      </c>
      <c r="W1329" t="s">
        <v>32</v>
      </c>
      <c r="X1329">
        <v>1</v>
      </c>
      <c r="Y1329" t="str">
        <f t="shared" si="20"/>
        <v>Low</v>
      </c>
    </row>
    <row r="1330" spans="1:25">
      <c r="A1330" t="s">
        <v>1443</v>
      </c>
      <c r="B1330" s="1">
        <v>44941</v>
      </c>
      <c r="C1330" s="2">
        <v>4.1666666666666664E-2</v>
      </c>
      <c r="D1330" t="s">
        <v>74</v>
      </c>
      <c r="E1330" t="s">
        <v>130</v>
      </c>
      <c r="F1330" t="s">
        <v>113</v>
      </c>
      <c r="G1330" t="s">
        <v>75</v>
      </c>
      <c r="H1330" s="2">
        <v>4.3749999999999997E-2</v>
      </c>
      <c r="I1330" s="2">
        <v>6.7361111111111108E-2</v>
      </c>
      <c r="J1330">
        <v>12</v>
      </c>
      <c r="K1330">
        <v>4</v>
      </c>
      <c r="L1330" t="s">
        <v>30</v>
      </c>
      <c r="M1330">
        <v>20.3</v>
      </c>
      <c r="N1330">
        <v>73</v>
      </c>
      <c r="O1330">
        <v>37</v>
      </c>
      <c r="P1330">
        <v>17.600000000000001</v>
      </c>
      <c r="Q1330" t="s">
        <v>31</v>
      </c>
      <c r="R1330">
        <v>500</v>
      </c>
      <c r="S1330">
        <v>59</v>
      </c>
      <c r="T1330">
        <v>0</v>
      </c>
      <c r="U1330">
        <v>1</v>
      </c>
      <c r="V1330">
        <v>6</v>
      </c>
      <c r="W1330" t="s">
        <v>72</v>
      </c>
      <c r="X1330">
        <v>0</v>
      </c>
      <c r="Y1330" t="str">
        <f t="shared" si="20"/>
        <v>Medium</v>
      </c>
    </row>
    <row r="1331" spans="1:25">
      <c r="A1331" t="s">
        <v>1444</v>
      </c>
      <c r="B1331" s="1">
        <v>44941</v>
      </c>
      <c r="C1331" s="2">
        <v>5.2083333333333336E-2</v>
      </c>
      <c r="D1331" t="s">
        <v>41</v>
      </c>
      <c r="E1331" t="s">
        <v>48</v>
      </c>
      <c r="F1331" t="s">
        <v>109</v>
      </c>
      <c r="G1331" t="s">
        <v>163</v>
      </c>
      <c r="H1331" s="2">
        <v>5.2083333333333336E-2</v>
      </c>
      <c r="I1331" s="2">
        <v>8.819444444444445E-2</v>
      </c>
      <c r="J1331">
        <v>13</v>
      </c>
      <c r="K1331">
        <v>1</v>
      </c>
      <c r="L1331" t="s">
        <v>77</v>
      </c>
      <c r="M1331">
        <v>17.3</v>
      </c>
      <c r="N1331">
        <v>98</v>
      </c>
      <c r="O1331">
        <v>57</v>
      </c>
      <c r="P1331">
        <v>3.2</v>
      </c>
      <c r="Q1331" t="s">
        <v>31</v>
      </c>
      <c r="R1331">
        <v>50000</v>
      </c>
      <c r="S1331">
        <v>95</v>
      </c>
      <c r="T1331">
        <v>0</v>
      </c>
      <c r="U1331">
        <v>0</v>
      </c>
      <c r="V1331">
        <v>6</v>
      </c>
      <c r="W1331" t="s">
        <v>32</v>
      </c>
      <c r="X1331">
        <v>0</v>
      </c>
      <c r="Y1331" t="str">
        <f t="shared" si="20"/>
        <v>High</v>
      </c>
    </row>
    <row r="1332" spans="1:25">
      <c r="A1332" t="s">
        <v>1445</v>
      </c>
      <c r="B1332" s="1">
        <v>44941</v>
      </c>
      <c r="C1332" s="2">
        <v>6.25E-2</v>
      </c>
      <c r="D1332" t="s">
        <v>74</v>
      </c>
      <c r="E1332" t="s">
        <v>57</v>
      </c>
      <c r="F1332" t="s">
        <v>194</v>
      </c>
      <c r="G1332" t="s">
        <v>118</v>
      </c>
      <c r="H1332" s="2">
        <v>6.458333333333334E-2</v>
      </c>
      <c r="I1332" s="2">
        <v>9.3055555555555558E-2</v>
      </c>
      <c r="J1332">
        <v>-2</v>
      </c>
      <c r="K1332">
        <v>0</v>
      </c>
      <c r="L1332" t="s">
        <v>54</v>
      </c>
      <c r="M1332">
        <v>0.3</v>
      </c>
      <c r="N1332">
        <v>31</v>
      </c>
      <c r="O1332">
        <v>54</v>
      </c>
      <c r="P1332">
        <v>3.6</v>
      </c>
      <c r="Q1332" t="s">
        <v>71</v>
      </c>
      <c r="R1332">
        <v>50000</v>
      </c>
      <c r="S1332">
        <v>58</v>
      </c>
      <c r="T1332">
        <v>0</v>
      </c>
      <c r="U1332">
        <v>0</v>
      </c>
      <c r="V1332">
        <v>6</v>
      </c>
      <c r="W1332" t="s">
        <v>72</v>
      </c>
      <c r="X1332">
        <v>0</v>
      </c>
      <c r="Y1332" t="str">
        <f t="shared" si="20"/>
        <v>Medium</v>
      </c>
    </row>
    <row r="1333" spans="1:25">
      <c r="A1333" t="s">
        <v>1446</v>
      </c>
      <c r="B1333" s="1">
        <v>44941</v>
      </c>
      <c r="C1333" s="2">
        <v>7.2916666666666671E-2</v>
      </c>
      <c r="D1333" t="s">
        <v>74</v>
      </c>
      <c r="E1333" t="s">
        <v>104</v>
      </c>
      <c r="F1333" t="s">
        <v>107</v>
      </c>
      <c r="G1333" t="s">
        <v>107</v>
      </c>
      <c r="H1333" s="2">
        <v>7.5694444444444439E-2</v>
      </c>
      <c r="I1333" s="2">
        <v>0.1076388888888889</v>
      </c>
      <c r="J1333">
        <v>8</v>
      </c>
      <c r="K1333">
        <v>10</v>
      </c>
      <c r="L1333" t="s">
        <v>45</v>
      </c>
      <c r="M1333">
        <v>6.5</v>
      </c>
      <c r="N1333">
        <v>69</v>
      </c>
      <c r="O1333">
        <v>34</v>
      </c>
      <c r="P1333">
        <v>11.4</v>
      </c>
      <c r="Q1333" t="s">
        <v>46</v>
      </c>
      <c r="R1333">
        <v>0</v>
      </c>
      <c r="S1333">
        <v>73</v>
      </c>
      <c r="T1333">
        <v>0</v>
      </c>
      <c r="U1333">
        <v>0</v>
      </c>
      <c r="V1333">
        <v>6</v>
      </c>
      <c r="W1333" t="s">
        <v>72</v>
      </c>
      <c r="X1333">
        <v>1</v>
      </c>
      <c r="Y1333" t="str">
        <f t="shared" si="20"/>
        <v>High</v>
      </c>
    </row>
    <row r="1334" spans="1:25">
      <c r="A1334" t="s">
        <v>1447</v>
      </c>
      <c r="B1334" s="1">
        <v>44941</v>
      </c>
      <c r="C1334" s="2">
        <v>8.3333333333333329E-2</v>
      </c>
      <c r="D1334" t="s">
        <v>26</v>
      </c>
      <c r="E1334" t="s">
        <v>126</v>
      </c>
      <c r="F1334" t="s">
        <v>109</v>
      </c>
      <c r="G1334" t="s">
        <v>91</v>
      </c>
      <c r="H1334" s="2">
        <v>8.4722222222222227E-2</v>
      </c>
      <c r="I1334" s="2">
        <v>0.12222222222222222</v>
      </c>
      <c r="J1334">
        <v>2</v>
      </c>
      <c r="K1334">
        <v>12</v>
      </c>
      <c r="L1334" t="s">
        <v>77</v>
      </c>
      <c r="M1334">
        <v>14.7</v>
      </c>
      <c r="N1334">
        <v>66</v>
      </c>
      <c r="O1334">
        <v>24</v>
      </c>
      <c r="P1334">
        <v>6.9</v>
      </c>
      <c r="Q1334" t="s">
        <v>46</v>
      </c>
      <c r="R1334">
        <v>0</v>
      </c>
      <c r="S1334">
        <v>50</v>
      </c>
      <c r="T1334">
        <v>0</v>
      </c>
      <c r="U1334">
        <v>0</v>
      </c>
      <c r="V1334">
        <v>6</v>
      </c>
      <c r="W1334" t="s">
        <v>32</v>
      </c>
      <c r="X1334">
        <v>1</v>
      </c>
      <c r="Y1334" t="str">
        <f t="shared" si="20"/>
        <v>Medium</v>
      </c>
    </row>
    <row r="1335" spans="1:25">
      <c r="A1335" t="s">
        <v>1448</v>
      </c>
      <c r="B1335" s="1">
        <v>44941</v>
      </c>
      <c r="C1335" s="2">
        <v>9.375E-2</v>
      </c>
      <c r="D1335" t="s">
        <v>34</v>
      </c>
      <c r="E1335" t="s">
        <v>157</v>
      </c>
      <c r="F1335" t="s">
        <v>53</v>
      </c>
      <c r="G1335" t="s">
        <v>194</v>
      </c>
      <c r="H1335" s="2">
        <v>9.583333333333334E-2</v>
      </c>
      <c r="I1335" s="2">
        <v>0.10833333333333334</v>
      </c>
      <c r="J1335">
        <v>2</v>
      </c>
      <c r="K1335">
        <v>16</v>
      </c>
      <c r="L1335" t="s">
        <v>77</v>
      </c>
      <c r="M1335">
        <v>20.3</v>
      </c>
      <c r="N1335">
        <v>78</v>
      </c>
      <c r="O1335">
        <v>7</v>
      </c>
      <c r="P1335">
        <v>8.4</v>
      </c>
      <c r="Q1335" t="s">
        <v>46</v>
      </c>
      <c r="R1335">
        <v>0</v>
      </c>
      <c r="S1335">
        <v>14</v>
      </c>
      <c r="T1335">
        <v>0</v>
      </c>
      <c r="U1335">
        <v>1</v>
      </c>
      <c r="V1335">
        <v>6</v>
      </c>
      <c r="W1335" t="s">
        <v>32</v>
      </c>
      <c r="X1335">
        <v>1</v>
      </c>
      <c r="Y1335" t="str">
        <f t="shared" si="20"/>
        <v>Low</v>
      </c>
    </row>
    <row r="1336" spans="1:25">
      <c r="A1336" t="s">
        <v>1449</v>
      </c>
      <c r="B1336" s="1">
        <v>44941</v>
      </c>
      <c r="C1336" s="2">
        <v>0.10416666666666667</v>
      </c>
      <c r="D1336" t="s">
        <v>34</v>
      </c>
      <c r="E1336" t="s">
        <v>111</v>
      </c>
      <c r="F1336" t="s">
        <v>58</v>
      </c>
      <c r="G1336" t="s">
        <v>50</v>
      </c>
      <c r="H1336" s="2">
        <v>0.10486111111111111</v>
      </c>
      <c r="I1336" s="2">
        <v>0.14027777777777778</v>
      </c>
      <c r="J1336">
        <v>18</v>
      </c>
      <c r="K1336">
        <v>20</v>
      </c>
      <c r="L1336" t="s">
        <v>84</v>
      </c>
      <c r="M1336">
        <v>2.2999999999999998</v>
      </c>
      <c r="N1336">
        <v>65</v>
      </c>
      <c r="O1336">
        <v>16</v>
      </c>
      <c r="P1336">
        <v>16.100000000000001</v>
      </c>
      <c r="Q1336" t="s">
        <v>31</v>
      </c>
      <c r="R1336">
        <v>0</v>
      </c>
      <c r="S1336">
        <v>79</v>
      </c>
      <c r="T1336">
        <v>0</v>
      </c>
      <c r="U1336">
        <v>1</v>
      </c>
      <c r="V1336">
        <v>6</v>
      </c>
      <c r="W1336" t="s">
        <v>72</v>
      </c>
      <c r="X1336">
        <v>1</v>
      </c>
      <c r="Y1336" t="str">
        <f t="shared" si="20"/>
        <v>High</v>
      </c>
    </row>
    <row r="1337" spans="1:25">
      <c r="A1337" t="s">
        <v>1450</v>
      </c>
      <c r="B1337" s="1">
        <v>44941</v>
      </c>
      <c r="C1337" s="2">
        <v>0.11458333333333333</v>
      </c>
      <c r="D1337" t="s">
        <v>74</v>
      </c>
      <c r="E1337" t="s">
        <v>126</v>
      </c>
      <c r="F1337" t="s">
        <v>135</v>
      </c>
      <c r="G1337" t="s">
        <v>44</v>
      </c>
      <c r="H1337" s="2">
        <v>0.11527777777777778</v>
      </c>
      <c r="I1337" s="2">
        <v>0.15486111111111112</v>
      </c>
      <c r="J1337">
        <v>3</v>
      </c>
      <c r="K1337">
        <v>2</v>
      </c>
      <c r="L1337" t="s">
        <v>84</v>
      </c>
      <c r="M1337">
        <v>-4.5999999999999996</v>
      </c>
      <c r="N1337">
        <v>99</v>
      </c>
      <c r="O1337">
        <v>17</v>
      </c>
      <c r="P1337">
        <v>18.100000000000001</v>
      </c>
      <c r="Q1337" t="s">
        <v>101</v>
      </c>
      <c r="R1337">
        <v>500</v>
      </c>
      <c r="S1337">
        <v>42</v>
      </c>
      <c r="T1337">
        <v>0</v>
      </c>
      <c r="U1337">
        <v>0</v>
      </c>
      <c r="V1337">
        <v>6</v>
      </c>
      <c r="W1337" t="s">
        <v>39</v>
      </c>
      <c r="X1337">
        <v>0</v>
      </c>
      <c r="Y1337" t="str">
        <f t="shared" si="20"/>
        <v>Medium</v>
      </c>
    </row>
    <row r="1338" spans="1:25">
      <c r="A1338" t="s">
        <v>1451</v>
      </c>
      <c r="B1338" s="1">
        <v>44941</v>
      </c>
      <c r="C1338" s="2">
        <v>0.125</v>
      </c>
      <c r="D1338" t="s">
        <v>26</v>
      </c>
      <c r="E1338" t="s">
        <v>27</v>
      </c>
      <c r="F1338" t="s">
        <v>62</v>
      </c>
      <c r="G1338" t="s">
        <v>194</v>
      </c>
      <c r="H1338" s="2">
        <v>0.12708333333333333</v>
      </c>
      <c r="I1338" s="2">
        <v>0.16041666666666668</v>
      </c>
      <c r="J1338">
        <v>-1</v>
      </c>
      <c r="K1338">
        <v>27</v>
      </c>
      <c r="L1338" t="s">
        <v>77</v>
      </c>
      <c r="M1338">
        <v>8.8000000000000007</v>
      </c>
      <c r="N1338">
        <v>63</v>
      </c>
      <c r="O1338">
        <v>49</v>
      </c>
      <c r="P1338">
        <v>15.8</v>
      </c>
      <c r="Q1338" t="s">
        <v>31</v>
      </c>
      <c r="R1338">
        <v>2000</v>
      </c>
      <c r="S1338">
        <v>26</v>
      </c>
      <c r="T1338">
        <v>0</v>
      </c>
      <c r="U1338">
        <v>0</v>
      </c>
      <c r="V1338">
        <v>6</v>
      </c>
      <c r="W1338" t="s">
        <v>39</v>
      </c>
      <c r="X1338">
        <v>1</v>
      </c>
      <c r="Y1338" t="str">
        <f t="shared" si="20"/>
        <v>Low</v>
      </c>
    </row>
    <row r="1339" spans="1:25">
      <c r="A1339" t="s">
        <v>1452</v>
      </c>
      <c r="B1339" s="1">
        <v>44941</v>
      </c>
      <c r="C1339" s="2">
        <v>0.13541666666666666</v>
      </c>
      <c r="D1339" t="s">
        <v>74</v>
      </c>
      <c r="E1339" t="s">
        <v>52</v>
      </c>
      <c r="F1339" t="s">
        <v>62</v>
      </c>
      <c r="G1339" t="s">
        <v>58</v>
      </c>
      <c r="H1339" s="2">
        <v>0.13680555555555557</v>
      </c>
      <c r="I1339" s="2">
        <v>0.16111111111111112</v>
      </c>
      <c r="J1339">
        <v>3</v>
      </c>
      <c r="K1339">
        <v>2</v>
      </c>
      <c r="L1339" t="s">
        <v>84</v>
      </c>
      <c r="M1339">
        <v>14.3</v>
      </c>
      <c r="N1339">
        <v>87</v>
      </c>
      <c r="O1339">
        <v>57</v>
      </c>
      <c r="P1339">
        <v>4.7</v>
      </c>
      <c r="Q1339" t="s">
        <v>31</v>
      </c>
      <c r="R1339">
        <v>500</v>
      </c>
      <c r="S1339">
        <v>55</v>
      </c>
      <c r="T1339">
        <v>0</v>
      </c>
      <c r="U1339">
        <v>0</v>
      </c>
      <c r="V1339">
        <v>6</v>
      </c>
      <c r="W1339" t="s">
        <v>32</v>
      </c>
      <c r="X1339">
        <v>0</v>
      </c>
      <c r="Y1339" t="str">
        <f t="shared" si="20"/>
        <v>Medium</v>
      </c>
    </row>
    <row r="1340" spans="1:25">
      <c r="A1340" t="s">
        <v>1453</v>
      </c>
      <c r="B1340" s="1">
        <v>44941</v>
      </c>
      <c r="C1340" s="2">
        <v>0.14583333333333334</v>
      </c>
      <c r="D1340" t="s">
        <v>74</v>
      </c>
      <c r="E1340" t="s">
        <v>27</v>
      </c>
      <c r="F1340" t="s">
        <v>83</v>
      </c>
      <c r="G1340" t="s">
        <v>29</v>
      </c>
      <c r="H1340" s="2">
        <v>0.14791666666666667</v>
      </c>
      <c r="I1340" s="2">
        <v>0.17083333333333334</v>
      </c>
      <c r="J1340">
        <v>11</v>
      </c>
      <c r="K1340">
        <v>11</v>
      </c>
      <c r="L1340" t="s">
        <v>30</v>
      </c>
      <c r="M1340">
        <v>2.4</v>
      </c>
      <c r="N1340">
        <v>66</v>
      </c>
      <c r="O1340">
        <v>56</v>
      </c>
      <c r="P1340">
        <v>19.600000000000001</v>
      </c>
      <c r="Q1340" t="s">
        <v>31</v>
      </c>
      <c r="R1340">
        <v>0</v>
      </c>
      <c r="S1340">
        <v>59</v>
      </c>
      <c r="T1340">
        <v>0</v>
      </c>
      <c r="U1340">
        <v>0</v>
      </c>
      <c r="V1340">
        <v>6</v>
      </c>
      <c r="W1340" t="s">
        <v>32</v>
      </c>
      <c r="X1340">
        <v>1</v>
      </c>
      <c r="Y1340" t="str">
        <f t="shared" si="20"/>
        <v>Medium</v>
      </c>
    </row>
    <row r="1341" spans="1:25">
      <c r="A1341" t="s">
        <v>1454</v>
      </c>
      <c r="B1341" s="1">
        <v>44941</v>
      </c>
      <c r="C1341" s="2">
        <v>0.15625</v>
      </c>
      <c r="D1341" t="s">
        <v>74</v>
      </c>
      <c r="E1341" t="s">
        <v>126</v>
      </c>
      <c r="F1341" t="s">
        <v>151</v>
      </c>
      <c r="G1341" t="s">
        <v>62</v>
      </c>
      <c r="H1341" s="2">
        <v>0.15763888888888888</v>
      </c>
      <c r="I1341" s="2">
        <v>0.19305555555555556</v>
      </c>
      <c r="J1341">
        <v>8</v>
      </c>
      <c r="K1341">
        <v>25</v>
      </c>
      <c r="L1341" t="s">
        <v>45</v>
      </c>
      <c r="M1341">
        <v>14.7</v>
      </c>
      <c r="N1341">
        <v>89</v>
      </c>
      <c r="O1341">
        <v>11</v>
      </c>
      <c r="P1341">
        <v>7.3</v>
      </c>
      <c r="Q1341" t="s">
        <v>31</v>
      </c>
      <c r="R1341">
        <v>2000</v>
      </c>
      <c r="S1341">
        <v>95</v>
      </c>
      <c r="T1341">
        <v>1</v>
      </c>
      <c r="U1341">
        <v>0</v>
      </c>
      <c r="V1341">
        <v>6</v>
      </c>
      <c r="W1341" t="s">
        <v>55</v>
      </c>
      <c r="X1341">
        <v>1</v>
      </c>
      <c r="Y1341" t="str">
        <f t="shared" si="20"/>
        <v>High</v>
      </c>
    </row>
    <row r="1342" spans="1:25">
      <c r="A1342" t="s">
        <v>1455</v>
      </c>
      <c r="B1342" s="1">
        <v>44941</v>
      </c>
      <c r="C1342" s="2">
        <v>0.16666666666666666</v>
      </c>
      <c r="D1342" t="s">
        <v>26</v>
      </c>
      <c r="E1342" t="s">
        <v>111</v>
      </c>
      <c r="F1342" t="s">
        <v>69</v>
      </c>
      <c r="G1342" t="s">
        <v>109</v>
      </c>
      <c r="H1342" s="2">
        <v>0.16805555555555557</v>
      </c>
      <c r="I1342" s="2">
        <v>0.20694444444444443</v>
      </c>
      <c r="J1342">
        <v>1</v>
      </c>
      <c r="K1342">
        <v>-1</v>
      </c>
      <c r="L1342" t="s">
        <v>77</v>
      </c>
      <c r="M1342">
        <v>8.5</v>
      </c>
      <c r="N1342">
        <v>41</v>
      </c>
      <c r="O1342">
        <v>56</v>
      </c>
      <c r="P1342">
        <v>3.4</v>
      </c>
      <c r="Q1342" t="s">
        <v>31</v>
      </c>
      <c r="R1342">
        <v>0</v>
      </c>
      <c r="S1342">
        <v>69</v>
      </c>
      <c r="T1342">
        <v>0</v>
      </c>
      <c r="U1342">
        <v>0</v>
      </c>
      <c r="V1342">
        <v>6</v>
      </c>
      <c r="W1342" t="s">
        <v>39</v>
      </c>
      <c r="X1342">
        <v>0</v>
      </c>
      <c r="Y1342" t="str">
        <f t="shared" si="20"/>
        <v>High</v>
      </c>
    </row>
    <row r="1343" spans="1:25">
      <c r="A1343" t="s">
        <v>1456</v>
      </c>
      <c r="B1343" s="1">
        <v>44941</v>
      </c>
      <c r="C1343" s="2">
        <v>0.17708333333333334</v>
      </c>
      <c r="D1343" t="s">
        <v>34</v>
      </c>
      <c r="E1343" t="s">
        <v>89</v>
      </c>
      <c r="F1343" t="s">
        <v>43</v>
      </c>
      <c r="G1343" t="s">
        <v>107</v>
      </c>
      <c r="H1343" s="2">
        <v>0.17986111111111111</v>
      </c>
      <c r="I1343" s="2">
        <v>0.19513888888888889</v>
      </c>
      <c r="J1343">
        <v>6</v>
      </c>
      <c r="K1343">
        <v>7</v>
      </c>
      <c r="L1343" t="s">
        <v>45</v>
      </c>
      <c r="M1343">
        <v>13.2</v>
      </c>
      <c r="N1343">
        <v>61</v>
      </c>
      <c r="O1343">
        <v>56</v>
      </c>
      <c r="P1343">
        <v>10</v>
      </c>
      <c r="Q1343" t="s">
        <v>31</v>
      </c>
      <c r="R1343">
        <v>0</v>
      </c>
      <c r="S1343">
        <v>46</v>
      </c>
      <c r="T1343">
        <v>0</v>
      </c>
      <c r="U1343">
        <v>1</v>
      </c>
      <c r="V1343">
        <v>6</v>
      </c>
      <c r="W1343" t="s">
        <v>39</v>
      </c>
      <c r="X1343">
        <v>1</v>
      </c>
      <c r="Y1343" t="str">
        <f t="shared" si="20"/>
        <v>Medium</v>
      </c>
    </row>
    <row r="1344" spans="1:25">
      <c r="A1344" t="s">
        <v>1457</v>
      </c>
      <c r="B1344" s="1">
        <v>44941</v>
      </c>
      <c r="C1344" s="2">
        <v>0.1875</v>
      </c>
      <c r="D1344" t="s">
        <v>26</v>
      </c>
      <c r="E1344" t="s">
        <v>52</v>
      </c>
      <c r="F1344" t="s">
        <v>176</v>
      </c>
      <c r="G1344" t="s">
        <v>176</v>
      </c>
      <c r="H1344" s="2">
        <v>0.18819444444444444</v>
      </c>
      <c r="I1344" s="2">
        <v>0.22500000000000001</v>
      </c>
      <c r="J1344">
        <v>0</v>
      </c>
      <c r="K1344">
        <v>-1</v>
      </c>
      <c r="L1344" t="s">
        <v>30</v>
      </c>
      <c r="M1344">
        <v>8.9</v>
      </c>
      <c r="N1344">
        <v>33</v>
      </c>
      <c r="O1344">
        <v>32</v>
      </c>
      <c r="P1344">
        <v>14.5</v>
      </c>
      <c r="Q1344" t="s">
        <v>31</v>
      </c>
      <c r="R1344">
        <v>2000</v>
      </c>
      <c r="S1344">
        <v>99</v>
      </c>
      <c r="T1344">
        <v>0</v>
      </c>
      <c r="U1344">
        <v>1</v>
      </c>
      <c r="V1344">
        <v>6</v>
      </c>
      <c r="W1344" t="s">
        <v>72</v>
      </c>
      <c r="X1344">
        <v>0</v>
      </c>
      <c r="Y1344" t="str">
        <f t="shared" si="20"/>
        <v>High</v>
      </c>
    </row>
    <row r="1345" spans="1:25">
      <c r="A1345" t="s">
        <v>1458</v>
      </c>
      <c r="B1345" s="1">
        <v>44941</v>
      </c>
      <c r="C1345" s="2">
        <v>0.19791666666666666</v>
      </c>
      <c r="D1345" t="s">
        <v>41</v>
      </c>
      <c r="E1345" t="s">
        <v>57</v>
      </c>
      <c r="F1345" t="s">
        <v>142</v>
      </c>
      <c r="G1345" t="s">
        <v>36</v>
      </c>
      <c r="H1345" s="2">
        <v>0.1986111111111111</v>
      </c>
      <c r="I1345" s="2">
        <v>0.23194444444444445</v>
      </c>
      <c r="J1345">
        <v>13</v>
      </c>
      <c r="K1345">
        <v>24</v>
      </c>
      <c r="L1345" t="s">
        <v>84</v>
      </c>
      <c r="M1345">
        <v>20.100000000000001</v>
      </c>
      <c r="N1345">
        <v>62</v>
      </c>
      <c r="O1345">
        <v>22</v>
      </c>
      <c r="P1345">
        <v>1.7</v>
      </c>
      <c r="Q1345" t="s">
        <v>31</v>
      </c>
      <c r="R1345">
        <v>0</v>
      </c>
      <c r="S1345">
        <v>7</v>
      </c>
      <c r="T1345">
        <v>0</v>
      </c>
      <c r="U1345">
        <v>0</v>
      </c>
      <c r="V1345">
        <v>6</v>
      </c>
      <c r="W1345" t="s">
        <v>55</v>
      </c>
      <c r="X1345">
        <v>1</v>
      </c>
      <c r="Y1345" t="str">
        <f t="shared" si="20"/>
        <v>Low</v>
      </c>
    </row>
    <row r="1346" spans="1:25">
      <c r="A1346" t="s">
        <v>1459</v>
      </c>
      <c r="B1346" s="1">
        <v>44941</v>
      </c>
      <c r="C1346" s="2">
        <v>0.20833333333333334</v>
      </c>
      <c r="D1346" t="s">
        <v>26</v>
      </c>
      <c r="E1346" t="s">
        <v>141</v>
      </c>
      <c r="F1346" t="s">
        <v>83</v>
      </c>
      <c r="G1346" t="s">
        <v>83</v>
      </c>
      <c r="H1346" s="2">
        <v>0.20972222222222223</v>
      </c>
      <c r="I1346" s="2">
        <v>0.2298611111111111</v>
      </c>
      <c r="J1346">
        <v>8</v>
      </c>
      <c r="K1346">
        <v>6</v>
      </c>
      <c r="L1346" t="s">
        <v>38</v>
      </c>
      <c r="M1346">
        <v>-3.3</v>
      </c>
      <c r="N1346">
        <v>72</v>
      </c>
      <c r="O1346">
        <v>11</v>
      </c>
      <c r="P1346">
        <v>12.7</v>
      </c>
      <c r="Q1346" t="s">
        <v>46</v>
      </c>
      <c r="R1346">
        <v>500</v>
      </c>
      <c r="S1346">
        <v>62</v>
      </c>
      <c r="T1346">
        <v>0</v>
      </c>
      <c r="U1346">
        <v>1</v>
      </c>
      <c r="V1346">
        <v>6</v>
      </c>
      <c r="W1346" t="s">
        <v>72</v>
      </c>
      <c r="X1346">
        <v>1</v>
      </c>
      <c r="Y1346" t="str">
        <f t="shared" ref="Y1346:Y1409" si="21">IF(S1346&lt;=33,"Low",IF(S1346&lt;=66,"Medium","High"))</f>
        <v>Medium</v>
      </c>
    </row>
    <row r="1347" spans="1:25">
      <c r="A1347" t="s">
        <v>1460</v>
      </c>
      <c r="B1347" s="1">
        <v>44941</v>
      </c>
      <c r="C1347" s="2">
        <v>0.21875</v>
      </c>
      <c r="D1347" t="s">
        <v>26</v>
      </c>
      <c r="E1347" t="s">
        <v>130</v>
      </c>
      <c r="F1347" t="s">
        <v>81</v>
      </c>
      <c r="G1347" t="s">
        <v>100</v>
      </c>
      <c r="H1347" s="2">
        <v>0.21944444444444444</v>
      </c>
      <c r="I1347" s="2">
        <v>0.25624999999999998</v>
      </c>
      <c r="J1347">
        <v>1</v>
      </c>
      <c r="K1347">
        <v>29</v>
      </c>
      <c r="L1347" t="s">
        <v>30</v>
      </c>
      <c r="M1347">
        <v>1.8</v>
      </c>
      <c r="N1347">
        <v>38</v>
      </c>
      <c r="O1347">
        <v>10</v>
      </c>
      <c r="P1347">
        <v>17.2</v>
      </c>
      <c r="Q1347" t="s">
        <v>46</v>
      </c>
      <c r="R1347">
        <v>0</v>
      </c>
      <c r="S1347">
        <v>88</v>
      </c>
      <c r="T1347">
        <v>0</v>
      </c>
      <c r="U1347">
        <v>0</v>
      </c>
      <c r="V1347">
        <v>6</v>
      </c>
      <c r="W1347" t="s">
        <v>55</v>
      </c>
      <c r="X1347">
        <v>1</v>
      </c>
      <c r="Y1347" t="str">
        <f t="shared" si="21"/>
        <v>High</v>
      </c>
    </row>
    <row r="1348" spans="1:25">
      <c r="A1348" t="s">
        <v>1461</v>
      </c>
      <c r="B1348" s="1">
        <v>44941</v>
      </c>
      <c r="C1348" s="2">
        <v>0.22916666666666666</v>
      </c>
      <c r="D1348" t="s">
        <v>26</v>
      </c>
      <c r="E1348" t="s">
        <v>52</v>
      </c>
      <c r="F1348" t="s">
        <v>83</v>
      </c>
      <c r="G1348" t="s">
        <v>43</v>
      </c>
      <c r="H1348" s="2">
        <v>0.22916666666666666</v>
      </c>
      <c r="I1348" s="2">
        <v>0.25</v>
      </c>
      <c r="J1348">
        <v>-2</v>
      </c>
      <c r="K1348">
        <v>12</v>
      </c>
      <c r="L1348" t="s">
        <v>38</v>
      </c>
      <c r="M1348">
        <v>12.3</v>
      </c>
      <c r="N1348">
        <v>80</v>
      </c>
      <c r="O1348">
        <v>12</v>
      </c>
      <c r="P1348">
        <v>5.2</v>
      </c>
      <c r="Q1348" t="s">
        <v>31</v>
      </c>
      <c r="R1348">
        <v>0</v>
      </c>
      <c r="S1348">
        <v>6</v>
      </c>
      <c r="T1348">
        <v>0</v>
      </c>
      <c r="U1348">
        <v>0</v>
      </c>
      <c r="V1348">
        <v>6</v>
      </c>
      <c r="W1348" t="s">
        <v>39</v>
      </c>
      <c r="X1348">
        <v>1</v>
      </c>
      <c r="Y1348" t="str">
        <f t="shared" si="21"/>
        <v>Low</v>
      </c>
    </row>
    <row r="1349" spans="1:25">
      <c r="A1349" t="s">
        <v>1462</v>
      </c>
      <c r="B1349" s="1">
        <v>44941</v>
      </c>
      <c r="C1349" s="2">
        <v>0.23958333333333334</v>
      </c>
      <c r="D1349" t="s">
        <v>26</v>
      </c>
      <c r="E1349" t="s">
        <v>35</v>
      </c>
      <c r="F1349" t="s">
        <v>87</v>
      </c>
      <c r="G1349" t="s">
        <v>154</v>
      </c>
      <c r="H1349" s="2">
        <v>0.24097222222222223</v>
      </c>
      <c r="I1349" s="2">
        <v>0.25555555555555554</v>
      </c>
      <c r="J1349">
        <v>18</v>
      </c>
      <c r="K1349">
        <v>6</v>
      </c>
      <c r="L1349" t="s">
        <v>45</v>
      </c>
      <c r="M1349">
        <v>9.3000000000000007</v>
      </c>
      <c r="N1349">
        <v>49</v>
      </c>
      <c r="O1349">
        <v>34</v>
      </c>
      <c r="P1349">
        <v>13.9</v>
      </c>
      <c r="Q1349" t="s">
        <v>31</v>
      </c>
      <c r="R1349">
        <v>0</v>
      </c>
      <c r="S1349">
        <v>80</v>
      </c>
      <c r="T1349">
        <v>0</v>
      </c>
      <c r="U1349">
        <v>0</v>
      </c>
      <c r="V1349">
        <v>6</v>
      </c>
      <c r="W1349" t="s">
        <v>72</v>
      </c>
      <c r="X1349">
        <v>1</v>
      </c>
      <c r="Y1349" t="str">
        <f t="shared" si="21"/>
        <v>High</v>
      </c>
    </row>
    <row r="1350" spans="1:25">
      <c r="A1350" t="s">
        <v>1463</v>
      </c>
      <c r="B1350" s="1">
        <v>44941</v>
      </c>
      <c r="C1350" s="2">
        <v>0.25</v>
      </c>
      <c r="D1350" t="s">
        <v>34</v>
      </c>
      <c r="E1350" t="s">
        <v>161</v>
      </c>
      <c r="F1350" t="s">
        <v>144</v>
      </c>
      <c r="G1350" t="s">
        <v>49</v>
      </c>
      <c r="H1350" s="2">
        <v>0.25069444444444444</v>
      </c>
      <c r="I1350" s="2">
        <v>0.28055555555555556</v>
      </c>
      <c r="J1350">
        <v>19</v>
      </c>
      <c r="K1350">
        <v>29</v>
      </c>
      <c r="L1350" t="s">
        <v>77</v>
      </c>
      <c r="M1350">
        <v>10.7</v>
      </c>
      <c r="N1350">
        <v>68</v>
      </c>
      <c r="O1350">
        <v>26</v>
      </c>
      <c r="P1350">
        <v>8</v>
      </c>
      <c r="Q1350" t="s">
        <v>31</v>
      </c>
      <c r="R1350">
        <v>500</v>
      </c>
      <c r="S1350">
        <v>93</v>
      </c>
      <c r="T1350">
        <v>0</v>
      </c>
      <c r="U1350">
        <v>0</v>
      </c>
      <c r="V1350">
        <v>6</v>
      </c>
      <c r="W1350" t="s">
        <v>55</v>
      </c>
      <c r="X1350">
        <v>1</v>
      </c>
      <c r="Y1350" t="str">
        <f t="shared" si="21"/>
        <v>High</v>
      </c>
    </row>
    <row r="1351" spans="1:25">
      <c r="A1351" t="s">
        <v>1464</v>
      </c>
      <c r="B1351" s="1">
        <v>44941</v>
      </c>
      <c r="C1351" s="2">
        <v>0.26041666666666669</v>
      </c>
      <c r="D1351" t="s">
        <v>41</v>
      </c>
      <c r="E1351" t="s">
        <v>98</v>
      </c>
      <c r="F1351" t="s">
        <v>100</v>
      </c>
      <c r="G1351" t="s">
        <v>142</v>
      </c>
      <c r="H1351" s="2">
        <v>0.26041666666666669</v>
      </c>
      <c r="I1351" s="2">
        <v>0.29583333333333334</v>
      </c>
      <c r="J1351">
        <v>13</v>
      </c>
      <c r="K1351">
        <v>-1</v>
      </c>
      <c r="L1351" t="s">
        <v>84</v>
      </c>
      <c r="M1351">
        <v>27.2</v>
      </c>
      <c r="N1351">
        <v>52</v>
      </c>
      <c r="O1351">
        <v>24</v>
      </c>
      <c r="P1351">
        <v>8.3000000000000007</v>
      </c>
      <c r="Q1351" t="s">
        <v>31</v>
      </c>
      <c r="R1351">
        <v>0</v>
      </c>
      <c r="S1351">
        <v>1</v>
      </c>
      <c r="T1351">
        <v>1</v>
      </c>
      <c r="U1351">
        <v>1</v>
      </c>
      <c r="V1351">
        <v>6</v>
      </c>
      <c r="W1351" t="s">
        <v>72</v>
      </c>
      <c r="X1351">
        <v>0</v>
      </c>
      <c r="Y1351" t="str">
        <f t="shared" si="21"/>
        <v>Low</v>
      </c>
    </row>
    <row r="1352" spans="1:25">
      <c r="A1352" t="s">
        <v>1465</v>
      </c>
      <c r="B1352" s="1">
        <v>44941</v>
      </c>
      <c r="C1352" s="2">
        <v>0.27083333333333331</v>
      </c>
      <c r="D1352" t="s">
        <v>34</v>
      </c>
      <c r="E1352" t="s">
        <v>126</v>
      </c>
      <c r="F1352" t="s">
        <v>53</v>
      </c>
      <c r="G1352" t="s">
        <v>66</v>
      </c>
      <c r="H1352" s="2">
        <v>0.27361111111111114</v>
      </c>
      <c r="I1352" s="2">
        <v>0.29791666666666666</v>
      </c>
      <c r="J1352">
        <v>16</v>
      </c>
      <c r="K1352">
        <v>1</v>
      </c>
      <c r="L1352" t="s">
        <v>30</v>
      </c>
      <c r="M1352">
        <v>30.5</v>
      </c>
      <c r="N1352">
        <v>70</v>
      </c>
      <c r="O1352">
        <v>39</v>
      </c>
      <c r="P1352">
        <v>5.6</v>
      </c>
      <c r="Q1352" t="s">
        <v>46</v>
      </c>
      <c r="R1352">
        <v>500</v>
      </c>
      <c r="S1352">
        <v>16</v>
      </c>
      <c r="T1352">
        <v>0</v>
      </c>
      <c r="U1352">
        <v>1</v>
      </c>
      <c r="V1352">
        <v>6</v>
      </c>
      <c r="W1352" t="s">
        <v>55</v>
      </c>
      <c r="X1352">
        <v>0</v>
      </c>
      <c r="Y1352" t="str">
        <f t="shared" si="21"/>
        <v>Low</v>
      </c>
    </row>
    <row r="1353" spans="1:25">
      <c r="A1353" t="s">
        <v>1466</v>
      </c>
      <c r="B1353" s="1">
        <v>44941</v>
      </c>
      <c r="C1353" s="2">
        <v>0.28125</v>
      </c>
      <c r="D1353" t="s">
        <v>34</v>
      </c>
      <c r="E1353" t="s">
        <v>130</v>
      </c>
      <c r="F1353" t="s">
        <v>135</v>
      </c>
      <c r="G1353" t="s">
        <v>151</v>
      </c>
      <c r="H1353" s="2">
        <v>0.28194444444444444</v>
      </c>
      <c r="I1353" s="2">
        <v>0.31597222222222221</v>
      </c>
      <c r="J1353">
        <v>13</v>
      </c>
      <c r="K1353">
        <v>8</v>
      </c>
      <c r="L1353" t="s">
        <v>84</v>
      </c>
      <c r="M1353">
        <v>4.9000000000000004</v>
      </c>
      <c r="N1353">
        <v>73</v>
      </c>
      <c r="O1353">
        <v>2</v>
      </c>
      <c r="P1353">
        <v>12.5</v>
      </c>
      <c r="Q1353" t="s">
        <v>31</v>
      </c>
      <c r="R1353">
        <v>2000</v>
      </c>
      <c r="S1353">
        <v>3</v>
      </c>
      <c r="T1353">
        <v>1</v>
      </c>
      <c r="U1353">
        <v>0</v>
      </c>
      <c r="V1353">
        <v>6</v>
      </c>
      <c r="W1353" t="s">
        <v>32</v>
      </c>
      <c r="X1353">
        <v>1</v>
      </c>
      <c r="Y1353" t="str">
        <f t="shared" si="21"/>
        <v>Low</v>
      </c>
    </row>
    <row r="1354" spans="1:25">
      <c r="A1354" t="s">
        <v>1467</v>
      </c>
      <c r="B1354" s="1">
        <v>44941</v>
      </c>
      <c r="C1354" s="2">
        <v>0.29166666666666669</v>
      </c>
      <c r="D1354" t="s">
        <v>26</v>
      </c>
      <c r="E1354" t="s">
        <v>68</v>
      </c>
      <c r="F1354" t="s">
        <v>58</v>
      </c>
      <c r="G1354" t="s">
        <v>135</v>
      </c>
      <c r="H1354" s="2">
        <v>0.29166666666666669</v>
      </c>
      <c r="I1354" s="2">
        <v>0.30763888888888891</v>
      </c>
      <c r="J1354">
        <v>8</v>
      </c>
      <c r="K1354">
        <v>9</v>
      </c>
      <c r="L1354" t="s">
        <v>38</v>
      </c>
      <c r="M1354">
        <v>28.5</v>
      </c>
      <c r="N1354">
        <v>64</v>
      </c>
      <c r="O1354">
        <v>48</v>
      </c>
      <c r="P1354">
        <v>7.2</v>
      </c>
      <c r="Q1354" t="s">
        <v>31</v>
      </c>
      <c r="R1354">
        <v>0</v>
      </c>
      <c r="S1354">
        <v>25</v>
      </c>
      <c r="T1354">
        <v>0</v>
      </c>
      <c r="U1354">
        <v>0</v>
      </c>
      <c r="V1354">
        <v>6</v>
      </c>
      <c r="W1354" t="s">
        <v>72</v>
      </c>
      <c r="X1354">
        <v>1</v>
      </c>
      <c r="Y1354" t="str">
        <f t="shared" si="21"/>
        <v>Low</v>
      </c>
    </row>
    <row r="1355" spans="1:25">
      <c r="A1355" t="s">
        <v>1468</v>
      </c>
      <c r="B1355" s="1">
        <v>44941</v>
      </c>
      <c r="C1355" s="2">
        <v>0.30208333333333331</v>
      </c>
      <c r="D1355" t="s">
        <v>74</v>
      </c>
      <c r="E1355" t="s">
        <v>104</v>
      </c>
      <c r="F1355" t="s">
        <v>81</v>
      </c>
      <c r="G1355" t="s">
        <v>44</v>
      </c>
      <c r="H1355" s="2">
        <v>0.30416666666666664</v>
      </c>
      <c r="I1355" s="2">
        <v>0.34166666666666667</v>
      </c>
      <c r="J1355">
        <v>5</v>
      </c>
      <c r="K1355">
        <v>20</v>
      </c>
      <c r="L1355" t="s">
        <v>38</v>
      </c>
      <c r="M1355">
        <v>13.4</v>
      </c>
      <c r="N1355">
        <v>52</v>
      </c>
      <c r="O1355">
        <v>24</v>
      </c>
      <c r="P1355">
        <v>16.600000000000001</v>
      </c>
      <c r="Q1355" t="s">
        <v>31</v>
      </c>
      <c r="R1355">
        <v>10000</v>
      </c>
      <c r="S1355">
        <v>77</v>
      </c>
      <c r="T1355">
        <v>1</v>
      </c>
      <c r="U1355">
        <v>0</v>
      </c>
      <c r="V1355">
        <v>6</v>
      </c>
      <c r="W1355" t="s">
        <v>32</v>
      </c>
      <c r="X1355">
        <v>1</v>
      </c>
      <c r="Y1355" t="str">
        <f t="shared" si="21"/>
        <v>High</v>
      </c>
    </row>
    <row r="1356" spans="1:25">
      <c r="A1356" t="s">
        <v>1469</v>
      </c>
      <c r="B1356" s="1">
        <v>44941</v>
      </c>
      <c r="C1356" s="2">
        <v>0.3125</v>
      </c>
      <c r="D1356" t="s">
        <v>74</v>
      </c>
      <c r="E1356" t="s">
        <v>126</v>
      </c>
      <c r="F1356" t="s">
        <v>163</v>
      </c>
      <c r="G1356" t="s">
        <v>29</v>
      </c>
      <c r="H1356" s="2">
        <v>0.31458333333333333</v>
      </c>
      <c r="I1356" s="2">
        <v>0.3263888888888889</v>
      </c>
      <c r="J1356">
        <v>-2</v>
      </c>
      <c r="K1356">
        <v>28</v>
      </c>
      <c r="L1356" t="s">
        <v>54</v>
      </c>
      <c r="M1356">
        <v>6</v>
      </c>
      <c r="N1356">
        <v>87</v>
      </c>
      <c r="O1356">
        <v>44</v>
      </c>
      <c r="P1356">
        <v>19.3</v>
      </c>
      <c r="Q1356" t="s">
        <v>59</v>
      </c>
      <c r="R1356">
        <v>10000</v>
      </c>
      <c r="S1356">
        <v>71</v>
      </c>
      <c r="T1356">
        <v>0</v>
      </c>
      <c r="U1356">
        <v>0</v>
      </c>
      <c r="V1356">
        <v>6</v>
      </c>
      <c r="W1356" t="s">
        <v>55</v>
      </c>
      <c r="X1356">
        <v>1</v>
      </c>
      <c r="Y1356" t="str">
        <f t="shared" si="21"/>
        <v>High</v>
      </c>
    </row>
    <row r="1357" spans="1:25">
      <c r="A1357" t="s">
        <v>1470</v>
      </c>
      <c r="B1357" s="1">
        <v>44941</v>
      </c>
      <c r="C1357" s="2">
        <v>0.32291666666666669</v>
      </c>
      <c r="D1357" t="s">
        <v>34</v>
      </c>
      <c r="E1357" t="s">
        <v>79</v>
      </c>
      <c r="F1357" t="s">
        <v>65</v>
      </c>
      <c r="G1357" t="s">
        <v>81</v>
      </c>
      <c r="H1357" s="2">
        <v>0.32291666666666669</v>
      </c>
      <c r="I1357" s="2">
        <v>0.33819444444444446</v>
      </c>
      <c r="J1357">
        <v>18</v>
      </c>
      <c r="K1357">
        <v>12</v>
      </c>
      <c r="L1357" t="s">
        <v>77</v>
      </c>
      <c r="M1357">
        <v>34.4</v>
      </c>
      <c r="N1357">
        <v>77</v>
      </c>
      <c r="O1357">
        <v>9</v>
      </c>
      <c r="P1357">
        <v>18.7</v>
      </c>
      <c r="Q1357" t="s">
        <v>31</v>
      </c>
      <c r="R1357">
        <v>10000</v>
      </c>
      <c r="S1357">
        <v>68</v>
      </c>
      <c r="T1357">
        <v>0</v>
      </c>
      <c r="U1357">
        <v>1</v>
      </c>
      <c r="V1357">
        <v>6</v>
      </c>
      <c r="W1357" t="s">
        <v>72</v>
      </c>
      <c r="X1357">
        <v>1</v>
      </c>
      <c r="Y1357" t="str">
        <f t="shared" si="21"/>
        <v>High</v>
      </c>
    </row>
    <row r="1358" spans="1:25">
      <c r="A1358" t="s">
        <v>1471</v>
      </c>
      <c r="B1358" s="1">
        <v>44941</v>
      </c>
      <c r="C1358" s="2">
        <v>0.33333333333333331</v>
      </c>
      <c r="D1358" t="s">
        <v>34</v>
      </c>
      <c r="E1358" t="s">
        <v>147</v>
      </c>
      <c r="F1358" t="s">
        <v>91</v>
      </c>
      <c r="G1358" t="s">
        <v>80</v>
      </c>
      <c r="H1358" s="2">
        <v>0.3347222222222222</v>
      </c>
      <c r="I1358" s="2">
        <v>0.37222222222222223</v>
      </c>
      <c r="J1358">
        <v>6</v>
      </c>
      <c r="K1358">
        <v>28</v>
      </c>
      <c r="L1358" t="s">
        <v>38</v>
      </c>
      <c r="M1358">
        <v>28</v>
      </c>
      <c r="N1358">
        <v>87</v>
      </c>
      <c r="O1358">
        <v>16</v>
      </c>
      <c r="P1358">
        <v>3.3</v>
      </c>
      <c r="Q1358" t="s">
        <v>71</v>
      </c>
      <c r="R1358">
        <v>500</v>
      </c>
      <c r="S1358">
        <v>4</v>
      </c>
      <c r="T1358">
        <v>0</v>
      </c>
      <c r="U1358">
        <v>1</v>
      </c>
      <c r="V1358">
        <v>6</v>
      </c>
      <c r="W1358" t="s">
        <v>55</v>
      </c>
      <c r="X1358">
        <v>1</v>
      </c>
      <c r="Y1358" t="str">
        <f t="shared" si="21"/>
        <v>Low</v>
      </c>
    </row>
    <row r="1359" spans="1:25">
      <c r="A1359" t="s">
        <v>1472</v>
      </c>
      <c r="B1359" s="1">
        <v>44941</v>
      </c>
      <c r="C1359" s="2">
        <v>0.34375</v>
      </c>
      <c r="D1359" t="s">
        <v>26</v>
      </c>
      <c r="E1359" t="s">
        <v>48</v>
      </c>
      <c r="F1359" t="s">
        <v>105</v>
      </c>
      <c r="G1359" t="s">
        <v>116</v>
      </c>
      <c r="H1359" s="2">
        <v>0.34513888888888888</v>
      </c>
      <c r="I1359" s="2">
        <v>0.37222222222222223</v>
      </c>
      <c r="J1359">
        <v>9</v>
      </c>
      <c r="K1359">
        <v>17</v>
      </c>
      <c r="L1359" t="s">
        <v>77</v>
      </c>
      <c r="M1359">
        <v>34.799999999999997</v>
      </c>
      <c r="N1359">
        <v>86</v>
      </c>
      <c r="O1359">
        <v>2</v>
      </c>
      <c r="P1359">
        <v>0.3</v>
      </c>
      <c r="Q1359" t="s">
        <v>31</v>
      </c>
      <c r="R1359">
        <v>0</v>
      </c>
      <c r="S1359">
        <v>4</v>
      </c>
      <c r="T1359">
        <v>0</v>
      </c>
      <c r="U1359">
        <v>0</v>
      </c>
      <c r="V1359">
        <v>6</v>
      </c>
      <c r="W1359" t="s">
        <v>55</v>
      </c>
      <c r="X1359">
        <v>1</v>
      </c>
      <c r="Y1359" t="str">
        <f t="shared" si="21"/>
        <v>Low</v>
      </c>
    </row>
    <row r="1360" spans="1:25">
      <c r="A1360" t="s">
        <v>1473</v>
      </c>
      <c r="B1360" s="1">
        <v>44941</v>
      </c>
      <c r="C1360" s="2">
        <v>0.35416666666666669</v>
      </c>
      <c r="D1360" t="s">
        <v>34</v>
      </c>
      <c r="E1360" t="s">
        <v>61</v>
      </c>
      <c r="F1360" t="s">
        <v>49</v>
      </c>
      <c r="G1360" t="s">
        <v>65</v>
      </c>
      <c r="H1360" s="2">
        <v>0.35486111111111113</v>
      </c>
      <c r="I1360" s="2">
        <v>0.37916666666666665</v>
      </c>
      <c r="J1360">
        <v>19</v>
      </c>
      <c r="K1360">
        <v>8</v>
      </c>
      <c r="L1360" t="s">
        <v>54</v>
      </c>
      <c r="M1360">
        <v>1.7</v>
      </c>
      <c r="N1360">
        <v>68</v>
      </c>
      <c r="O1360">
        <v>44</v>
      </c>
      <c r="P1360">
        <v>8.8000000000000007</v>
      </c>
      <c r="Q1360" t="s">
        <v>46</v>
      </c>
      <c r="R1360">
        <v>0</v>
      </c>
      <c r="S1360">
        <v>90</v>
      </c>
      <c r="T1360">
        <v>0</v>
      </c>
      <c r="U1360">
        <v>1</v>
      </c>
      <c r="V1360">
        <v>6</v>
      </c>
      <c r="W1360" t="s">
        <v>32</v>
      </c>
      <c r="X1360">
        <v>1</v>
      </c>
      <c r="Y1360" t="str">
        <f t="shared" si="21"/>
        <v>High</v>
      </c>
    </row>
    <row r="1361" spans="1:25">
      <c r="A1361" t="s">
        <v>1474</v>
      </c>
      <c r="B1361" s="1">
        <v>44941</v>
      </c>
      <c r="C1361" s="2">
        <v>0.36458333333333331</v>
      </c>
      <c r="D1361" t="s">
        <v>26</v>
      </c>
      <c r="E1361" t="s">
        <v>48</v>
      </c>
      <c r="F1361" t="s">
        <v>163</v>
      </c>
      <c r="G1361" t="s">
        <v>86</v>
      </c>
      <c r="H1361" s="2">
        <v>0.36666666666666664</v>
      </c>
      <c r="I1361" s="2">
        <v>0.38750000000000001</v>
      </c>
      <c r="J1361">
        <v>5</v>
      </c>
      <c r="K1361">
        <v>17</v>
      </c>
      <c r="L1361" t="s">
        <v>30</v>
      </c>
      <c r="M1361">
        <v>0.8</v>
      </c>
      <c r="N1361">
        <v>57</v>
      </c>
      <c r="O1361">
        <v>21</v>
      </c>
      <c r="P1361">
        <v>14.6</v>
      </c>
      <c r="Q1361" t="s">
        <v>101</v>
      </c>
      <c r="R1361">
        <v>2000</v>
      </c>
      <c r="S1361">
        <v>68</v>
      </c>
      <c r="T1361">
        <v>0</v>
      </c>
      <c r="U1361">
        <v>0</v>
      </c>
      <c r="V1361">
        <v>6</v>
      </c>
      <c r="W1361" t="s">
        <v>72</v>
      </c>
      <c r="X1361">
        <v>1</v>
      </c>
      <c r="Y1361" t="str">
        <f t="shared" si="21"/>
        <v>High</v>
      </c>
    </row>
    <row r="1362" spans="1:25">
      <c r="A1362" t="s">
        <v>1475</v>
      </c>
      <c r="B1362" s="1">
        <v>44941</v>
      </c>
      <c r="C1362" s="2">
        <v>0.375</v>
      </c>
      <c r="D1362" t="s">
        <v>74</v>
      </c>
      <c r="E1362" t="s">
        <v>147</v>
      </c>
      <c r="F1362" t="s">
        <v>128</v>
      </c>
      <c r="G1362" t="s">
        <v>109</v>
      </c>
      <c r="H1362" s="2">
        <v>0.37638888888888888</v>
      </c>
      <c r="I1362" s="2">
        <v>0.41249999999999998</v>
      </c>
      <c r="J1362">
        <v>14</v>
      </c>
      <c r="K1362">
        <v>17</v>
      </c>
      <c r="L1362" t="s">
        <v>54</v>
      </c>
      <c r="M1362">
        <v>15.1</v>
      </c>
      <c r="N1362">
        <v>93</v>
      </c>
      <c r="O1362">
        <v>37</v>
      </c>
      <c r="P1362">
        <v>19.5</v>
      </c>
      <c r="Q1362" t="s">
        <v>31</v>
      </c>
      <c r="R1362">
        <v>0</v>
      </c>
      <c r="S1362">
        <v>2</v>
      </c>
      <c r="T1362">
        <v>0</v>
      </c>
      <c r="U1362">
        <v>0</v>
      </c>
      <c r="V1362">
        <v>6</v>
      </c>
      <c r="W1362" t="s">
        <v>39</v>
      </c>
      <c r="X1362">
        <v>1</v>
      </c>
      <c r="Y1362" t="str">
        <f t="shared" si="21"/>
        <v>Low</v>
      </c>
    </row>
    <row r="1363" spans="1:25">
      <c r="A1363" t="s">
        <v>1476</v>
      </c>
      <c r="B1363" s="1">
        <v>44941</v>
      </c>
      <c r="C1363" s="2">
        <v>0.38541666666666669</v>
      </c>
      <c r="D1363" t="s">
        <v>74</v>
      </c>
      <c r="E1363" t="s">
        <v>35</v>
      </c>
      <c r="F1363" t="s">
        <v>128</v>
      </c>
      <c r="G1363" t="s">
        <v>36</v>
      </c>
      <c r="H1363" s="2">
        <v>0.38680555555555557</v>
      </c>
      <c r="I1363" s="2">
        <v>0.40763888888888888</v>
      </c>
      <c r="J1363">
        <v>7</v>
      </c>
      <c r="K1363">
        <v>2</v>
      </c>
      <c r="L1363" t="s">
        <v>77</v>
      </c>
      <c r="M1363">
        <v>20.5</v>
      </c>
      <c r="N1363">
        <v>91</v>
      </c>
      <c r="O1363">
        <v>13</v>
      </c>
      <c r="P1363">
        <v>15.7</v>
      </c>
      <c r="Q1363" t="s">
        <v>59</v>
      </c>
      <c r="R1363">
        <v>2000</v>
      </c>
      <c r="S1363">
        <v>37</v>
      </c>
      <c r="T1363">
        <v>0</v>
      </c>
      <c r="U1363">
        <v>0</v>
      </c>
      <c r="V1363">
        <v>6</v>
      </c>
      <c r="W1363" t="s">
        <v>55</v>
      </c>
      <c r="X1363">
        <v>0</v>
      </c>
      <c r="Y1363" t="str">
        <f t="shared" si="21"/>
        <v>Medium</v>
      </c>
    </row>
    <row r="1364" spans="1:25">
      <c r="A1364" t="s">
        <v>1477</v>
      </c>
      <c r="B1364" s="1">
        <v>44941</v>
      </c>
      <c r="C1364" s="2">
        <v>0.39583333333333331</v>
      </c>
      <c r="D1364" t="s">
        <v>41</v>
      </c>
      <c r="E1364" t="s">
        <v>98</v>
      </c>
      <c r="F1364" t="s">
        <v>197</v>
      </c>
      <c r="G1364" t="s">
        <v>36</v>
      </c>
      <c r="H1364" s="2">
        <v>0.39791666666666664</v>
      </c>
      <c r="I1364" s="2">
        <v>0.43333333333333335</v>
      </c>
      <c r="J1364">
        <v>4</v>
      </c>
      <c r="K1364">
        <v>5</v>
      </c>
      <c r="L1364" t="s">
        <v>38</v>
      </c>
      <c r="M1364">
        <v>1.8</v>
      </c>
      <c r="N1364">
        <v>91</v>
      </c>
      <c r="O1364">
        <v>26</v>
      </c>
      <c r="P1364">
        <v>11.6</v>
      </c>
      <c r="Q1364" t="s">
        <v>46</v>
      </c>
      <c r="R1364">
        <v>0</v>
      </c>
      <c r="S1364">
        <v>93</v>
      </c>
      <c r="T1364">
        <v>0</v>
      </c>
      <c r="U1364">
        <v>1</v>
      </c>
      <c r="V1364">
        <v>6</v>
      </c>
      <c r="W1364" t="s">
        <v>32</v>
      </c>
      <c r="X1364">
        <v>0</v>
      </c>
      <c r="Y1364" t="str">
        <f t="shared" si="21"/>
        <v>High</v>
      </c>
    </row>
    <row r="1365" spans="1:25">
      <c r="A1365" t="s">
        <v>1478</v>
      </c>
      <c r="B1365" s="1">
        <v>44941</v>
      </c>
      <c r="C1365" s="2">
        <v>0.40625</v>
      </c>
      <c r="D1365" t="s">
        <v>74</v>
      </c>
      <c r="E1365" t="s">
        <v>52</v>
      </c>
      <c r="F1365" t="s">
        <v>70</v>
      </c>
      <c r="G1365" t="s">
        <v>80</v>
      </c>
      <c r="H1365" s="2">
        <v>0.40902777777777777</v>
      </c>
      <c r="I1365" s="2">
        <v>0.42083333333333334</v>
      </c>
      <c r="J1365">
        <v>16</v>
      </c>
      <c r="K1365">
        <v>-3</v>
      </c>
      <c r="L1365" t="s">
        <v>45</v>
      </c>
      <c r="M1365">
        <v>29.4</v>
      </c>
      <c r="N1365">
        <v>55</v>
      </c>
      <c r="O1365">
        <v>41</v>
      </c>
      <c r="P1365">
        <v>0.5</v>
      </c>
      <c r="Q1365" t="s">
        <v>46</v>
      </c>
      <c r="R1365">
        <v>0</v>
      </c>
      <c r="S1365">
        <v>0</v>
      </c>
      <c r="T1365">
        <v>0</v>
      </c>
      <c r="U1365">
        <v>0</v>
      </c>
      <c r="V1365">
        <v>6</v>
      </c>
      <c r="W1365" t="s">
        <v>39</v>
      </c>
      <c r="X1365">
        <v>0</v>
      </c>
      <c r="Y1365" t="str">
        <f t="shared" si="21"/>
        <v>Low</v>
      </c>
    </row>
    <row r="1366" spans="1:25">
      <c r="A1366" t="s">
        <v>1479</v>
      </c>
      <c r="B1366" s="1">
        <v>44941</v>
      </c>
      <c r="C1366" s="2">
        <v>0.41666666666666669</v>
      </c>
      <c r="D1366" t="s">
        <v>34</v>
      </c>
      <c r="E1366" t="s">
        <v>89</v>
      </c>
      <c r="F1366" t="s">
        <v>36</v>
      </c>
      <c r="G1366" t="s">
        <v>151</v>
      </c>
      <c r="H1366" s="2">
        <v>0.41805555555555557</v>
      </c>
      <c r="I1366" s="2">
        <v>0.43888888888888888</v>
      </c>
      <c r="J1366">
        <v>3</v>
      </c>
      <c r="K1366">
        <v>8</v>
      </c>
      <c r="L1366" t="s">
        <v>77</v>
      </c>
      <c r="M1366">
        <v>16.3</v>
      </c>
      <c r="N1366">
        <v>80</v>
      </c>
      <c r="O1366">
        <v>19</v>
      </c>
      <c r="P1366">
        <v>16.5</v>
      </c>
      <c r="Q1366" t="s">
        <v>46</v>
      </c>
      <c r="R1366">
        <v>0</v>
      </c>
      <c r="S1366">
        <v>7</v>
      </c>
      <c r="T1366">
        <v>0</v>
      </c>
      <c r="U1366">
        <v>1</v>
      </c>
      <c r="V1366">
        <v>6</v>
      </c>
      <c r="W1366" t="s">
        <v>32</v>
      </c>
      <c r="X1366">
        <v>1</v>
      </c>
      <c r="Y1366" t="str">
        <f t="shared" si="21"/>
        <v>Low</v>
      </c>
    </row>
    <row r="1367" spans="1:25">
      <c r="A1367" t="s">
        <v>1480</v>
      </c>
      <c r="B1367" s="1">
        <v>44941</v>
      </c>
      <c r="C1367" s="2">
        <v>0.42708333333333331</v>
      </c>
      <c r="D1367" t="s">
        <v>74</v>
      </c>
      <c r="E1367" t="s">
        <v>157</v>
      </c>
      <c r="F1367" t="s">
        <v>65</v>
      </c>
      <c r="G1367" t="s">
        <v>194</v>
      </c>
      <c r="H1367" s="2">
        <v>0.42708333333333331</v>
      </c>
      <c r="I1367" s="2">
        <v>0.4513888888888889</v>
      </c>
      <c r="J1367">
        <v>18</v>
      </c>
      <c r="K1367">
        <v>10</v>
      </c>
      <c r="L1367" t="s">
        <v>84</v>
      </c>
      <c r="M1367">
        <v>11.4</v>
      </c>
      <c r="N1367">
        <v>79</v>
      </c>
      <c r="O1367">
        <v>47</v>
      </c>
      <c r="P1367">
        <v>3.5</v>
      </c>
      <c r="Q1367" t="s">
        <v>31</v>
      </c>
      <c r="R1367">
        <v>0</v>
      </c>
      <c r="S1367">
        <v>12</v>
      </c>
      <c r="T1367">
        <v>0</v>
      </c>
      <c r="U1367">
        <v>0</v>
      </c>
      <c r="V1367">
        <v>6</v>
      </c>
      <c r="W1367" t="s">
        <v>32</v>
      </c>
      <c r="X1367">
        <v>1</v>
      </c>
      <c r="Y1367" t="str">
        <f t="shared" si="21"/>
        <v>Low</v>
      </c>
    </row>
    <row r="1368" spans="1:25">
      <c r="A1368" t="s">
        <v>1481</v>
      </c>
      <c r="B1368" s="1">
        <v>44941</v>
      </c>
      <c r="C1368" s="2">
        <v>0.4375</v>
      </c>
      <c r="D1368" t="s">
        <v>26</v>
      </c>
      <c r="E1368" t="s">
        <v>61</v>
      </c>
      <c r="F1368" t="s">
        <v>197</v>
      </c>
      <c r="G1368" t="s">
        <v>113</v>
      </c>
      <c r="H1368" s="2">
        <v>0.43819444444444444</v>
      </c>
      <c r="I1368" s="2">
        <v>0.46319444444444446</v>
      </c>
      <c r="J1368">
        <v>16</v>
      </c>
      <c r="K1368">
        <v>2</v>
      </c>
      <c r="L1368" t="s">
        <v>45</v>
      </c>
      <c r="M1368">
        <v>19.100000000000001</v>
      </c>
      <c r="N1368">
        <v>65</v>
      </c>
      <c r="O1368">
        <v>17</v>
      </c>
      <c r="P1368">
        <v>1.1000000000000001</v>
      </c>
      <c r="Q1368" t="s">
        <v>31</v>
      </c>
      <c r="R1368">
        <v>0</v>
      </c>
      <c r="S1368">
        <v>83</v>
      </c>
      <c r="T1368">
        <v>0</v>
      </c>
      <c r="U1368">
        <v>0</v>
      </c>
      <c r="V1368">
        <v>6</v>
      </c>
      <c r="W1368" t="s">
        <v>32</v>
      </c>
      <c r="X1368">
        <v>0</v>
      </c>
      <c r="Y1368" t="str">
        <f t="shared" si="21"/>
        <v>High</v>
      </c>
    </row>
    <row r="1369" spans="1:25">
      <c r="A1369" t="s">
        <v>1482</v>
      </c>
      <c r="B1369" s="1">
        <v>44941</v>
      </c>
      <c r="C1369" s="2">
        <v>0.44791666666666669</v>
      </c>
      <c r="D1369" t="s">
        <v>74</v>
      </c>
      <c r="E1369" t="s">
        <v>52</v>
      </c>
      <c r="F1369" t="s">
        <v>122</v>
      </c>
      <c r="G1369" t="s">
        <v>62</v>
      </c>
      <c r="H1369" s="2">
        <v>0.44930555555555557</v>
      </c>
      <c r="I1369" s="2">
        <v>0.46597222222222223</v>
      </c>
      <c r="J1369">
        <v>15</v>
      </c>
      <c r="K1369">
        <v>-3</v>
      </c>
      <c r="L1369" t="s">
        <v>77</v>
      </c>
      <c r="M1369">
        <v>20.399999999999999</v>
      </c>
      <c r="N1369">
        <v>55</v>
      </c>
      <c r="O1369">
        <v>12</v>
      </c>
      <c r="P1369">
        <v>17</v>
      </c>
      <c r="Q1369" t="s">
        <v>63</v>
      </c>
      <c r="R1369">
        <v>10000</v>
      </c>
      <c r="S1369">
        <v>69</v>
      </c>
      <c r="T1369">
        <v>0</v>
      </c>
      <c r="U1369">
        <v>0</v>
      </c>
      <c r="V1369">
        <v>6</v>
      </c>
      <c r="W1369" t="s">
        <v>55</v>
      </c>
      <c r="X1369">
        <v>0</v>
      </c>
      <c r="Y1369" t="str">
        <f t="shared" si="21"/>
        <v>High</v>
      </c>
    </row>
    <row r="1370" spans="1:25">
      <c r="A1370" t="s">
        <v>1483</v>
      </c>
      <c r="B1370" s="1">
        <v>44941</v>
      </c>
      <c r="C1370" s="2">
        <v>0.45833333333333331</v>
      </c>
      <c r="D1370" t="s">
        <v>41</v>
      </c>
      <c r="E1370" t="s">
        <v>89</v>
      </c>
      <c r="F1370" t="s">
        <v>49</v>
      </c>
      <c r="G1370" t="s">
        <v>123</v>
      </c>
      <c r="H1370" s="2">
        <v>0.4597222222222222</v>
      </c>
      <c r="I1370" s="2">
        <v>0.49652777777777779</v>
      </c>
      <c r="J1370">
        <v>12</v>
      </c>
      <c r="K1370">
        <v>18</v>
      </c>
      <c r="L1370" t="s">
        <v>84</v>
      </c>
      <c r="M1370">
        <v>-3.3</v>
      </c>
      <c r="N1370">
        <v>62</v>
      </c>
      <c r="O1370">
        <v>41</v>
      </c>
      <c r="P1370">
        <v>11.3</v>
      </c>
      <c r="Q1370" t="s">
        <v>31</v>
      </c>
      <c r="R1370">
        <v>0</v>
      </c>
      <c r="S1370">
        <v>49</v>
      </c>
      <c r="T1370">
        <v>0</v>
      </c>
      <c r="U1370">
        <v>1</v>
      </c>
      <c r="V1370">
        <v>6</v>
      </c>
      <c r="W1370" t="s">
        <v>39</v>
      </c>
      <c r="X1370">
        <v>1</v>
      </c>
      <c r="Y1370" t="str">
        <f t="shared" si="21"/>
        <v>Medium</v>
      </c>
    </row>
    <row r="1371" spans="1:25">
      <c r="A1371" t="s">
        <v>1484</v>
      </c>
      <c r="B1371" s="1">
        <v>44941</v>
      </c>
      <c r="C1371" s="2">
        <v>0.46875</v>
      </c>
      <c r="D1371" t="s">
        <v>74</v>
      </c>
      <c r="E1371" t="s">
        <v>27</v>
      </c>
      <c r="F1371" t="s">
        <v>96</v>
      </c>
      <c r="G1371" t="s">
        <v>163</v>
      </c>
      <c r="H1371" s="2">
        <v>0.47152777777777777</v>
      </c>
      <c r="I1371" s="2">
        <v>0.50277777777777777</v>
      </c>
      <c r="J1371">
        <v>-1</v>
      </c>
      <c r="K1371">
        <v>7</v>
      </c>
      <c r="L1371" t="s">
        <v>54</v>
      </c>
      <c r="M1371">
        <v>35</v>
      </c>
      <c r="N1371">
        <v>97</v>
      </c>
      <c r="O1371">
        <v>5</v>
      </c>
      <c r="P1371">
        <v>2.6</v>
      </c>
      <c r="Q1371" t="s">
        <v>63</v>
      </c>
      <c r="R1371">
        <v>0</v>
      </c>
      <c r="S1371">
        <v>7</v>
      </c>
      <c r="T1371">
        <v>0</v>
      </c>
      <c r="U1371">
        <v>0</v>
      </c>
      <c r="V1371">
        <v>6</v>
      </c>
      <c r="W1371" t="s">
        <v>55</v>
      </c>
      <c r="X1371">
        <v>1</v>
      </c>
      <c r="Y1371" t="str">
        <f t="shared" si="21"/>
        <v>Low</v>
      </c>
    </row>
    <row r="1372" spans="1:25">
      <c r="A1372" t="s">
        <v>1485</v>
      </c>
      <c r="B1372" s="1">
        <v>44941</v>
      </c>
      <c r="C1372" s="2">
        <v>0.47916666666666669</v>
      </c>
      <c r="D1372" t="s">
        <v>26</v>
      </c>
      <c r="E1372" t="s">
        <v>27</v>
      </c>
      <c r="F1372" t="s">
        <v>86</v>
      </c>
      <c r="G1372" t="s">
        <v>43</v>
      </c>
      <c r="H1372" s="2">
        <v>0.47916666666666669</v>
      </c>
      <c r="I1372" s="2">
        <v>0.49722222222222223</v>
      </c>
      <c r="J1372">
        <v>11</v>
      </c>
      <c r="K1372">
        <v>-1</v>
      </c>
      <c r="L1372" t="s">
        <v>45</v>
      </c>
      <c r="M1372">
        <v>9.6</v>
      </c>
      <c r="N1372">
        <v>37</v>
      </c>
      <c r="O1372">
        <v>9</v>
      </c>
      <c r="P1372">
        <v>7.7</v>
      </c>
      <c r="Q1372" t="s">
        <v>31</v>
      </c>
      <c r="R1372">
        <v>0</v>
      </c>
      <c r="S1372">
        <v>29</v>
      </c>
      <c r="T1372">
        <v>0</v>
      </c>
      <c r="U1372">
        <v>1</v>
      </c>
      <c r="V1372">
        <v>6</v>
      </c>
      <c r="W1372" t="s">
        <v>55</v>
      </c>
      <c r="X1372">
        <v>0</v>
      </c>
      <c r="Y1372" t="str">
        <f t="shared" si="21"/>
        <v>Low</v>
      </c>
    </row>
    <row r="1373" spans="1:25">
      <c r="A1373" t="s">
        <v>1486</v>
      </c>
      <c r="B1373" s="1">
        <v>44941</v>
      </c>
      <c r="C1373" s="2">
        <v>0.48958333333333331</v>
      </c>
      <c r="D1373" t="s">
        <v>26</v>
      </c>
      <c r="E1373" t="s">
        <v>42</v>
      </c>
      <c r="F1373" t="s">
        <v>99</v>
      </c>
      <c r="G1373" t="s">
        <v>62</v>
      </c>
      <c r="H1373" s="2">
        <v>0.49027777777777776</v>
      </c>
      <c r="I1373" s="2">
        <v>0.5131944444444444</v>
      </c>
      <c r="J1373">
        <v>18</v>
      </c>
      <c r="K1373">
        <v>2</v>
      </c>
      <c r="L1373" t="s">
        <v>77</v>
      </c>
      <c r="M1373">
        <v>-2.5</v>
      </c>
      <c r="N1373">
        <v>95</v>
      </c>
      <c r="O1373">
        <v>36</v>
      </c>
      <c r="P1373">
        <v>1.7</v>
      </c>
      <c r="Q1373" t="s">
        <v>31</v>
      </c>
      <c r="R1373">
        <v>0</v>
      </c>
      <c r="S1373">
        <v>39</v>
      </c>
      <c r="T1373">
        <v>0</v>
      </c>
      <c r="U1373">
        <v>0</v>
      </c>
      <c r="V1373">
        <v>6</v>
      </c>
      <c r="W1373" t="s">
        <v>72</v>
      </c>
      <c r="X1373">
        <v>0</v>
      </c>
      <c r="Y1373" t="str">
        <f t="shared" si="21"/>
        <v>Medium</v>
      </c>
    </row>
    <row r="1374" spans="1:25">
      <c r="A1374" t="s">
        <v>1487</v>
      </c>
      <c r="B1374" s="1">
        <v>44941</v>
      </c>
      <c r="C1374" s="2">
        <v>0.5</v>
      </c>
      <c r="D1374" t="s">
        <v>34</v>
      </c>
      <c r="E1374" t="s">
        <v>111</v>
      </c>
      <c r="F1374" t="s">
        <v>58</v>
      </c>
      <c r="G1374" t="s">
        <v>96</v>
      </c>
      <c r="H1374" s="2">
        <v>0.50138888888888888</v>
      </c>
      <c r="I1374" s="2">
        <v>0.54097222222222219</v>
      </c>
      <c r="J1374">
        <v>7</v>
      </c>
      <c r="K1374">
        <v>2</v>
      </c>
      <c r="L1374" t="s">
        <v>30</v>
      </c>
      <c r="M1374">
        <v>29.1</v>
      </c>
      <c r="N1374">
        <v>52</v>
      </c>
      <c r="O1374">
        <v>28</v>
      </c>
      <c r="P1374">
        <v>12.8</v>
      </c>
      <c r="Q1374" t="s">
        <v>71</v>
      </c>
      <c r="R1374">
        <v>0</v>
      </c>
      <c r="S1374">
        <v>78</v>
      </c>
      <c r="T1374">
        <v>0</v>
      </c>
      <c r="U1374">
        <v>0</v>
      </c>
      <c r="V1374">
        <v>6</v>
      </c>
      <c r="W1374" t="s">
        <v>39</v>
      </c>
      <c r="X1374">
        <v>0</v>
      </c>
      <c r="Y1374" t="str">
        <f t="shared" si="21"/>
        <v>High</v>
      </c>
    </row>
    <row r="1375" spans="1:25">
      <c r="A1375" t="s">
        <v>1488</v>
      </c>
      <c r="B1375" s="1">
        <v>44941</v>
      </c>
      <c r="C1375" s="2">
        <v>0.51041666666666663</v>
      </c>
      <c r="D1375" t="s">
        <v>74</v>
      </c>
      <c r="E1375" t="s">
        <v>52</v>
      </c>
      <c r="F1375" t="s">
        <v>100</v>
      </c>
      <c r="G1375" t="s">
        <v>81</v>
      </c>
      <c r="H1375" s="2">
        <v>0.51111111111111107</v>
      </c>
      <c r="I1375" s="2">
        <v>0.53680555555555554</v>
      </c>
      <c r="J1375">
        <v>13</v>
      </c>
      <c r="K1375">
        <v>16</v>
      </c>
      <c r="L1375" t="s">
        <v>54</v>
      </c>
      <c r="M1375">
        <v>34.700000000000003</v>
      </c>
      <c r="N1375">
        <v>99</v>
      </c>
      <c r="O1375">
        <v>5</v>
      </c>
      <c r="P1375">
        <v>5.6</v>
      </c>
      <c r="Q1375" t="s">
        <v>59</v>
      </c>
      <c r="R1375">
        <v>2000</v>
      </c>
      <c r="S1375">
        <v>73</v>
      </c>
      <c r="T1375">
        <v>0</v>
      </c>
      <c r="U1375">
        <v>1</v>
      </c>
      <c r="V1375">
        <v>6</v>
      </c>
      <c r="W1375" t="s">
        <v>72</v>
      </c>
      <c r="X1375">
        <v>1</v>
      </c>
      <c r="Y1375" t="str">
        <f t="shared" si="21"/>
        <v>High</v>
      </c>
    </row>
    <row r="1376" spans="1:25">
      <c r="A1376" t="s">
        <v>1489</v>
      </c>
      <c r="B1376" s="1">
        <v>44941</v>
      </c>
      <c r="C1376" s="2">
        <v>0.52083333333333337</v>
      </c>
      <c r="D1376" t="s">
        <v>26</v>
      </c>
      <c r="E1376" t="s">
        <v>79</v>
      </c>
      <c r="F1376" t="s">
        <v>62</v>
      </c>
      <c r="G1376" t="s">
        <v>43</v>
      </c>
      <c r="H1376" s="2">
        <v>0.5229166666666667</v>
      </c>
      <c r="I1376" s="2">
        <v>0.55972222222222223</v>
      </c>
      <c r="J1376">
        <v>4</v>
      </c>
      <c r="K1376">
        <v>17</v>
      </c>
      <c r="L1376" t="s">
        <v>84</v>
      </c>
      <c r="M1376">
        <v>27.7</v>
      </c>
      <c r="N1376">
        <v>84</v>
      </c>
      <c r="O1376">
        <v>38</v>
      </c>
      <c r="P1376">
        <v>17.3</v>
      </c>
      <c r="Q1376" t="s">
        <v>31</v>
      </c>
      <c r="R1376">
        <v>10000</v>
      </c>
      <c r="S1376">
        <v>32</v>
      </c>
      <c r="T1376">
        <v>0</v>
      </c>
      <c r="U1376">
        <v>0</v>
      </c>
      <c r="V1376">
        <v>6</v>
      </c>
      <c r="W1376" t="s">
        <v>32</v>
      </c>
      <c r="X1376">
        <v>1</v>
      </c>
      <c r="Y1376" t="str">
        <f t="shared" si="21"/>
        <v>Low</v>
      </c>
    </row>
    <row r="1377" spans="1:25">
      <c r="A1377" t="s">
        <v>1490</v>
      </c>
      <c r="B1377" s="1">
        <v>44941</v>
      </c>
      <c r="C1377" s="2">
        <v>0.53125</v>
      </c>
      <c r="D1377" t="s">
        <v>41</v>
      </c>
      <c r="E1377" t="s">
        <v>98</v>
      </c>
      <c r="F1377" t="s">
        <v>81</v>
      </c>
      <c r="G1377" t="s">
        <v>90</v>
      </c>
      <c r="H1377" s="2">
        <v>0.53263888888888888</v>
      </c>
      <c r="I1377" s="2">
        <v>0.54583333333333328</v>
      </c>
      <c r="J1377">
        <v>5</v>
      </c>
      <c r="K1377">
        <v>-2</v>
      </c>
      <c r="L1377" t="s">
        <v>30</v>
      </c>
      <c r="M1377">
        <v>29.1</v>
      </c>
      <c r="N1377">
        <v>72</v>
      </c>
      <c r="O1377">
        <v>10</v>
      </c>
      <c r="P1377">
        <v>7.2</v>
      </c>
      <c r="Q1377" t="s">
        <v>31</v>
      </c>
      <c r="R1377">
        <v>10000</v>
      </c>
      <c r="S1377">
        <v>72</v>
      </c>
      <c r="T1377">
        <v>0</v>
      </c>
      <c r="U1377">
        <v>1</v>
      </c>
      <c r="V1377">
        <v>6</v>
      </c>
      <c r="W1377" t="s">
        <v>39</v>
      </c>
      <c r="X1377">
        <v>0</v>
      </c>
      <c r="Y1377" t="str">
        <f t="shared" si="21"/>
        <v>High</v>
      </c>
    </row>
    <row r="1378" spans="1:25">
      <c r="A1378" t="s">
        <v>1491</v>
      </c>
      <c r="B1378" s="1">
        <v>44941</v>
      </c>
      <c r="C1378" s="2">
        <v>0.54166666666666663</v>
      </c>
      <c r="D1378" t="s">
        <v>34</v>
      </c>
      <c r="E1378" t="s">
        <v>126</v>
      </c>
      <c r="F1378" t="s">
        <v>86</v>
      </c>
      <c r="G1378" t="s">
        <v>44</v>
      </c>
      <c r="H1378" s="2">
        <v>0.54305555555555551</v>
      </c>
      <c r="I1378" s="2">
        <v>0.56388888888888888</v>
      </c>
      <c r="J1378">
        <v>7</v>
      </c>
      <c r="K1378">
        <v>22</v>
      </c>
      <c r="L1378" t="s">
        <v>38</v>
      </c>
      <c r="M1378">
        <v>20</v>
      </c>
      <c r="N1378">
        <v>50</v>
      </c>
      <c r="O1378">
        <v>47</v>
      </c>
      <c r="P1378">
        <v>9.9</v>
      </c>
      <c r="Q1378" t="s">
        <v>46</v>
      </c>
      <c r="R1378">
        <v>0</v>
      </c>
      <c r="S1378">
        <v>51</v>
      </c>
      <c r="T1378">
        <v>0</v>
      </c>
      <c r="U1378">
        <v>0</v>
      </c>
      <c r="V1378">
        <v>6</v>
      </c>
      <c r="W1378" t="s">
        <v>39</v>
      </c>
      <c r="X1378">
        <v>1</v>
      </c>
      <c r="Y1378" t="str">
        <f t="shared" si="21"/>
        <v>Medium</v>
      </c>
    </row>
    <row r="1379" spans="1:25">
      <c r="A1379" t="s">
        <v>1492</v>
      </c>
      <c r="B1379" s="1">
        <v>44941</v>
      </c>
      <c r="C1379" s="2">
        <v>0.55208333333333337</v>
      </c>
      <c r="D1379" t="s">
        <v>41</v>
      </c>
      <c r="E1379" t="s">
        <v>68</v>
      </c>
      <c r="F1379" t="s">
        <v>43</v>
      </c>
      <c r="G1379" t="s">
        <v>118</v>
      </c>
      <c r="H1379" s="2">
        <v>0.5541666666666667</v>
      </c>
      <c r="I1379" s="2">
        <v>0.59305555555555556</v>
      </c>
      <c r="J1379">
        <v>12</v>
      </c>
      <c r="K1379">
        <v>27</v>
      </c>
      <c r="L1379" t="s">
        <v>54</v>
      </c>
      <c r="M1379">
        <v>31.9</v>
      </c>
      <c r="N1379">
        <v>51</v>
      </c>
      <c r="O1379">
        <v>24</v>
      </c>
      <c r="P1379">
        <v>1.3</v>
      </c>
      <c r="Q1379" t="s">
        <v>63</v>
      </c>
      <c r="R1379">
        <v>0</v>
      </c>
      <c r="S1379">
        <v>32</v>
      </c>
      <c r="T1379">
        <v>0</v>
      </c>
      <c r="U1379">
        <v>0</v>
      </c>
      <c r="V1379">
        <v>6</v>
      </c>
      <c r="W1379" t="s">
        <v>55</v>
      </c>
      <c r="X1379">
        <v>1</v>
      </c>
      <c r="Y1379" t="str">
        <f t="shared" si="21"/>
        <v>Low</v>
      </c>
    </row>
    <row r="1380" spans="1:25">
      <c r="A1380" t="s">
        <v>1493</v>
      </c>
      <c r="B1380" s="1">
        <v>44941</v>
      </c>
      <c r="C1380" s="2">
        <v>0.5625</v>
      </c>
      <c r="D1380" t="s">
        <v>74</v>
      </c>
      <c r="E1380" t="s">
        <v>35</v>
      </c>
      <c r="F1380" t="s">
        <v>58</v>
      </c>
      <c r="G1380" t="s">
        <v>109</v>
      </c>
      <c r="H1380" s="2">
        <v>0.56527777777777777</v>
      </c>
      <c r="I1380" s="2">
        <v>0.59722222222222221</v>
      </c>
      <c r="J1380">
        <v>5</v>
      </c>
      <c r="K1380">
        <v>22</v>
      </c>
      <c r="L1380" t="s">
        <v>54</v>
      </c>
      <c r="M1380">
        <v>-3.6</v>
      </c>
      <c r="N1380">
        <v>38</v>
      </c>
      <c r="O1380">
        <v>43</v>
      </c>
      <c r="P1380">
        <v>5.5</v>
      </c>
      <c r="Q1380" t="s">
        <v>71</v>
      </c>
      <c r="R1380">
        <v>10000</v>
      </c>
      <c r="S1380">
        <v>72</v>
      </c>
      <c r="T1380">
        <v>0</v>
      </c>
      <c r="U1380">
        <v>1</v>
      </c>
      <c r="V1380">
        <v>6</v>
      </c>
      <c r="W1380" t="s">
        <v>32</v>
      </c>
      <c r="X1380">
        <v>1</v>
      </c>
      <c r="Y1380" t="str">
        <f t="shared" si="21"/>
        <v>High</v>
      </c>
    </row>
    <row r="1381" spans="1:25">
      <c r="A1381" t="s">
        <v>1494</v>
      </c>
      <c r="B1381" s="1">
        <v>44941</v>
      </c>
      <c r="C1381" s="2">
        <v>0.57291666666666663</v>
      </c>
      <c r="D1381" t="s">
        <v>74</v>
      </c>
      <c r="E1381" t="s">
        <v>141</v>
      </c>
      <c r="F1381" t="s">
        <v>49</v>
      </c>
      <c r="G1381" t="s">
        <v>28</v>
      </c>
      <c r="H1381" s="2">
        <v>0.57430555555555551</v>
      </c>
      <c r="I1381" s="2">
        <v>0.59722222222222221</v>
      </c>
      <c r="J1381">
        <v>10</v>
      </c>
      <c r="K1381">
        <v>28</v>
      </c>
      <c r="L1381" t="s">
        <v>77</v>
      </c>
      <c r="M1381">
        <v>25.7</v>
      </c>
      <c r="N1381">
        <v>63</v>
      </c>
      <c r="O1381">
        <v>43</v>
      </c>
      <c r="P1381">
        <v>13.5</v>
      </c>
      <c r="Q1381" t="s">
        <v>31</v>
      </c>
      <c r="R1381">
        <v>0</v>
      </c>
      <c r="S1381">
        <v>77</v>
      </c>
      <c r="T1381">
        <v>0</v>
      </c>
      <c r="U1381">
        <v>1</v>
      </c>
      <c r="V1381">
        <v>6</v>
      </c>
      <c r="W1381" t="s">
        <v>55</v>
      </c>
      <c r="X1381">
        <v>1</v>
      </c>
      <c r="Y1381" t="str">
        <f t="shared" si="21"/>
        <v>High</v>
      </c>
    </row>
    <row r="1382" spans="1:25">
      <c r="A1382" t="s">
        <v>1495</v>
      </c>
      <c r="B1382" s="1">
        <v>44941</v>
      </c>
      <c r="C1382" s="2">
        <v>0.58333333333333337</v>
      </c>
      <c r="D1382" t="s">
        <v>74</v>
      </c>
      <c r="E1382" t="s">
        <v>104</v>
      </c>
      <c r="F1382" t="s">
        <v>163</v>
      </c>
      <c r="G1382" t="s">
        <v>163</v>
      </c>
      <c r="H1382" s="2">
        <v>0.58402777777777781</v>
      </c>
      <c r="I1382" s="2">
        <v>0.60069444444444442</v>
      </c>
      <c r="J1382">
        <v>9</v>
      </c>
      <c r="K1382">
        <v>6</v>
      </c>
      <c r="L1382" t="s">
        <v>77</v>
      </c>
      <c r="M1382">
        <v>21.8</v>
      </c>
      <c r="N1382">
        <v>88</v>
      </c>
      <c r="O1382">
        <v>29</v>
      </c>
      <c r="P1382">
        <v>14.7</v>
      </c>
      <c r="Q1382" t="s">
        <v>31</v>
      </c>
      <c r="R1382">
        <v>0</v>
      </c>
      <c r="S1382">
        <v>95</v>
      </c>
      <c r="T1382">
        <v>0</v>
      </c>
      <c r="U1382">
        <v>0</v>
      </c>
      <c r="V1382">
        <v>6</v>
      </c>
      <c r="W1382" t="s">
        <v>72</v>
      </c>
      <c r="X1382">
        <v>1</v>
      </c>
      <c r="Y1382" t="str">
        <f t="shared" si="21"/>
        <v>High</v>
      </c>
    </row>
    <row r="1383" spans="1:25">
      <c r="A1383" t="s">
        <v>1496</v>
      </c>
      <c r="B1383" s="1">
        <v>44941</v>
      </c>
      <c r="C1383" s="2">
        <v>0.59375</v>
      </c>
      <c r="D1383" t="s">
        <v>34</v>
      </c>
      <c r="E1383" t="s">
        <v>42</v>
      </c>
      <c r="F1383" t="s">
        <v>69</v>
      </c>
      <c r="G1383" t="s">
        <v>87</v>
      </c>
      <c r="H1383" s="2">
        <v>0.59375</v>
      </c>
      <c r="I1383" s="2">
        <v>0.62638888888888888</v>
      </c>
      <c r="J1383">
        <v>5</v>
      </c>
      <c r="K1383">
        <v>19</v>
      </c>
      <c r="L1383" t="s">
        <v>84</v>
      </c>
      <c r="M1383">
        <v>-3</v>
      </c>
      <c r="N1383">
        <v>55</v>
      </c>
      <c r="O1383">
        <v>54</v>
      </c>
      <c r="P1383">
        <v>4.9000000000000004</v>
      </c>
      <c r="Q1383" t="s">
        <v>101</v>
      </c>
      <c r="R1383">
        <v>10000</v>
      </c>
      <c r="S1383">
        <v>36</v>
      </c>
      <c r="T1383">
        <v>0</v>
      </c>
      <c r="U1383">
        <v>0</v>
      </c>
      <c r="V1383">
        <v>6</v>
      </c>
      <c r="W1383" t="s">
        <v>32</v>
      </c>
      <c r="X1383">
        <v>1</v>
      </c>
      <c r="Y1383" t="str">
        <f t="shared" si="21"/>
        <v>Medium</v>
      </c>
    </row>
    <row r="1384" spans="1:25">
      <c r="A1384" t="s">
        <v>1497</v>
      </c>
      <c r="B1384" s="1">
        <v>44941</v>
      </c>
      <c r="C1384" s="2">
        <v>0.60416666666666663</v>
      </c>
      <c r="D1384" t="s">
        <v>26</v>
      </c>
      <c r="E1384" t="s">
        <v>130</v>
      </c>
      <c r="F1384" t="s">
        <v>81</v>
      </c>
      <c r="G1384" t="s">
        <v>50</v>
      </c>
      <c r="H1384" s="2">
        <v>0.60486111111111107</v>
      </c>
      <c r="I1384" s="2">
        <v>0.63958333333333328</v>
      </c>
      <c r="J1384">
        <v>12</v>
      </c>
      <c r="K1384">
        <v>2</v>
      </c>
      <c r="L1384" t="s">
        <v>54</v>
      </c>
      <c r="M1384">
        <v>16.8</v>
      </c>
      <c r="N1384">
        <v>30</v>
      </c>
      <c r="O1384">
        <v>19</v>
      </c>
      <c r="P1384">
        <v>10.1</v>
      </c>
      <c r="Q1384" t="s">
        <v>31</v>
      </c>
      <c r="R1384">
        <v>2000</v>
      </c>
      <c r="S1384">
        <v>69</v>
      </c>
      <c r="T1384">
        <v>0</v>
      </c>
      <c r="U1384">
        <v>0</v>
      </c>
      <c r="V1384">
        <v>6</v>
      </c>
      <c r="W1384" t="s">
        <v>55</v>
      </c>
      <c r="X1384">
        <v>0</v>
      </c>
      <c r="Y1384" t="str">
        <f t="shared" si="21"/>
        <v>High</v>
      </c>
    </row>
    <row r="1385" spans="1:25">
      <c r="A1385" t="s">
        <v>1498</v>
      </c>
      <c r="B1385" s="1">
        <v>44941</v>
      </c>
      <c r="C1385" s="2">
        <v>0.61458333333333337</v>
      </c>
      <c r="D1385" t="s">
        <v>34</v>
      </c>
      <c r="E1385" t="s">
        <v>93</v>
      </c>
      <c r="F1385" t="s">
        <v>203</v>
      </c>
      <c r="G1385" t="s">
        <v>69</v>
      </c>
      <c r="H1385" s="2">
        <v>0.61736111111111114</v>
      </c>
      <c r="I1385" s="2">
        <v>0.63472222222222219</v>
      </c>
      <c r="J1385">
        <v>9</v>
      </c>
      <c r="K1385">
        <v>19</v>
      </c>
      <c r="L1385" t="s">
        <v>77</v>
      </c>
      <c r="M1385">
        <v>15.6</v>
      </c>
      <c r="N1385">
        <v>34</v>
      </c>
      <c r="O1385">
        <v>57</v>
      </c>
      <c r="P1385">
        <v>16.399999999999999</v>
      </c>
      <c r="Q1385" t="s">
        <v>31</v>
      </c>
      <c r="R1385">
        <v>0</v>
      </c>
      <c r="S1385">
        <v>68</v>
      </c>
      <c r="T1385">
        <v>0</v>
      </c>
      <c r="U1385">
        <v>0</v>
      </c>
      <c r="V1385">
        <v>6</v>
      </c>
      <c r="W1385" t="s">
        <v>55</v>
      </c>
      <c r="X1385">
        <v>1</v>
      </c>
      <c r="Y1385" t="str">
        <f t="shared" si="21"/>
        <v>High</v>
      </c>
    </row>
    <row r="1386" spans="1:25">
      <c r="A1386" t="s">
        <v>1499</v>
      </c>
      <c r="B1386" s="1">
        <v>44941</v>
      </c>
      <c r="C1386" s="2">
        <v>0.625</v>
      </c>
      <c r="D1386" t="s">
        <v>41</v>
      </c>
      <c r="E1386" t="s">
        <v>130</v>
      </c>
      <c r="F1386" t="s">
        <v>176</v>
      </c>
      <c r="G1386" t="s">
        <v>65</v>
      </c>
      <c r="H1386" s="2">
        <v>0.625</v>
      </c>
      <c r="I1386" s="2">
        <v>0.65069444444444446</v>
      </c>
      <c r="J1386">
        <v>8</v>
      </c>
      <c r="K1386">
        <v>24</v>
      </c>
      <c r="L1386" t="s">
        <v>38</v>
      </c>
      <c r="M1386">
        <v>22.7</v>
      </c>
      <c r="N1386">
        <v>70</v>
      </c>
      <c r="O1386">
        <v>36</v>
      </c>
      <c r="P1386">
        <v>7.6</v>
      </c>
      <c r="Q1386" t="s">
        <v>31</v>
      </c>
      <c r="R1386">
        <v>0</v>
      </c>
      <c r="S1386">
        <v>3</v>
      </c>
      <c r="T1386">
        <v>0</v>
      </c>
      <c r="U1386">
        <v>0</v>
      </c>
      <c r="V1386">
        <v>6</v>
      </c>
      <c r="W1386" t="s">
        <v>55</v>
      </c>
      <c r="X1386">
        <v>1</v>
      </c>
      <c r="Y1386" t="str">
        <f t="shared" si="21"/>
        <v>Low</v>
      </c>
    </row>
    <row r="1387" spans="1:25">
      <c r="A1387" t="s">
        <v>1500</v>
      </c>
      <c r="B1387" s="1">
        <v>44941</v>
      </c>
      <c r="C1387" s="2">
        <v>0.63541666666666663</v>
      </c>
      <c r="D1387" t="s">
        <v>34</v>
      </c>
      <c r="E1387" t="s">
        <v>79</v>
      </c>
      <c r="F1387" t="s">
        <v>100</v>
      </c>
      <c r="G1387" t="s">
        <v>142</v>
      </c>
      <c r="H1387" s="2">
        <v>0.63611111111111107</v>
      </c>
      <c r="I1387" s="2">
        <v>0.65138888888888891</v>
      </c>
      <c r="J1387">
        <v>16</v>
      </c>
      <c r="K1387">
        <v>26</v>
      </c>
      <c r="L1387" t="s">
        <v>77</v>
      </c>
      <c r="M1387">
        <v>-1.9</v>
      </c>
      <c r="N1387">
        <v>92</v>
      </c>
      <c r="O1387">
        <v>15</v>
      </c>
      <c r="P1387">
        <v>2.7</v>
      </c>
      <c r="Q1387" t="s">
        <v>31</v>
      </c>
      <c r="R1387">
        <v>0</v>
      </c>
      <c r="S1387">
        <v>59</v>
      </c>
      <c r="T1387">
        <v>1</v>
      </c>
      <c r="U1387">
        <v>0</v>
      </c>
      <c r="V1387">
        <v>6</v>
      </c>
      <c r="W1387" t="s">
        <v>32</v>
      </c>
      <c r="X1387">
        <v>1</v>
      </c>
      <c r="Y1387" t="str">
        <f t="shared" si="21"/>
        <v>Medium</v>
      </c>
    </row>
    <row r="1388" spans="1:25">
      <c r="A1388" t="s">
        <v>1501</v>
      </c>
      <c r="B1388" s="1">
        <v>44941</v>
      </c>
      <c r="C1388" s="2">
        <v>0.64583333333333337</v>
      </c>
      <c r="D1388" t="s">
        <v>41</v>
      </c>
      <c r="E1388" t="s">
        <v>147</v>
      </c>
      <c r="F1388" t="s">
        <v>194</v>
      </c>
      <c r="G1388" t="s">
        <v>75</v>
      </c>
      <c r="H1388" s="2">
        <v>0.64652777777777781</v>
      </c>
      <c r="I1388" s="2">
        <v>0.66527777777777775</v>
      </c>
      <c r="J1388">
        <v>11</v>
      </c>
      <c r="K1388">
        <v>10</v>
      </c>
      <c r="L1388" t="s">
        <v>54</v>
      </c>
      <c r="M1388">
        <v>27.2</v>
      </c>
      <c r="N1388">
        <v>51</v>
      </c>
      <c r="O1388">
        <v>30</v>
      </c>
      <c r="P1388">
        <v>8.6</v>
      </c>
      <c r="Q1388" t="s">
        <v>31</v>
      </c>
      <c r="R1388">
        <v>0</v>
      </c>
      <c r="S1388">
        <v>79</v>
      </c>
      <c r="T1388">
        <v>1</v>
      </c>
      <c r="U1388">
        <v>1</v>
      </c>
      <c r="V1388">
        <v>6</v>
      </c>
      <c r="W1388" t="s">
        <v>72</v>
      </c>
      <c r="X1388">
        <v>1</v>
      </c>
      <c r="Y1388" t="str">
        <f t="shared" si="21"/>
        <v>High</v>
      </c>
    </row>
    <row r="1389" spans="1:25">
      <c r="A1389" t="s">
        <v>1502</v>
      </c>
      <c r="B1389" s="1">
        <v>44941</v>
      </c>
      <c r="C1389" s="2">
        <v>0.65625</v>
      </c>
      <c r="D1389" t="s">
        <v>34</v>
      </c>
      <c r="E1389" t="s">
        <v>52</v>
      </c>
      <c r="F1389" t="s">
        <v>203</v>
      </c>
      <c r="G1389" t="s">
        <v>148</v>
      </c>
      <c r="H1389" s="2">
        <v>0.65833333333333333</v>
      </c>
      <c r="I1389" s="2">
        <v>0.6743055555555556</v>
      </c>
      <c r="J1389">
        <v>15</v>
      </c>
      <c r="K1389">
        <v>28</v>
      </c>
      <c r="L1389" t="s">
        <v>45</v>
      </c>
      <c r="M1389">
        <v>0.6</v>
      </c>
      <c r="N1389">
        <v>97</v>
      </c>
      <c r="O1389">
        <v>28</v>
      </c>
      <c r="P1389">
        <v>12</v>
      </c>
      <c r="Q1389" t="s">
        <v>31</v>
      </c>
      <c r="R1389">
        <v>0</v>
      </c>
      <c r="S1389">
        <v>73</v>
      </c>
      <c r="T1389">
        <v>0</v>
      </c>
      <c r="U1389">
        <v>1</v>
      </c>
      <c r="V1389">
        <v>6</v>
      </c>
      <c r="W1389" t="s">
        <v>39</v>
      </c>
      <c r="X1389">
        <v>1</v>
      </c>
      <c r="Y1389" t="str">
        <f t="shared" si="21"/>
        <v>High</v>
      </c>
    </row>
    <row r="1390" spans="1:25">
      <c r="A1390" t="s">
        <v>1503</v>
      </c>
      <c r="B1390" s="1">
        <v>44941</v>
      </c>
      <c r="C1390" s="2">
        <v>0.66666666666666663</v>
      </c>
      <c r="D1390" t="s">
        <v>26</v>
      </c>
      <c r="E1390" t="s">
        <v>68</v>
      </c>
      <c r="F1390" t="s">
        <v>168</v>
      </c>
      <c r="G1390" t="s">
        <v>53</v>
      </c>
      <c r="H1390" s="2">
        <v>0.6694444444444444</v>
      </c>
      <c r="I1390" s="2">
        <v>0.68541666666666667</v>
      </c>
      <c r="J1390">
        <v>10</v>
      </c>
      <c r="K1390">
        <v>18</v>
      </c>
      <c r="L1390" t="s">
        <v>30</v>
      </c>
      <c r="M1390">
        <v>11.7</v>
      </c>
      <c r="N1390">
        <v>77</v>
      </c>
      <c r="O1390">
        <v>5</v>
      </c>
      <c r="P1390">
        <v>0.1</v>
      </c>
      <c r="Q1390" t="s">
        <v>46</v>
      </c>
      <c r="R1390">
        <v>0</v>
      </c>
      <c r="S1390">
        <v>30</v>
      </c>
      <c r="T1390">
        <v>0</v>
      </c>
      <c r="U1390">
        <v>0</v>
      </c>
      <c r="V1390">
        <v>6</v>
      </c>
      <c r="W1390" t="s">
        <v>55</v>
      </c>
      <c r="X1390">
        <v>1</v>
      </c>
      <c r="Y1390" t="str">
        <f t="shared" si="21"/>
        <v>Low</v>
      </c>
    </row>
    <row r="1391" spans="1:25">
      <c r="A1391" t="s">
        <v>1504</v>
      </c>
      <c r="B1391" s="1">
        <v>44941</v>
      </c>
      <c r="C1391" s="2">
        <v>0.67708333333333337</v>
      </c>
      <c r="D1391" t="s">
        <v>41</v>
      </c>
      <c r="E1391" t="s">
        <v>161</v>
      </c>
      <c r="F1391" t="s">
        <v>151</v>
      </c>
      <c r="G1391" t="s">
        <v>176</v>
      </c>
      <c r="H1391" s="2">
        <v>0.6791666666666667</v>
      </c>
      <c r="I1391" s="2">
        <v>0.69513888888888886</v>
      </c>
      <c r="J1391">
        <v>1</v>
      </c>
      <c r="K1391">
        <v>27</v>
      </c>
      <c r="L1391" t="s">
        <v>54</v>
      </c>
      <c r="M1391">
        <v>30.3</v>
      </c>
      <c r="N1391">
        <v>95</v>
      </c>
      <c r="O1391">
        <v>28</v>
      </c>
      <c r="P1391">
        <v>7</v>
      </c>
      <c r="Q1391" t="s">
        <v>31</v>
      </c>
      <c r="R1391">
        <v>0</v>
      </c>
      <c r="S1391">
        <v>94</v>
      </c>
      <c r="T1391">
        <v>0</v>
      </c>
      <c r="U1391">
        <v>1</v>
      </c>
      <c r="V1391">
        <v>6</v>
      </c>
      <c r="W1391" t="s">
        <v>32</v>
      </c>
      <c r="X1391">
        <v>1</v>
      </c>
      <c r="Y1391" t="str">
        <f t="shared" si="21"/>
        <v>High</v>
      </c>
    </row>
    <row r="1392" spans="1:25">
      <c r="A1392" t="s">
        <v>1505</v>
      </c>
      <c r="B1392" s="1">
        <v>44941</v>
      </c>
      <c r="C1392" s="2">
        <v>0.6875</v>
      </c>
      <c r="D1392" t="s">
        <v>74</v>
      </c>
      <c r="E1392" t="s">
        <v>161</v>
      </c>
      <c r="F1392" t="s">
        <v>87</v>
      </c>
      <c r="G1392" t="s">
        <v>62</v>
      </c>
      <c r="H1392" s="2">
        <v>0.6875</v>
      </c>
      <c r="I1392" s="2">
        <v>0.72847222222222219</v>
      </c>
      <c r="J1392">
        <v>14</v>
      </c>
      <c r="K1392">
        <v>3</v>
      </c>
      <c r="L1392" t="s">
        <v>38</v>
      </c>
      <c r="M1392">
        <v>17.399999999999999</v>
      </c>
      <c r="N1392">
        <v>45</v>
      </c>
      <c r="O1392">
        <v>31</v>
      </c>
      <c r="P1392">
        <v>12.1</v>
      </c>
      <c r="Q1392" t="s">
        <v>31</v>
      </c>
      <c r="R1392">
        <v>2000</v>
      </c>
      <c r="S1392">
        <v>13</v>
      </c>
      <c r="T1392">
        <v>0</v>
      </c>
      <c r="U1392">
        <v>0</v>
      </c>
      <c r="V1392">
        <v>6</v>
      </c>
      <c r="W1392" t="s">
        <v>39</v>
      </c>
      <c r="X1392">
        <v>0</v>
      </c>
      <c r="Y1392" t="str">
        <f t="shared" si="21"/>
        <v>Low</v>
      </c>
    </row>
    <row r="1393" spans="1:25">
      <c r="A1393" t="s">
        <v>1506</v>
      </c>
      <c r="B1393" s="1">
        <v>44941</v>
      </c>
      <c r="C1393" s="2">
        <v>0.69791666666666663</v>
      </c>
      <c r="D1393" t="s">
        <v>74</v>
      </c>
      <c r="E1393" t="s">
        <v>52</v>
      </c>
      <c r="F1393" t="s">
        <v>116</v>
      </c>
      <c r="G1393" t="s">
        <v>91</v>
      </c>
      <c r="H1393" s="2">
        <v>0.7</v>
      </c>
      <c r="I1393" s="2">
        <v>0.71319444444444446</v>
      </c>
      <c r="J1393">
        <v>16</v>
      </c>
      <c r="K1393">
        <v>17</v>
      </c>
      <c r="L1393" t="s">
        <v>54</v>
      </c>
      <c r="M1393">
        <v>10.199999999999999</v>
      </c>
      <c r="N1393">
        <v>82</v>
      </c>
      <c r="O1393">
        <v>8</v>
      </c>
      <c r="P1393">
        <v>19</v>
      </c>
      <c r="Q1393" t="s">
        <v>31</v>
      </c>
      <c r="R1393">
        <v>2000</v>
      </c>
      <c r="S1393">
        <v>76</v>
      </c>
      <c r="T1393">
        <v>0</v>
      </c>
      <c r="U1393">
        <v>0</v>
      </c>
      <c r="V1393">
        <v>6</v>
      </c>
      <c r="W1393" t="s">
        <v>55</v>
      </c>
      <c r="X1393">
        <v>1</v>
      </c>
      <c r="Y1393" t="str">
        <f t="shared" si="21"/>
        <v>High</v>
      </c>
    </row>
    <row r="1394" spans="1:25">
      <c r="A1394" t="s">
        <v>1507</v>
      </c>
      <c r="B1394" s="1">
        <v>44941</v>
      </c>
      <c r="C1394" s="2">
        <v>0.70833333333333337</v>
      </c>
      <c r="D1394" t="s">
        <v>34</v>
      </c>
      <c r="E1394" t="s">
        <v>61</v>
      </c>
      <c r="F1394" t="s">
        <v>75</v>
      </c>
      <c r="G1394" t="s">
        <v>113</v>
      </c>
      <c r="H1394" s="2">
        <v>0.71111111111111114</v>
      </c>
      <c r="I1394" s="2">
        <v>0.73333333333333328</v>
      </c>
      <c r="J1394">
        <v>6</v>
      </c>
      <c r="K1394">
        <v>12</v>
      </c>
      <c r="L1394" t="s">
        <v>38</v>
      </c>
      <c r="M1394">
        <v>-3.1</v>
      </c>
      <c r="N1394">
        <v>94</v>
      </c>
      <c r="O1394">
        <v>36</v>
      </c>
      <c r="P1394">
        <v>8.1999999999999993</v>
      </c>
      <c r="Q1394" t="s">
        <v>101</v>
      </c>
      <c r="R1394">
        <v>500</v>
      </c>
      <c r="S1394">
        <v>59</v>
      </c>
      <c r="T1394">
        <v>0</v>
      </c>
      <c r="U1394">
        <v>1</v>
      </c>
      <c r="V1394">
        <v>6</v>
      </c>
      <c r="W1394" t="s">
        <v>32</v>
      </c>
      <c r="X1394">
        <v>1</v>
      </c>
      <c r="Y1394" t="str">
        <f t="shared" si="21"/>
        <v>Medium</v>
      </c>
    </row>
    <row r="1395" spans="1:25">
      <c r="A1395" t="s">
        <v>1508</v>
      </c>
      <c r="B1395" s="1">
        <v>44941</v>
      </c>
      <c r="C1395" s="2">
        <v>0.71875</v>
      </c>
      <c r="D1395" t="s">
        <v>74</v>
      </c>
      <c r="E1395" t="s">
        <v>42</v>
      </c>
      <c r="F1395" t="s">
        <v>80</v>
      </c>
      <c r="G1395" t="s">
        <v>99</v>
      </c>
      <c r="H1395" s="2">
        <v>0.72013888888888888</v>
      </c>
      <c r="I1395" s="2">
        <v>0.73333333333333328</v>
      </c>
      <c r="J1395">
        <v>4</v>
      </c>
      <c r="K1395">
        <v>16</v>
      </c>
      <c r="L1395" t="s">
        <v>54</v>
      </c>
      <c r="M1395">
        <v>21.9</v>
      </c>
      <c r="N1395">
        <v>93</v>
      </c>
      <c r="O1395">
        <v>52</v>
      </c>
      <c r="P1395">
        <v>3.3</v>
      </c>
      <c r="Q1395" t="s">
        <v>71</v>
      </c>
      <c r="R1395">
        <v>0</v>
      </c>
      <c r="S1395">
        <v>67</v>
      </c>
      <c r="T1395">
        <v>1</v>
      </c>
      <c r="U1395">
        <v>1</v>
      </c>
      <c r="V1395">
        <v>6</v>
      </c>
      <c r="W1395" t="s">
        <v>72</v>
      </c>
      <c r="X1395">
        <v>1</v>
      </c>
      <c r="Y1395" t="str">
        <f t="shared" si="21"/>
        <v>High</v>
      </c>
    </row>
    <row r="1396" spans="1:25">
      <c r="A1396" t="s">
        <v>1509</v>
      </c>
      <c r="B1396" s="1">
        <v>44941</v>
      </c>
      <c r="C1396" s="2">
        <v>0.72916666666666663</v>
      </c>
      <c r="D1396" t="s">
        <v>41</v>
      </c>
      <c r="E1396" t="s">
        <v>147</v>
      </c>
      <c r="F1396" t="s">
        <v>66</v>
      </c>
      <c r="G1396" t="s">
        <v>118</v>
      </c>
      <c r="H1396" s="2">
        <v>0.73055555555555551</v>
      </c>
      <c r="I1396" s="2">
        <v>0.75277777777777777</v>
      </c>
      <c r="J1396">
        <v>-2</v>
      </c>
      <c r="K1396">
        <v>15</v>
      </c>
      <c r="L1396" t="s">
        <v>30</v>
      </c>
      <c r="M1396">
        <v>34.5</v>
      </c>
      <c r="N1396">
        <v>97</v>
      </c>
      <c r="O1396">
        <v>22</v>
      </c>
      <c r="P1396">
        <v>10.7</v>
      </c>
      <c r="Q1396" t="s">
        <v>31</v>
      </c>
      <c r="R1396">
        <v>0</v>
      </c>
      <c r="S1396">
        <v>25</v>
      </c>
      <c r="T1396">
        <v>0</v>
      </c>
      <c r="U1396">
        <v>0</v>
      </c>
      <c r="V1396">
        <v>6</v>
      </c>
      <c r="W1396" t="s">
        <v>55</v>
      </c>
      <c r="X1396">
        <v>1</v>
      </c>
      <c r="Y1396" t="str">
        <f t="shared" si="21"/>
        <v>Low</v>
      </c>
    </row>
    <row r="1397" spans="1:25">
      <c r="A1397" t="s">
        <v>1510</v>
      </c>
      <c r="B1397" s="1">
        <v>44941</v>
      </c>
      <c r="C1397" s="2">
        <v>0.73958333333333337</v>
      </c>
      <c r="D1397" t="s">
        <v>74</v>
      </c>
      <c r="E1397" t="s">
        <v>61</v>
      </c>
      <c r="F1397" t="s">
        <v>123</v>
      </c>
      <c r="G1397" t="s">
        <v>123</v>
      </c>
      <c r="H1397" s="2">
        <v>0.73958333333333337</v>
      </c>
      <c r="I1397" s="2">
        <v>0.7729166666666667</v>
      </c>
      <c r="J1397">
        <v>4</v>
      </c>
      <c r="K1397">
        <v>28</v>
      </c>
      <c r="L1397" t="s">
        <v>30</v>
      </c>
      <c r="M1397">
        <v>31.5</v>
      </c>
      <c r="N1397">
        <v>92</v>
      </c>
      <c r="O1397">
        <v>15</v>
      </c>
      <c r="P1397">
        <v>5.7</v>
      </c>
      <c r="Q1397" t="s">
        <v>31</v>
      </c>
      <c r="R1397">
        <v>0</v>
      </c>
      <c r="S1397">
        <v>23</v>
      </c>
      <c r="T1397">
        <v>0</v>
      </c>
      <c r="U1397">
        <v>1</v>
      </c>
      <c r="V1397">
        <v>6</v>
      </c>
      <c r="W1397" t="s">
        <v>32</v>
      </c>
      <c r="X1397">
        <v>1</v>
      </c>
      <c r="Y1397" t="str">
        <f t="shared" si="21"/>
        <v>Low</v>
      </c>
    </row>
    <row r="1398" spans="1:25">
      <c r="A1398" t="s">
        <v>1511</v>
      </c>
      <c r="B1398" s="1">
        <v>44941</v>
      </c>
      <c r="C1398" s="2">
        <v>0.75</v>
      </c>
      <c r="D1398" t="s">
        <v>26</v>
      </c>
      <c r="E1398" t="s">
        <v>157</v>
      </c>
      <c r="F1398" t="s">
        <v>81</v>
      </c>
      <c r="G1398" t="s">
        <v>83</v>
      </c>
      <c r="H1398" s="2">
        <v>0.75138888888888888</v>
      </c>
      <c r="I1398" s="2">
        <v>0.77847222222222223</v>
      </c>
      <c r="J1398">
        <v>4</v>
      </c>
      <c r="K1398">
        <v>11</v>
      </c>
      <c r="L1398" t="s">
        <v>38</v>
      </c>
      <c r="M1398">
        <v>23.7</v>
      </c>
      <c r="N1398">
        <v>91</v>
      </c>
      <c r="O1398">
        <v>17</v>
      </c>
      <c r="P1398">
        <v>4.3</v>
      </c>
      <c r="Q1398" t="s">
        <v>31</v>
      </c>
      <c r="R1398">
        <v>0</v>
      </c>
      <c r="S1398">
        <v>55</v>
      </c>
      <c r="T1398">
        <v>0</v>
      </c>
      <c r="U1398">
        <v>0</v>
      </c>
      <c r="V1398">
        <v>6</v>
      </c>
      <c r="W1398" t="s">
        <v>55</v>
      </c>
      <c r="X1398">
        <v>1</v>
      </c>
      <c r="Y1398" t="str">
        <f t="shared" si="21"/>
        <v>Medium</v>
      </c>
    </row>
    <row r="1399" spans="1:25">
      <c r="A1399" t="s">
        <v>1512</v>
      </c>
      <c r="B1399" s="1">
        <v>44941</v>
      </c>
      <c r="C1399" s="2">
        <v>0.76041666666666663</v>
      </c>
      <c r="D1399" t="s">
        <v>26</v>
      </c>
      <c r="E1399" t="s">
        <v>68</v>
      </c>
      <c r="F1399" t="s">
        <v>70</v>
      </c>
      <c r="G1399" t="s">
        <v>109</v>
      </c>
      <c r="H1399" s="2">
        <v>0.76249999999999996</v>
      </c>
      <c r="I1399" s="2">
        <v>0.77638888888888891</v>
      </c>
      <c r="J1399">
        <v>17</v>
      </c>
      <c r="K1399">
        <v>1</v>
      </c>
      <c r="L1399" t="s">
        <v>54</v>
      </c>
      <c r="M1399">
        <v>-0.8</v>
      </c>
      <c r="N1399">
        <v>74</v>
      </c>
      <c r="O1399">
        <v>18</v>
      </c>
      <c r="P1399">
        <v>11.8</v>
      </c>
      <c r="Q1399" t="s">
        <v>101</v>
      </c>
      <c r="R1399">
        <v>50000</v>
      </c>
      <c r="S1399">
        <v>8</v>
      </c>
      <c r="T1399">
        <v>0</v>
      </c>
      <c r="U1399">
        <v>1</v>
      </c>
      <c r="V1399">
        <v>6</v>
      </c>
      <c r="W1399" t="s">
        <v>32</v>
      </c>
      <c r="X1399">
        <v>0</v>
      </c>
      <c r="Y1399" t="str">
        <f t="shared" si="21"/>
        <v>Low</v>
      </c>
    </row>
    <row r="1400" spans="1:25">
      <c r="A1400" t="s">
        <v>1513</v>
      </c>
      <c r="B1400" s="1">
        <v>44941</v>
      </c>
      <c r="C1400" s="2">
        <v>0.77083333333333337</v>
      </c>
      <c r="D1400" t="s">
        <v>34</v>
      </c>
      <c r="E1400" t="s">
        <v>111</v>
      </c>
      <c r="F1400" t="s">
        <v>44</v>
      </c>
      <c r="G1400" t="s">
        <v>154</v>
      </c>
      <c r="H1400" s="2">
        <v>0.77083333333333337</v>
      </c>
      <c r="I1400" s="2">
        <v>0.78819444444444442</v>
      </c>
      <c r="J1400">
        <v>4</v>
      </c>
      <c r="K1400">
        <v>7</v>
      </c>
      <c r="L1400" t="s">
        <v>30</v>
      </c>
      <c r="M1400">
        <v>4.5999999999999996</v>
      </c>
      <c r="N1400">
        <v>81</v>
      </c>
      <c r="O1400">
        <v>43</v>
      </c>
      <c r="P1400">
        <v>18.3</v>
      </c>
      <c r="Q1400" t="s">
        <v>31</v>
      </c>
      <c r="R1400">
        <v>500</v>
      </c>
      <c r="S1400">
        <v>34</v>
      </c>
      <c r="T1400">
        <v>0</v>
      </c>
      <c r="U1400">
        <v>0</v>
      </c>
      <c r="V1400">
        <v>6</v>
      </c>
      <c r="W1400" t="s">
        <v>72</v>
      </c>
      <c r="X1400">
        <v>1</v>
      </c>
      <c r="Y1400" t="str">
        <f t="shared" si="21"/>
        <v>Medium</v>
      </c>
    </row>
    <row r="1401" spans="1:25">
      <c r="A1401" t="s">
        <v>1514</v>
      </c>
      <c r="B1401" s="1">
        <v>44941</v>
      </c>
      <c r="C1401" s="2">
        <v>0.78125</v>
      </c>
      <c r="D1401" t="s">
        <v>41</v>
      </c>
      <c r="E1401" t="s">
        <v>48</v>
      </c>
      <c r="F1401" t="s">
        <v>69</v>
      </c>
      <c r="G1401" t="s">
        <v>43</v>
      </c>
      <c r="H1401" s="2">
        <v>0.78402777777777777</v>
      </c>
      <c r="I1401" s="2">
        <v>0.8208333333333333</v>
      </c>
      <c r="J1401">
        <v>5</v>
      </c>
      <c r="K1401">
        <v>11</v>
      </c>
      <c r="L1401" t="s">
        <v>84</v>
      </c>
      <c r="M1401">
        <v>2.5</v>
      </c>
      <c r="N1401">
        <v>94</v>
      </c>
      <c r="O1401">
        <v>1</v>
      </c>
      <c r="P1401">
        <v>16.7</v>
      </c>
      <c r="Q1401" t="s">
        <v>31</v>
      </c>
      <c r="R1401">
        <v>0</v>
      </c>
      <c r="S1401">
        <v>78</v>
      </c>
      <c r="T1401">
        <v>0</v>
      </c>
      <c r="U1401">
        <v>1</v>
      </c>
      <c r="V1401">
        <v>6</v>
      </c>
      <c r="W1401" t="s">
        <v>72</v>
      </c>
      <c r="X1401">
        <v>1</v>
      </c>
      <c r="Y1401" t="str">
        <f t="shared" si="21"/>
        <v>High</v>
      </c>
    </row>
    <row r="1402" spans="1:25">
      <c r="A1402" t="s">
        <v>1515</v>
      </c>
      <c r="B1402" s="1">
        <v>44941</v>
      </c>
      <c r="C1402" s="2">
        <v>0.79166666666666663</v>
      </c>
      <c r="D1402" t="s">
        <v>26</v>
      </c>
      <c r="E1402" t="s">
        <v>89</v>
      </c>
      <c r="F1402" t="s">
        <v>151</v>
      </c>
      <c r="G1402" t="s">
        <v>29</v>
      </c>
      <c r="H1402" s="2">
        <v>0.79166666666666663</v>
      </c>
      <c r="I1402" s="2">
        <v>0.82291666666666663</v>
      </c>
      <c r="J1402">
        <v>13</v>
      </c>
      <c r="K1402">
        <v>25</v>
      </c>
      <c r="L1402" t="s">
        <v>54</v>
      </c>
      <c r="M1402">
        <v>9.1999999999999993</v>
      </c>
      <c r="N1402">
        <v>31</v>
      </c>
      <c r="O1402">
        <v>57</v>
      </c>
      <c r="P1402">
        <v>3.6</v>
      </c>
      <c r="Q1402" t="s">
        <v>46</v>
      </c>
      <c r="R1402">
        <v>0</v>
      </c>
      <c r="S1402">
        <v>23</v>
      </c>
      <c r="T1402">
        <v>0</v>
      </c>
      <c r="U1402">
        <v>0</v>
      </c>
      <c r="V1402">
        <v>6</v>
      </c>
      <c r="W1402" t="s">
        <v>32</v>
      </c>
      <c r="X1402">
        <v>1</v>
      </c>
      <c r="Y1402" t="str">
        <f t="shared" si="21"/>
        <v>Low</v>
      </c>
    </row>
    <row r="1403" spans="1:25">
      <c r="A1403" t="s">
        <v>1516</v>
      </c>
      <c r="B1403" s="1">
        <v>44941</v>
      </c>
      <c r="C1403" s="2">
        <v>0.80208333333333337</v>
      </c>
      <c r="D1403" t="s">
        <v>26</v>
      </c>
      <c r="E1403" t="s">
        <v>35</v>
      </c>
      <c r="F1403" t="s">
        <v>28</v>
      </c>
      <c r="G1403" t="s">
        <v>70</v>
      </c>
      <c r="H1403" s="2">
        <v>0.80208333333333337</v>
      </c>
      <c r="I1403" s="2">
        <v>0.82291666666666663</v>
      </c>
      <c r="J1403">
        <v>0</v>
      </c>
      <c r="K1403">
        <v>0</v>
      </c>
      <c r="L1403" t="s">
        <v>30</v>
      </c>
      <c r="M1403">
        <v>4.4000000000000004</v>
      </c>
      <c r="N1403">
        <v>78</v>
      </c>
      <c r="O1403">
        <v>9</v>
      </c>
      <c r="P1403">
        <v>15.3</v>
      </c>
      <c r="Q1403" t="s">
        <v>71</v>
      </c>
      <c r="R1403">
        <v>0</v>
      </c>
      <c r="S1403">
        <v>30</v>
      </c>
      <c r="T1403">
        <v>0</v>
      </c>
      <c r="U1403">
        <v>0</v>
      </c>
      <c r="V1403">
        <v>6</v>
      </c>
      <c r="W1403" t="s">
        <v>39</v>
      </c>
      <c r="X1403">
        <v>0</v>
      </c>
      <c r="Y1403" t="str">
        <f t="shared" si="21"/>
        <v>Low</v>
      </c>
    </row>
    <row r="1404" spans="1:25">
      <c r="A1404" t="s">
        <v>1517</v>
      </c>
      <c r="B1404" s="1">
        <v>44941</v>
      </c>
      <c r="C1404" s="2">
        <v>0.8125</v>
      </c>
      <c r="D1404" t="s">
        <v>41</v>
      </c>
      <c r="E1404" t="s">
        <v>147</v>
      </c>
      <c r="F1404" t="s">
        <v>86</v>
      </c>
      <c r="G1404" t="s">
        <v>109</v>
      </c>
      <c r="H1404" s="2">
        <v>0.81319444444444444</v>
      </c>
      <c r="I1404" s="2">
        <v>0.84375</v>
      </c>
      <c r="J1404">
        <v>10</v>
      </c>
      <c r="K1404">
        <v>19</v>
      </c>
      <c r="L1404" t="s">
        <v>45</v>
      </c>
      <c r="M1404">
        <v>4.8</v>
      </c>
      <c r="N1404">
        <v>51</v>
      </c>
      <c r="O1404">
        <v>11</v>
      </c>
      <c r="P1404">
        <v>4.5999999999999996</v>
      </c>
      <c r="Q1404" t="s">
        <v>31</v>
      </c>
      <c r="R1404">
        <v>0</v>
      </c>
      <c r="S1404">
        <v>82</v>
      </c>
      <c r="T1404">
        <v>0</v>
      </c>
      <c r="U1404">
        <v>0</v>
      </c>
      <c r="V1404">
        <v>6</v>
      </c>
      <c r="W1404" t="s">
        <v>72</v>
      </c>
      <c r="X1404">
        <v>1</v>
      </c>
      <c r="Y1404" t="str">
        <f t="shared" si="21"/>
        <v>High</v>
      </c>
    </row>
    <row r="1405" spans="1:25">
      <c r="A1405" t="s">
        <v>1518</v>
      </c>
      <c r="B1405" s="1">
        <v>44941</v>
      </c>
      <c r="C1405" s="2">
        <v>0.82291666666666663</v>
      </c>
      <c r="D1405" t="s">
        <v>74</v>
      </c>
      <c r="E1405" t="s">
        <v>111</v>
      </c>
      <c r="F1405" t="s">
        <v>53</v>
      </c>
      <c r="G1405" t="s">
        <v>109</v>
      </c>
      <c r="H1405" s="2">
        <v>0.82361111111111107</v>
      </c>
      <c r="I1405" s="2">
        <v>0.84791666666666665</v>
      </c>
      <c r="J1405">
        <v>7</v>
      </c>
      <c r="K1405">
        <v>11</v>
      </c>
      <c r="L1405" t="s">
        <v>45</v>
      </c>
      <c r="M1405">
        <v>19.7</v>
      </c>
      <c r="N1405">
        <v>58</v>
      </c>
      <c r="O1405">
        <v>45</v>
      </c>
      <c r="P1405">
        <v>5.8</v>
      </c>
      <c r="Q1405" t="s">
        <v>31</v>
      </c>
      <c r="R1405">
        <v>0</v>
      </c>
      <c r="S1405">
        <v>65</v>
      </c>
      <c r="T1405">
        <v>0</v>
      </c>
      <c r="U1405">
        <v>0</v>
      </c>
      <c r="V1405">
        <v>6</v>
      </c>
      <c r="W1405" t="s">
        <v>55</v>
      </c>
      <c r="X1405">
        <v>1</v>
      </c>
      <c r="Y1405" t="str">
        <f t="shared" si="21"/>
        <v>Medium</v>
      </c>
    </row>
    <row r="1406" spans="1:25">
      <c r="A1406" t="s">
        <v>1519</v>
      </c>
      <c r="B1406" s="1">
        <v>44941</v>
      </c>
      <c r="C1406" s="2">
        <v>0.83333333333333337</v>
      </c>
      <c r="D1406" t="s">
        <v>74</v>
      </c>
      <c r="E1406" t="s">
        <v>42</v>
      </c>
      <c r="F1406" t="s">
        <v>28</v>
      </c>
      <c r="G1406" t="s">
        <v>116</v>
      </c>
      <c r="H1406" s="2">
        <v>0.83333333333333337</v>
      </c>
      <c r="I1406" s="2">
        <v>0.86319444444444449</v>
      </c>
      <c r="J1406">
        <v>15</v>
      </c>
      <c r="K1406">
        <v>-1</v>
      </c>
      <c r="L1406" t="s">
        <v>84</v>
      </c>
      <c r="M1406">
        <v>7.7</v>
      </c>
      <c r="N1406">
        <v>64</v>
      </c>
      <c r="O1406">
        <v>17</v>
      </c>
      <c r="P1406">
        <v>18.399999999999999</v>
      </c>
      <c r="Q1406" t="s">
        <v>31</v>
      </c>
      <c r="R1406">
        <v>0</v>
      </c>
      <c r="S1406">
        <v>65</v>
      </c>
      <c r="T1406">
        <v>0</v>
      </c>
      <c r="U1406">
        <v>0</v>
      </c>
      <c r="V1406">
        <v>6</v>
      </c>
      <c r="W1406" t="s">
        <v>72</v>
      </c>
      <c r="X1406">
        <v>0</v>
      </c>
      <c r="Y1406" t="str">
        <f t="shared" si="21"/>
        <v>Medium</v>
      </c>
    </row>
    <row r="1407" spans="1:25">
      <c r="A1407" t="s">
        <v>1520</v>
      </c>
      <c r="B1407" s="1">
        <v>44941</v>
      </c>
      <c r="C1407" s="2">
        <v>0.84375</v>
      </c>
      <c r="D1407" t="s">
        <v>34</v>
      </c>
      <c r="E1407" t="s">
        <v>161</v>
      </c>
      <c r="F1407" t="s">
        <v>163</v>
      </c>
      <c r="G1407" t="s">
        <v>154</v>
      </c>
      <c r="H1407" s="2">
        <v>0.84513888888888888</v>
      </c>
      <c r="I1407" s="2">
        <v>0.87638888888888888</v>
      </c>
      <c r="J1407">
        <v>4</v>
      </c>
      <c r="K1407">
        <v>28</v>
      </c>
      <c r="L1407" t="s">
        <v>30</v>
      </c>
      <c r="M1407">
        <v>22.1</v>
      </c>
      <c r="N1407">
        <v>53</v>
      </c>
      <c r="O1407">
        <v>18</v>
      </c>
      <c r="P1407">
        <v>18.2</v>
      </c>
      <c r="Q1407" t="s">
        <v>31</v>
      </c>
      <c r="R1407">
        <v>0</v>
      </c>
      <c r="S1407">
        <v>40</v>
      </c>
      <c r="T1407">
        <v>0</v>
      </c>
      <c r="U1407">
        <v>1</v>
      </c>
      <c r="V1407">
        <v>6</v>
      </c>
      <c r="W1407" t="s">
        <v>55</v>
      </c>
      <c r="X1407">
        <v>1</v>
      </c>
      <c r="Y1407" t="str">
        <f t="shared" si="21"/>
        <v>Medium</v>
      </c>
    </row>
    <row r="1408" spans="1:25">
      <c r="A1408" t="s">
        <v>1521</v>
      </c>
      <c r="B1408" s="1">
        <v>44941</v>
      </c>
      <c r="C1408" s="2">
        <v>0.85416666666666663</v>
      </c>
      <c r="D1408" t="s">
        <v>74</v>
      </c>
      <c r="E1408" t="s">
        <v>93</v>
      </c>
      <c r="F1408" t="s">
        <v>176</v>
      </c>
      <c r="G1408" t="s">
        <v>203</v>
      </c>
      <c r="H1408" s="2">
        <v>0.85486111111111107</v>
      </c>
      <c r="I1408" s="2">
        <v>0.89166666666666672</v>
      </c>
      <c r="J1408">
        <v>18</v>
      </c>
      <c r="K1408">
        <v>6</v>
      </c>
      <c r="L1408" t="s">
        <v>45</v>
      </c>
      <c r="M1408">
        <v>32.9</v>
      </c>
      <c r="N1408">
        <v>59</v>
      </c>
      <c r="O1408">
        <v>37</v>
      </c>
      <c r="P1408">
        <v>3.4</v>
      </c>
      <c r="Q1408" t="s">
        <v>31</v>
      </c>
      <c r="R1408">
        <v>0</v>
      </c>
      <c r="S1408">
        <v>35</v>
      </c>
      <c r="T1408">
        <v>0</v>
      </c>
      <c r="U1408">
        <v>1</v>
      </c>
      <c r="V1408">
        <v>6</v>
      </c>
      <c r="W1408" t="s">
        <v>72</v>
      </c>
      <c r="X1408">
        <v>1</v>
      </c>
      <c r="Y1408" t="str">
        <f t="shared" si="21"/>
        <v>Medium</v>
      </c>
    </row>
    <row r="1409" spans="1:25">
      <c r="A1409" t="s">
        <v>1522</v>
      </c>
      <c r="B1409" s="1">
        <v>44941</v>
      </c>
      <c r="C1409" s="2">
        <v>0.86458333333333337</v>
      </c>
      <c r="D1409" t="s">
        <v>41</v>
      </c>
      <c r="E1409" t="s">
        <v>93</v>
      </c>
      <c r="F1409" t="s">
        <v>81</v>
      </c>
      <c r="G1409" t="s">
        <v>99</v>
      </c>
      <c r="H1409" s="2">
        <v>0.86736111111111114</v>
      </c>
      <c r="I1409" s="2">
        <v>0.89930555555555558</v>
      </c>
      <c r="J1409">
        <v>18</v>
      </c>
      <c r="K1409">
        <v>18</v>
      </c>
      <c r="L1409" t="s">
        <v>54</v>
      </c>
      <c r="M1409">
        <v>20.5</v>
      </c>
      <c r="N1409">
        <v>71</v>
      </c>
      <c r="O1409">
        <v>36</v>
      </c>
      <c r="P1409">
        <v>1.3</v>
      </c>
      <c r="Q1409" t="s">
        <v>63</v>
      </c>
      <c r="R1409">
        <v>500</v>
      </c>
      <c r="S1409">
        <v>33</v>
      </c>
      <c r="T1409">
        <v>0</v>
      </c>
      <c r="U1409">
        <v>0</v>
      </c>
      <c r="V1409">
        <v>6</v>
      </c>
      <c r="W1409" t="s">
        <v>72</v>
      </c>
      <c r="X1409">
        <v>1</v>
      </c>
      <c r="Y1409" t="str">
        <f t="shared" si="21"/>
        <v>Low</v>
      </c>
    </row>
    <row r="1410" spans="1:25">
      <c r="A1410" t="s">
        <v>1523</v>
      </c>
      <c r="B1410" s="1">
        <v>44941</v>
      </c>
      <c r="C1410" s="2">
        <v>0.875</v>
      </c>
      <c r="D1410" t="s">
        <v>26</v>
      </c>
      <c r="E1410" t="s">
        <v>141</v>
      </c>
      <c r="F1410" t="s">
        <v>185</v>
      </c>
      <c r="G1410" t="s">
        <v>58</v>
      </c>
      <c r="H1410" s="2">
        <v>0.87708333333333333</v>
      </c>
      <c r="I1410" s="2">
        <v>0.89722222222222225</v>
      </c>
      <c r="J1410">
        <v>2</v>
      </c>
      <c r="K1410">
        <v>10</v>
      </c>
      <c r="L1410" t="s">
        <v>77</v>
      </c>
      <c r="M1410">
        <v>25.1</v>
      </c>
      <c r="N1410">
        <v>79</v>
      </c>
      <c r="O1410">
        <v>26</v>
      </c>
      <c r="P1410">
        <v>5.9</v>
      </c>
      <c r="Q1410" t="s">
        <v>31</v>
      </c>
      <c r="R1410">
        <v>0</v>
      </c>
      <c r="S1410">
        <v>38</v>
      </c>
      <c r="T1410">
        <v>0</v>
      </c>
      <c r="U1410">
        <v>1</v>
      </c>
      <c r="V1410">
        <v>6</v>
      </c>
      <c r="W1410" t="s">
        <v>55</v>
      </c>
      <c r="X1410">
        <v>1</v>
      </c>
      <c r="Y1410" t="str">
        <f t="shared" ref="Y1410:Y1473" si="22">IF(S1410&lt;=33,"Low",IF(S1410&lt;=66,"Medium","High"))</f>
        <v>Medium</v>
      </c>
    </row>
    <row r="1411" spans="1:25">
      <c r="A1411" t="s">
        <v>1524</v>
      </c>
      <c r="B1411" s="1">
        <v>44941</v>
      </c>
      <c r="C1411" s="2">
        <v>0.88541666666666663</v>
      </c>
      <c r="D1411" t="s">
        <v>74</v>
      </c>
      <c r="E1411" t="s">
        <v>157</v>
      </c>
      <c r="F1411" t="s">
        <v>135</v>
      </c>
      <c r="G1411" t="s">
        <v>49</v>
      </c>
      <c r="H1411" s="2">
        <v>0.88611111111111107</v>
      </c>
      <c r="I1411" s="2">
        <v>0.92291666666666672</v>
      </c>
      <c r="J1411">
        <v>19</v>
      </c>
      <c r="K1411">
        <v>13</v>
      </c>
      <c r="L1411" t="s">
        <v>30</v>
      </c>
      <c r="M1411">
        <v>25.1</v>
      </c>
      <c r="N1411">
        <v>89</v>
      </c>
      <c r="O1411">
        <v>47</v>
      </c>
      <c r="P1411">
        <v>11.6</v>
      </c>
      <c r="Q1411" t="s">
        <v>71</v>
      </c>
      <c r="R1411">
        <v>10000</v>
      </c>
      <c r="S1411">
        <v>82</v>
      </c>
      <c r="T1411">
        <v>0</v>
      </c>
      <c r="U1411">
        <v>0</v>
      </c>
      <c r="V1411">
        <v>6</v>
      </c>
      <c r="W1411" t="s">
        <v>72</v>
      </c>
      <c r="X1411">
        <v>1</v>
      </c>
      <c r="Y1411" t="str">
        <f t="shared" si="22"/>
        <v>High</v>
      </c>
    </row>
    <row r="1412" spans="1:25">
      <c r="A1412" t="s">
        <v>1525</v>
      </c>
      <c r="B1412" s="1">
        <v>44941</v>
      </c>
      <c r="C1412" s="2">
        <v>0.89583333333333337</v>
      </c>
      <c r="D1412" t="s">
        <v>34</v>
      </c>
      <c r="E1412" t="s">
        <v>68</v>
      </c>
      <c r="F1412" t="s">
        <v>36</v>
      </c>
      <c r="G1412" t="s">
        <v>203</v>
      </c>
      <c r="H1412" s="2">
        <v>0.89583333333333337</v>
      </c>
      <c r="I1412" s="2">
        <v>0.92013888888888884</v>
      </c>
      <c r="J1412">
        <v>4</v>
      </c>
      <c r="K1412">
        <v>17</v>
      </c>
      <c r="L1412" t="s">
        <v>84</v>
      </c>
      <c r="M1412">
        <v>8.1999999999999993</v>
      </c>
      <c r="N1412">
        <v>59</v>
      </c>
      <c r="O1412">
        <v>13</v>
      </c>
      <c r="P1412">
        <v>17.5</v>
      </c>
      <c r="Q1412" t="s">
        <v>31</v>
      </c>
      <c r="R1412">
        <v>0</v>
      </c>
      <c r="S1412">
        <v>22</v>
      </c>
      <c r="T1412">
        <v>0</v>
      </c>
      <c r="U1412">
        <v>0</v>
      </c>
      <c r="V1412">
        <v>6</v>
      </c>
      <c r="W1412" t="s">
        <v>55</v>
      </c>
      <c r="X1412">
        <v>1</v>
      </c>
      <c r="Y1412" t="str">
        <f t="shared" si="22"/>
        <v>Low</v>
      </c>
    </row>
    <row r="1413" spans="1:25">
      <c r="A1413" t="s">
        <v>1526</v>
      </c>
      <c r="B1413" s="1">
        <v>44941</v>
      </c>
      <c r="C1413" s="2">
        <v>0.90625</v>
      </c>
      <c r="D1413" t="s">
        <v>74</v>
      </c>
      <c r="E1413" t="s">
        <v>61</v>
      </c>
      <c r="F1413" t="s">
        <v>69</v>
      </c>
      <c r="G1413" t="s">
        <v>105</v>
      </c>
      <c r="H1413" s="2">
        <v>0.90763888888888888</v>
      </c>
      <c r="I1413" s="2">
        <v>0.92986111111111114</v>
      </c>
      <c r="J1413">
        <v>19</v>
      </c>
      <c r="K1413">
        <v>11</v>
      </c>
      <c r="L1413" t="s">
        <v>30</v>
      </c>
      <c r="M1413">
        <v>-4.4000000000000004</v>
      </c>
      <c r="N1413">
        <v>41</v>
      </c>
      <c r="O1413">
        <v>44</v>
      </c>
      <c r="P1413">
        <v>2.4</v>
      </c>
      <c r="Q1413" t="s">
        <v>31</v>
      </c>
      <c r="R1413">
        <v>10000</v>
      </c>
      <c r="S1413">
        <v>79</v>
      </c>
      <c r="T1413">
        <v>1</v>
      </c>
      <c r="U1413">
        <v>1</v>
      </c>
      <c r="V1413">
        <v>6</v>
      </c>
      <c r="W1413" t="s">
        <v>55</v>
      </c>
      <c r="X1413">
        <v>1</v>
      </c>
      <c r="Y1413" t="str">
        <f t="shared" si="22"/>
        <v>High</v>
      </c>
    </row>
    <row r="1414" spans="1:25">
      <c r="A1414" t="s">
        <v>1527</v>
      </c>
      <c r="B1414" s="1">
        <v>44941</v>
      </c>
      <c r="C1414" s="2">
        <v>0.91666666666666663</v>
      </c>
      <c r="D1414" t="s">
        <v>41</v>
      </c>
      <c r="E1414" t="s">
        <v>130</v>
      </c>
      <c r="F1414" t="s">
        <v>44</v>
      </c>
      <c r="G1414" t="s">
        <v>109</v>
      </c>
      <c r="H1414" s="2">
        <v>0.91874999999999996</v>
      </c>
      <c r="I1414" s="2">
        <v>0.94236111111111109</v>
      </c>
      <c r="J1414">
        <v>14</v>
      </c>
      <c r="K1414">
        <v>11</v>
      </c>
      <c r="L1414" t="s">
        <v>38</v>
      </c>
      <c r="M1414">
        <v>-2.8</v>
      </c>
      <c r="N1414">
        <v>78</v>
      </c>
      <c r="O1414">
        <v>52</v>
      </c>
      <c r="P1414">
        <v>8.3000000000000007</v>
      </c>
      <c r="Q1414" t="s">
        <v>101</v>
      </c>
      <c r="R1414">
        <v>0</v>
      </c>
      <c r="S1414">
        <v>43</v>
      </c>
      <c r="T1414">
        <v>0</v>
      </c>
      <c r="U1414">
        <v>0</v>
      </c>
      <c r="V1414">
        <v>6</v>
      </c>
      <c r="W1414" t="s">
        <v>72</v>
      </c>
      <c r="X1414">
        <v>1</v>
      </c>
      <c r="Y1414" t="str">
        <f t="shared" si="22"/>
        <v>Medium</v>
      </c>
    </row>
    <row r="1415" spans="1:25">
      <c r="A1415" t="s">
        <v>1528</v>
      </c>
      <c r="B1415" s="1">
        <v>44941</v>
      </c>
      <c r="C1415" s="2">
        <v>0.92708333333333337</v>
      </c>
      <c r="D1415" t="s">
        <v>34</v>
      </c>
      <c r="E1415" t="s">
        <v>161</v>
      </c>
      <c r="F1415" t="s">
        <v>163</v>
      </c>
      <c r="G1415" t="s">
        <v>122</v>
      </c>
      <c r="H1415" s="2">
        <v>0.92777777777777781</v>
      </c>
      <c r="I1415" s="2">
        <v>0.96597222222222223</v>
      </c>
      <c r="J1415">
        <v>1</v>
      </c>
      <c r="K1415">
        <v>-3</v>
      </c>
      <c r="L1415" t="s">
        <v>38</v>
      </c>
      <c r="M1415">
        <v>6.3</v>
      </c>
      <c r="N1415">
        <v>75</v>
      </c>
      <c r="O1415">
        <v>33</v>
      </c>
      <c r="P1415">
        <v>5.4</v>
      </c>
      <c r="Q1415" t="s">
        <v>71</v>
      </c>
      <c r="R1415">
        <v>0</v>
      </c>
      <c r="S1415">
        <v>69</v>
      </c>
      <c r="T1415">
        <v>0</v>
      </c>
      <c r="U1415">
        <v>1</v>
      </c>
      <c r="V1415">
        <v>6</v>
      </c>
      <c r="W1415" t="s">
        <v>72</v>
      </c>
      <c r="X1415">
        <v>0</v>
      </c>
      <c r="Y1415" t="str">
        <f t="shared" si="22"/>
        <v>High</v>
      </c>
    </row>
    <row r="1416" spans="1:25">
      <c r="A1416" t="s">
        <v>1529</v>
      </c>
      <c r="B1416" s="1">
        <v>44941</v>
      </c>
      <c r="C1416" s="2">
        <v>0.9375</v>
      </c>
      <c r="D1416" t="s">
        <v>74</v>
      </c>
      <c r="E1416" t="s">
        <v>157</v>
      </c>
      <c r="F1416" t="s">
        <v>43</v>
      </c>
      <c r="G1416" t="s">
        <v>76</v>
      </c>
      <c r="H1416" s="2">
        <v>0.93888888888888888</v>
      </c>
      <c r="I1416" s="2">
        <v>0.96944444444444444</v>
      </c>
      <c r="J1416">
        <v>13</v>
      </c>
      <c r="K1416">
        <v>20</v>
      </c>
      <c r="L1416" t="s">
        <v>45</v>
      </c>
      <c r="M1416">
        <v>22.6</v>
      </c>
      <c r="N1416">
        <v>72</v>
      </c>
      <c r="O1416">
        <v>1</v>
      </c>
      <c r="P1416">
        <v>0.3</v>
      </c>
      <c r="Q1416" t="s">
        <v>63</v>
      </c>
      <c r="R1416">
        <v>0</v>
      </c>
      <c r="S1416">
        <v>57</v>
      </c>
      <c r="T1416">
        <v>0</v>
      </c>
      <c r="U1416">
        <v>1</v>
      </c>
      <c r="V1416">
        <v>6</v>
      </c>
      <c r="W1416" t="s">
        <v>55</v>
      </c>
      <c r="X1416">
        <v>1</v>
      </c>
      <c r="Y1416" t="str">
        <f t="shared" si="22"/>
        <v>Medium</v>
      </c>
    </row>
    <row r="1417" spans="1:25">
      <c r="A1417" t="s">
        <v>1530</v>
      </c>
      <c r="B1417" s="1">
        <v>44941</v>
      </c>
      <c r="C1417" s="2">
        <v>0.94791666666666663</v>
      </c>
      <c r="D1417" t="s">
        <v>34</v>
      </c>
      <c r="E1417" t="s">
        <v>126</v>
      </c>
      <c r="F1417" t="s">
        <v>113</v>
      </c>
      <c r="G1417" t="s">
        <v>100</v>
      </c>
      <c r="H1417" s="2">
        <v>0.94930555555555551</v>
      </c>
      <c r="I1417" s="2">
        <v>0.98541666666666672</v>
      </c>
      <c r="J1417">
        <v>16</v>
      </c>
      <c r="K1417">
        <v>8</v>
      </c>
      <c r="L1417" t="s">
        <v>38</v>
      </c>
      <c r="M1417">
        <v>31.3</v>
      </c>
      <c r="N1417">
        <v>31</v>
      </c>
      <c r="O1417">
        <v>43</v>
      </c>
      <c r="P1417">
        <v>15.8</v>
      </c>
      <c r="Q1417" t="s">
        <v>31</v>
      </c>
      <c r="R1417">
        <v>0</v>
      </c>
      <c r="S1417">
        <v>58</v>
      </c>
      <c r="T1417">
        <v>0</v>
      </c>
      <c r="U1417">
        <v>0</v>
      </c>
      <c r="V1417">
        <v>6</v>
      </c>
      <c r="W1417" t="s">
        <v>32</v>
      </c>
      <c r="X1417">
        <v>1</v>
      </c>
      <c r="Y1417" t="str">
        <f t="shared" si="22"/>
        <v>Medium</v>
      </c>
    </row>
    <row r="1418" spans="1:25">
      <c r="A1418" t="s">
        <v>1531</v>
      </c>
      <c r="B1418" s="1">
        <v>44941</v>
      </c>
      <c r="C1418" s="2">
        <v>0.95833333333333337</v>
      </c>
      <c r="D1418" t="s">
        <v>41</v>
      </c>
      <c r="E1418" t="s">
        <v>141</v>
      </c>
      <c r="F1418" t="s">
        <v>176</v>
      </c>
      <c r="G1418" t="s">
        <v>69</v>
      </c>
      <c r="H1418" s="2">
        <v>0.95972222222222225</v>
      </c>
      <c r="I1418" s="2">
        <v>0.99583333333333335</v>
      </c>
      <c r="J1418">
        <v>7</v>
      </c>
      <c r="K1418">
        <v>6</v>
      </c>
      <c r="L1418" t="s">
        <v>84</v>
      </c>
      <c r="M1418">
        <v>33.4</v>
      </c>
      <c r="N1418">
        <v>83</v>
      </c>
      <c r="O1418">
        <v>32</v>
      </c>
      <c r="P1418">
        <v>16.3</v>
      </c>
      <c r="Q1418" t="s">
        <v>31</v>
      </c>
      <c r="R1418">
        <v>0</v>
      </c>
      <c r="S1418">
        <v>25</v>
      </c>
      <c r="T1418">
        <v>0</v>
      </c>
      <c r="U1418">
        <v>0</v>
      </c>
      <c r="V1418">
        <v>6</v>
      </c>
      <c r="W1418" t="s">
        <v>72</v>
      </c>
      <c r="X1418">
        <v>1</v>
      </c>
      <c r="Y1418" t="str">
        <f t="shared" si="22"/>
        <v>Low</v>
      </c>
    </row>
    <row r="1419" spans="1:25">
      <c r="A1419" t="s">
        <v>1532</v>
      </c>
      <c r="B1419" s="1">
        <v>44941</v>
      </c>
      <c r="C1419" s="2">
        <v>0.96875</v>
      </c>
      <c r="D1419" t="s">
        <v>26</v>
      </c>
      <c r="E1419" t="s">
        <v>61</v>
      </c>
      <c r="F1419" t="s">
        <v>96</v>
      </c>
      <c r="G1419" t="s">
        <v>75</v>
      </c>
      <c r="H1419" s="2">
        <v>0.96875</v>
      </c>
      <c r="I1419" s="2">
        <v>1.3888888888888889E-3</v>
      </c>
      <c r="J1419">
        <v>0</v>
      </c>
      <c r="K1419">
        <v>27</v>
      </c>
      <c r="L1419" t="s">
        <v>45</v>
      </c>
      <c r="M1419">
        <v>-4</v>
      </c>
      <c r="N1419">
        <v>64</v>
      </c>
      <c r="O1419">
        <v>18</v>
      </c>
      <c r="P1419">
        <v>4.4000000000000004</v>
      </c>
      <c r="Q1419" t="s">
        <v>31</v>
      </c>
      <c r="R1419">
        <v>0</v>
      </c>
      <c r="S1419">
        <v>21</v>
      </c>
      <c r="T1419">
        <v>0</v>
      </c>
      <c r="U1419">
        <v>0</v>
      </c>
      <c r="V1419">
        <v>6</v>
      </c>
      <c r="W1419" t="s">
        <v>39</v>
      </c>
      <c r="X1419">
        <v>1</v>
      </c>
      <c r="Y1419" t="str">
        <f t="shared" si="22"/>
        <v>Low</v>
      </c>
    </row>
    <row r="1420" spans="1:25">
      <c r="A1420" t="s">
        <v>1533</v>
      </c>
      <c r="B1420" s="1">
        <v>44941</v>
      </c>
      <c r="C1420" s="2">
        <v>0.97916666666666663</v>
      </c>
      <c r="D1420" t="s">
        <v>41</v>
      </c>
      <c r="E1420" t="s">
        <v>130</v>
      </c>
      <c r="F1420" t="s">
        <v>118</v>
      </c>
      <c r="G1420" t="s">
        <v>194</v>
      </c>
      <c r="H1420" s="2">
        <v>0.9819444444444444</v>
      </c>
      <c r="I1420" s="2">
        <v>1.9444444444444445E-2</v>
      </c>
      <c r="J1420">
        <v>0</v>
      </c>
      <c r="K1420">
        <v>7</v>
      </c>
      <c r="L1420" t="s">
        <v>84</v>
      </c>
      <c r="M1420">
        <v>34.6</v>
      </c>
      <c r="N1420">
        <v>81</v>
      </c>
      <c r="O1420">
        <v>59</v>
      </c>
      <c r="P1420">
        <v>3</v>
      </c>
      <c r="Q1420" t="s">
        <v>31</v>
      </c>
      <c r="R1420">
        <v>10000</v>
      </c>
      <c r="S1420">
        <v>87</v>
      </c>
      <c r="T1420">
        <v>0</v>
      </c>
      <c r="U1420">
        <v>1</v>
      </c>
      <c r="V1420">
        <v>6</v>
      </c>
      <c r="W1420" t="s">
        <v>72</v>
      </c>
      <c r="X1420">
        <v>1</v>
      </c>
      <c r="Y1420" t="str">
        <f t="shared" si="22"/>
        <v>High</v>
      </c>
    </row>
    <row r="1421" spans="1:25">
      <c r="A1421" t="s">
        <v>1534</v>
      </c>
      <c r="B1421" s="1">
        <v>44941</v>
      </c>
      <c r="C1421" s="2">
        <v>0.98958333333333337</v>
      </c>
      <c r="D1421" t="s">
        <v>41</v>
      </c>
      <c r="E1421" t="s">
        <v>89</v>
      </c>
      <c r="F1421" t="s">
        <v>83</v>
      </c>
      <c r="G1421" t="s">
        <v>99</v>
      </c>
      <c r="H1421" s="2">
        <v>0.99097222222222225</v>
      </c>
      <c r="I1421" s="2">
        <v>2.9166666666666667E-2</v>
      </c>
      <c r="J1421">
        <v>14</v>
      </c>
      <c r="K1421">
        <v>12</v>
      </c>
      <c r="L1421" t="s">
        <v>54</v>
      </c>
      <c r="M1421">
        <v>7.9</v>
      </c>
      <c r="N1421">
        <v>62</v>
      </c>
      <c r="O1421">
        <v>59</v>
      </c>
      <c r="P1421">
        <v>2.9</v>
      </c>
      <c r="Q1421" t="s">
        <v>31</v>
      </c>
      <c r="R1421">
        <v>0</v>
      </c>
      <c r="S1421">
        <v>39</v>
      </c>
      <c r="T1421">
        <v>0</v>
      </c>
      <c r="U1421">
        <v>0</v>
      </c>
      <c r="V1421">
        <v>6</v>
      </c>
      <c r="W1421" t="s">
        <v>32</v>
      </c>
      <c r="X1421">
        <v>1</v>
      </c>
      <c r="Y1421" t="str">
        <f t="shared" si="22"/>
        <v>Medium</v>
      </c>
    </row>
    <row r="1422" spans="1:25">
      <c r="A1422" t="s">
        <v>1535</v>
      </c>
      <c r="B1422" s="1">
        <v>44942</v>
      </c>
      <c r="C1422" s="2">
        <v>0</v>
      </c>
      <c r="D1422" t="s">
        <v>41</v>
      </c>
      <c r="E1422" t="s">
        <v>126</v>
      </c>
      <c r="F1422" t="s">
        <v>194</v>
      </c>
      <c r="G1422" t="s">
        <v>194</v>
      </c>
      <c r="H1422" s="2">
        <v>2.0833333333333333E-3</v>
      </c>
      <c r="I1422" s="2">
        <v>1.9444444444444445E-2</v>
      </c>
      <c r="J1422">
        <v>7</v>
      </c>
      <c r="K1422">
        <v>5</v>
      </c>
      <c r="L1422" t="s">
        <v>84</v>
      </c>
      <c r="M1422">
        <v>28.7</v>
      </c>
      <c r="N1422">
        <v>80</v>
      </c>
      <c r="O1422">
        <v>26</v>
      </c>
      <c r="P1422">
        <v>9.3000000000000007</v>
      </c>
      <c r="Q1422" t="s">
        <v>101</v>
      </c>
      <c r="R1422">
        <v>0</v>
      </c>
      <c r="S1422">
        <v>84</v>
      </c>
      <c r="T1422">
        <v>0</v>
      </c>
      <c r="U1422">
        <v>0</v>
      </c>
      <c r="V1422">
        <v>0</v>
      </c>
      <c r="W1422" t="s">
        <v>32</v>
      </c>
      <c r="X1422">
        <v>0</v>
      </c>
      <c r="Y1422" t="str">
        <f t="shared" si="22"/>
        <v>High</v>
      </c>
    </row>
    <row r="1423" spans="1:25">
      <c r="A1423" t="s">
        <v>1536</v>
      </c>
      <c r="B1423" s="1">
        <v>44942</v>
      </c>
      <c r="C1423" s="2">
        <v>1.0416666666666666E-2</v>
      </c>
      <c r="D1423" t="s">
        <v>41</v>
      </c>
      <c r="E1423" t="s">
        <v>68</v>
      </c>
      <c r="F1423" t="s">
        <v>99</v>
      </c>
      <c r="G1423" t="s">
        <v>99</v>
      </c>
      <c r="H1423" s="2">
        <v>1.1111111111111112E-2</v>
      </c>
      <c r="I1423" s="2">
        <v>3.1944444444444442E-2</v>
      </c>
      <c r="J1423">
        <v>14</v>
      </c>
      <c r="K1423">
        <v>10</v>
      </c>
      <c r="L1423" t="s">
        <v>38</v>
      </c>
      <c r="M1423">
        <v>2.2000000000000002</v>
      </c>
      <c r="N1423">
        <v>55</v>
      </c>
      <c r="O1423">
        <v>47</v>
      </c>
      <c r="P1423">
        <v>4.9000000000000004</v>
      </c>
      <c r="Q1423" t="s">
        <v>31</v>
      </c>
      <c r="R1423">
        <v>0</v>
      </c>
      <c r="S1423">
        <v>93</v>
      </c>
      <c r="T1423">
        <v>0</v>
      </c>
      <c r="U1423">
        <v>0</v>
      </c>
      <c r="V1423">
        <v>0</v>
      </c>
      <c r="W1423" t="s">
        <v>72</v>
      </c>
      <c r="X1423">
        <v>1</v>
      </c>
      <c r="Y1423" t="str">
        <f t="shared" si="22"/>
        <v>High</v>
      </c>
    </row>
    <row r="1424" spans="1:25">
      <c r="A1424" t="s">
        <v>1537</v>
      </c>
      <c r="B1424" s="1">
        <v>44942</v>
      </c>
      <c r="C1424" s="2">
        <v>2.0833333333333332E-2</v>
      </c>
      <c r="D1424" t="s">
        <v>26</v>
      </c>
      <c r="E1424" t="s">
        <v>79</v>
      </c>
      <c r="F1424" t="s">
        <v>118</v>
      </c>
      <c r="G1424" t="s">
        <v>53</v>
      </c>
      <c r="H1424" s="2">
        <v>2.2916666666666665E-2</v>
      </c>
      <c r="I1424" s="2">
        <v>4.4444444444444446E-2</v>
      </c>
      <c r="J1424">
        <v>19</v>
      </c>
      <c r="K1424">
        <v>15</v>
      </c>
      <c r="L1424" t="s">
        <v>54</v>
      </c>
      <c r="M1424">
        <v>-2.5</v>
      </c>
      <c r="N1424">
        <v>91</v>
      </c>
      <c r="O1424">
        <v>29</v>
      </c>
      <c r="P1424">
        <v>10.199999999999999</v>
      </c>
      <c r="Q1424" t="s">
        <v>101</v>
      </c>
      <c r="R1424">
        <v>0</v>
      </c>
      <c r="S1424">
        <v>10</v>
      </c>
      <c r="T1424">
        <v>0</v>
      </c>
      <c r="U1424">
        <v>0</v>
      </c>
      <c r="V1424">
        <v>0</v>
      </c>
      <c r="W1424" t="s">
        <v>72</v>
      </c>
      <c r="X1424">
        <v>1</v>
      </c>
      <c r="Y1424" t="str">
        <f t="shared" si="22"/>
        <v>Low</v>
      </c>
    </row>
    <row r="1425" spans="1:25">
      <c r="A1425" t="s">
        <v>1538</v>
      </c>
      <c r="B1425" s="1">
        <v>44942</v>
      </c>
      <c r="C1425" s="2">
        <v>3.125E-2</v>
      </c>
      <c r="D1425" t="s">
        <v>26</v>
      </c>
      <c r="E1425" t="s">
        <v>68</v>
      </c>
      <c r="F1425" t="s">
        <v>81</v>
      </c>
      <c r="G1425" t="s">
        <v>118</v>
      </c>
      <c r="H1425" s="2">
        <v>3.125E-2</v>
      </c>
      <c r="I1425" s="2">
        <v>5.9027777777777776E-2</v>
      </c>
      <c r="J1425">
        <v>14</v>
      </c>
      <c r="K1425">
        <v>27</v>
      </c>
      <c r="L1425" t="s">
        <v>38</v>
      </c>
      <c r="M1425">
        <v>10.1</v>
      </c>
      <c r="N1425">
        <v>90</v>
      </c>
      <c r="O1425">
        <v>6</v>
      </c>
      <c r="P1425">
        <v>7.7</v>
      </c>
      <c r="Q1425" t="s">
        <v>31</v>
      </c>
      <c r="R1425">
        <v>10000</v>
      </c>
      <c r="S1425">
        <v>8</v>
      </c>
      <c r="T1425">
        <v>1</v>
      </c>
      <c r="U1425">
        <v>1</v>
      </c>
      <c r="V1425">
        <v>0</v>
      </c>
      <c r="W1425" t="s">
        <v>39</v>
      </c>
      <c r="X1425">
        <v>1</v>
      </c>
      <c r="Y1425" t="str">
        <f t="shared" si="22"/>
        <v>Low</v>
      </c>
    </row>
    <row r="1426" spans="1:25">
      <c r="A1426" t="s">
        <v>1539</v>
      </c>
      <c r="B1426" s="1">
        <v>44942</v>
      </c>
      <c r="C1426" s="2">
        <v>4.1666666666666664E-2</v>
      </c>
      <c r="D1426" t="s">
        <v>34</v>
      </c>
      <c r="E1426" t="s">
        <v>48</v>
      </c>
      <c r="F1426" t="s">
        <v>83</v>
      </c>
      <c r="G1426" t="s">
        <v>176</v>
      </c>
      <c r="H1426" s="2">
        <v>4.1666666666666664E-2</v>
      </c>
      <c r="I1426" s="2">
        <v>7.9166666666666663E-2</v>
      </c>
      <c r="J1426">
        <v>18</v>
      </c>
      <c r="K1426">
        <v>5</v>
      </c>
      <c r="L1426" t="s">
        <v>84</v>
      </c>
      <c r="M1426">
        <v>29.4</v>
      </c>
      <c r="N1426">
        <v>55</v>
      </c>
      <c r="O1426">
        <v>26</v>
      </c>
      <c r="P1426">
        <v>4.2</v>
      </c>
      <c r="Q1426" t="s">
        <v>71</v>
      </c>
      <c r="R1426">
        <v>50000</v>
      </c>
      <c r="S1426">
        <v>11</v>
      </c>
      <c r="T1426">
        <v>0</v>
      </c>
      <c r="U1426">
        <v>0</v>
      </c>
      <c r="V1426">
        <v>0</v>
      </c>
      <c r="W1426" t="s">
        <v>72</v>
      </c>
      <c r="X1426">
        <v>0</v>
      </c>
      <c r="Y1426" t="str">
        <f t="shared" si="22"/>
        <v>Low</v>
      </c>
    </row>
    <row r="1427" spans="1:25">
      <c r="A1427" t="s">
        <v>1540</v>
      </c>
      <c r="B1427" s="1">
        <v>44942</v>
      </c>
      <c r="C1427" s="2">
        <v>5.2083333333333336E-2</v>
      </c>
      <c r="D1427" t="s">
        <v>74</v>
      </c>
      <c r="E1427" t="s">
        <v>35</v>
      </c>
      <c r="F1427" t="s">
        <v>65</v>
      </c>
      <c r="G1427" t="s">
        <v>168</v>
      </c>
      <c r="H1427" s="2">
        <v>5.4166666666666669E-2</v>
      </c>
      <c r="I1427" s="2">
        <v>8.819444444444445E-2</v>
      </c>
      <c r="J1427">
        <v>1</v>
      </c>
      <c r="K1427">
        <v>22</v>
      </c>
      <c r="L1427" t="s">
        <v>38</v>
      </c>
      <c r="M1427">
        <v>3.8</v>
      </c>
      <c r="N1427">
        <v>66</v>
      </c>
      <c r="O1427">
        <v>20</v>
      </c>
      <c r="P1427">
        <v>15</v>
      </c>
      <c r="Q1427" t="s">
        <v>31</v>
      </c>
      <c r="R1427">
        <v>0</v>
      </c>
      <c r="S1427">
        <v>25</v>
      </c>
      <c r="T1427">
        <v>1</v>
      </c>
      <c r="U1427">
        <v>1</v>
      </c>
      <c r="V1427">
        <v>0</v>
      </c>
      <c r="W1427" t="s">
        <v>32</v>
      </c>
      <c r="X1427">
        <v>1</v>
      </c>
      <c r="Y1427" t="str">
        <f t="shared" si="22"/>
        <v>Low</v>
      </c>
    </row>
    <row r="1428" spans="1:25">
      <c r="A1428" t="s">
        <v>1541</v>
      </c>
      <c r="B1428" s="1">
        <v>44942</v>
      </c>
      <c r="C1428" s="2">
        <v>6.25E-2</v>
      </c>
      <c r="D1428" t="s">
        <v>26</v>
      </c>
      <c r="E1428" t="s">
        <v>147</v>
      </c>
      <c r="F1428" t="s">
        <v>80</v>
      </c>
      <c r="G1428" t="s">
        <v>107</v>
      </c>
      <c r="H1428" s="2">
        <v>6.5277777777777782E-2</v>
      </c>
      <c r="I1428" s="2">
        <v>8.8888888888888892E-2</v>
      </c>
      <c r="J1428">
        <v>18</v>
      </c>
      <c r="K1428">
        <v>4</v>
      </c>
      <c r="L1428" t="s">
        <v>38</v>
      </c>
      <c r="M1428">
        <v>1.2</v>
      </c>
      <c r="N1428">
        <v>59</v>
      </c>
      <c r="O1428">
        <v>6</v>
      </c>
      <c r="P1428">
        <v>3</v>
      </c>
      <c r="Q1428" t="s">
        <v>31</v>
      </c>
      <c r="R1428">
        <v>0</v>
      </c>
      <c r="S1428">
        <v>37</v>
      </c>
      <c r="T1428">
        <v>0</v>
      </c>
      <c r="U1428">
        <v>0</v>
      </c>
      <c r="V1428">
        <v>0</v>
      </c>
      <c r="W1428" t="s">
        <v>39</v>
      </c>
      <c r="X1428">
        <v>0</v>
      </c>
      <c r="Y1428" t="str">
        <f t="shared" si="22"/>
        <v>Medium</v>
      </c>
    </row>
    <row r="1429" spans="1:25">
      <c r="A1429" t="s">
        <v>1542</v>
      </c>
      <c r="B1429" s="1">
        <v>44942</v>
      </c>
      <c r="C1429" s="2">
        <v>7.2916666666666671E-2</v>
      </c>
      <c r="D1429" t="s">
        <v>26</v>
      </c>
      <c r="E1429" t="s">
        <v>141</v>
      </c>
      <c r="F1429" t="s">
        <v>76</v>
      </c>
      <c r="G1429" t="s">
        <v>142</v>
      </c>
      <c r="H1429" s="2">
        <v>7.2916666666666671E-2</v>
      </c>
      <c r="I1429" s="2">
        <v>0.10208333333333333</v>
      </c>
      <c r="J1429">
        <v>3</v>
      </c>
      <c r="K1429">
        <v>20</v>
      </c>
      <c r="L1429" t="s">
        <v>38</v>
      </c>
      <c r="M1429">
        <v>31.4</v>
      </c>
      <c r="N1429">
        <v>40</v>
      </c>
      <c r="O1429">
        <v>47</v>
      </c>
      <c r="P1429">
        <v>16</v>
      </c>
      <c r="Q1429" t="s">
        <v>101</v>
      </c>
      <c r="R1429">
        <v>10000</v>
      </c>
      <c r="S1429">
        <v>2</v>
      </c>
      <c r="T1429">
        <v>0</v>
      </c>
      <c r="U1429">
        <v>0</v>
      </c>
      <c r="V1429">
        <v>0</v>
      </c>
      <c r="W1429" t="s">
        <v>72</v>
      </c>
      <c r="X1429">
        <v>1</v>
      </c>
      <c r="Y1429" t="str">
        <f t="shared" si="22"/>
        <v>Low</v>
      </c>
    </row>
    <row r="1430" spans="1:25">
      <c r="A1430" t="s">
        <v>1543</v>
      </c>
      <c r="B1430" s="1">
        <v>44942</v>
      </c>
      <c r="C1430" s="2">
        <v>8.3333333333333329E-2</v>
      </c>
      <c r="D1430" t="s">
        <v>74</v>
      </c>
      <c r="E1430" t="s">
        <v>27</v>
      </c>
      <c r="F1430" t="s">
        <v>37</v>
      </c>
      <c r="G1430" t="s">
        <v>142</v>
      </c>
      <c r="H1430" s="2">
        <v>8.3333333333333329E-2</v>
      </c>
      <c r="I1430" s="2">
        <v>0.10555555555555556</v>
      </c>
      <c r="J1430">
        <v>9</v>
      </c>
      <c r="K1430">
        <v>4</v>
      </c>
      <c r="L1430" t="s">
        <v>30</v>
      </c>
      <c r="M1430">
        <v>32.5</v>
      </c>
      <c r="N1430">
        <v>82</v>
      </c>
      <c r="O1430">
        <v>24</v>
      </c>
      <c r="P1430">
        <v>11.2</v>
      </c>
      <c r="Q1430" t="s">
        <v>31</v>
      </c>
      <c r="R1430">
        <v>0</v>
      </c>
      <c r="S1430">
        <v>96</v>
      </c>
      <c r="T1430">
        <v>0</v>
      </c>
      <c r="U1430">
        <v>0</v>
      </c>
      <c r="V1430">
        <v>0</v>
      </c>
      <c r="W1430" t="s">
        <v>39</v>
      </c>
      <c r="X1430">
        <v>0</v>
      </c>
      <c r="Y1430" t="str">
        <f t="shared" si="22"/>
        <v>High</v>
      </c>
    </row>
    <row r="1431" spans="1:25">
      <c r="A1431" t="s">
        <v>1544</v>
      </c>
      <c r="B1431" s="1">
        <v>44942</v>
      </c>
      <c r="C1431" s="2">
        <v>9.375E-2</v>
      </c>
      <c r="D1431" t="s">
        <v>26</v>
      </c>
      <c r="E1431" t="s">
        <v>35</v>
      </c>
      <c r="F1431" t="s">
        <v>53</v>
      </c>
      <c r="G1431" t="s">
        <v>203</v>
      </c>
      <c r="H1431" s="2">
        <v>9.583333333333334E-2</v>
      </c>
      <c r="I1431" s="2">
        <v>0.1076388888888889</v>
      </c>
      <c r="J1431">
        <v>19</v>
      </c>
      <c r="K1431">
        <v>15</v>
      </c>
      <c r="L1431" t="s">
        <v>54</v>
      </c>
      <c r="M1431">
        <v>-4.5</v>
      </c>
      <c r="N1431">
        <v>70</v>
      </c>
      <c r="O1431">
        <v>37</v>
      </c>
      <c r="P1431">
        <v>16.600000000000001</v>
      </c>
      <c r="Q1431" t="s">
        <v>46</v>
      </c>
      <c r="R1431">
        <v>500</v>
      </c>
      <c r="S1431">
        <v>14</v>
      </c>
      <c r="T1431">
        <v>0</v>
      </c>
      <c r="U1431">
        <v>1</v>
      </c>
      <c r="V1431">
        <v>0</v>
      </c>
      <c r="W1431" t="s">
        <v>39</v>
      </c>
      <c r="X1431">
        <v>1</v>
      </c>
      <c r="Y1431" t="str">
        <f t="shared" si="22"/>
        <v>Low</v>
      </c>
    </row>
    <row r="1432" spans="1:25">
      <c r="A1432" t="s">
        <v>1545</v>
      </c>
      <c r="B1432" s="1">
        <v>44942</v>
      </c>
      <c r="C1432" s="2">
        <v>0.10416666666666667</v>
      </c>
      <c r="D1432" t="s">
        <v>41</v>
      </c>
      <c r="E1432" t="s">
        <v>35</v>
      </c>
      <c r="F1432" t="s">
        <v>70</v>
      </c>
      <c r="G1432" t="s">
        <v>194</v>
      </c>
      <c r="H1432" s="2">
        <v>0.10416666666666667</v>
      </c>
      <c r="I1432" s="2">
        <v>0.13750000000000001</v>
      </c>
      <c r="J1432">
        <v>17</v>
      </c>
      <c r="K1432">
        <v>26</v>
      </c>
      <c r="L1432" t="s">
        <v>54</v>
      </c>
      <c r="M1432">
        <v>24.1</v>
      </c>
      <c r="N1432">
        <v>34</v>
      </c>
      <c r="O1432">
        <v>17</v>
      </c>
      <c r="P1432">
        <v>0.1</v>
      </c>
      <c r="Q1432" t="s">
        <v>31</v>
      </c>
      <c r="R1432">
        <v>50000</v>
      </c>
      <c r="S1432">
        <v>46</v>
      </c>
      <c r="T1432">
        <v>0</v>
      </c>
      <c r="U1432">
        <v>0</v>
      </c>
      <c r="V1432">
        <v>0</v>
      </c>
      <c r="W1432" t="s">
        <v>32</v>
      </c>
      <c r="X1432">
        <v>1</v>
      </c>
      <c r="Y1432" t="str">
        <f t="shared" si="22"/>
        <v>Medium</v>
      </c>
    </row>
    <row r="1433" spans="1:25">
      <c r="A1433" t="s">
        <v>1546</v>
      </c>
      <c r="B1433" s="1">
        <v>44942</v>
      </c>
      <c r="C1433" s="2">
        <v>0.11458333333333333</v>
      </c>
      <c r="D1433" t="s">
        <v>41</v>
      </c>
      <c r="E1433" t="s">
        <v>89</v>
      </c>
      <c r="F1433" t="s">
        <v>81</v>
      </c>
      <c r="G1433" t="s">
        <v>37</v>
      </c>
      <c r="H1433" s="2">
        <v>0.11736111111111111</v>
      </c>
      <c r="I1433" s="2">
        <v>0.14444444444444443</v>
      </c>
      <c r="J1433">
        <v>14</v>
      </c>
      <c r="K1433">
        <v>18</v>
      </c>
      <c r="L1433" t="s">
        <v>54</v>
      </c>
      <c r="M1433">
        <v>7.4</v>
      </c>
      <c r="N1433">
        <v>95</v>
      </c>
      <c r="O1433">
        <v>32</v>
      </c>
      <c r="P1433">
        <v>15</v>
      </c>
      <c r="Q1433" t="s">
        <v>101</v>
      </c>
      <c r="R1433">
        <v>500</v>
      </c>
      <c r="S1433">
        <v>4</v>
      </c>
      <c r="T1433">
        <v>0</v>
      </c>
      <c r="U1433">
        <v>0</v>
      </c>
      <c r="V1433">
        <v>0</v>
      </c>
      <c r="W1433" t="s">
        <v>32</v>
      </c>
      <c r="X1433">
        <v>1</v>
      </c>
      <c r="Y1433" t="str">
        <f t="shared" si="22"/>
        <v>Low</v>
      </c>
    </row>
    <row r="1434" spans="1:25">
      <c r="A1434" t="s">
        <v>1547</v>
      </c>
      <c r="B1434" s="1">
        <v>44942</v>
      </c>
      <c r="C1434" s="2">
        <v>0.125</v>
      </c>
      <c r="D1434" t="s">
        <v>74</v>
      </c>
      <c r="E1434" t="s">
        <v>141</v>
      </c>
      <c r="F1434" t="s">
        <v>91</v>
      </c>
      <c r="G1434" t="s">
        <v>113</v>
      </c>
      <c r="H1434" s="2">
        <v>0.12777777777777777</v>
      </c>
      <c r="I1434" s="2">
        <v>0.14930555555555555</v>
      </c>
      <c r="J1434">
        <v>14</v>
      </c>
      <c r="K1434">
        <v>5</v>
      </c>
      <c r="L1434" t="s">
        <v>84</v>
      </c>
      <c r="M1434">
        <v>10</v>
      </c>
      <c r="N1434">
        <v>42</v>
      </c>
      <c r="O1434">
        <v>32</v>
      </c>
      <c r="P1434">
        <v>1</v>
      </c>
      <c r="Q1434" t="s">
        <v>46</v>
      </c>
      <c r="R1434">
        <v>0</v>
      </c>
      <c r="S1434">
        <v>53</v>
      </c>
      <c r="T1434">
        <v>0</v>
      </c>
      <c r="U1434">
        <v>0</v>
      </c>
      <c r="V1434">
        <v>0</v>
      </c>
      <c r="W1434" t="s">
        <v>55</v>
      </c>
      <c r="X1434">
        <v>0</v>
      </c>
      <c r="Y1434" t="str">
        <f t="shared" si="22"/>
        <v>Medium</v>
      </c>
    </row>
    <row r="1435" spans="1:25">
      <c r="A1435" t="s">
        <v>1548</v>
      </c>
      <c r="B1435" s="1">
        <v>44942</v>
      </c>
      <c r="C1435" s="2">
        <v>0.13541666666666666</v>
      </c>
      <c r="D1435" t="s">
        <v>34</v>
      </c>
      <c r="E1435" t="s">
        <v>130</v>
      </c>
      <c r="F1435" t="s">
        <v>70</v>
      </c>
      <c r="G1435" t="s">
        <v>197</v>
      </c>
      <c r="H1435" s="2">
        <v>0.13819444444444445</v>
      </c>
      <c r="I1435" s="2">
        <v>0.16597222222222222</v>
      </c>
      <c r="J1435">
        <v>7</v>
      </c>
      <c r="K1435">
        <v>0</v>
      </c>
      <c r="L1435" t="s">
        <v>77</v>
      </c>
      <c r="M1435">
        <v>13.8</v>
      </c>
      <c r="N1435">
        <v>92</v>
      </c>
      <c r="O1435">
        <v>31</v>
      </c>
      <c r="P1435">
        <v>19</v>
      </c>
      <c r="Q1435" t="s">
        <v>31</v>
      </c>
      <c r="R1435">
        <v>10000</v>
      </c>
      <c r="S1435">
        <v>23</v>
      </c>
      <c r="T1435">
        <v>0</v>
      </c>
      <c r="U1435">
        <v>0</v>
      </c>
      <c r="V1435">
        <v>0</v>
      </c>
      <c r="W1435" t="s">
        <v>32</v>
      </c>
      <c r="X1435">
        <v>0</v>
      </c>
      <c r="Y1435" t="str">
        <f t="shared" si="22"/>
        <v>Low</v>
      </c>
    </row>
    <row r="1436" spans="1:25">
      <c r="A1436" t="s">
        <v>1549</v>
      </c>
      <c r="B1436" s="1">
        <v>44942</v>
      </c>
      <c r="C1436" s="2">
        <v>0.14583333333333334</v>
      </c>
      <c r="D1436" t="s">
        <v>34</v>
      </c>
      <c r="E1436" t="s">
        <v>35</v>
      </c>
      <c r="F1436" t="s">
        <v>58</v>
      </c>
      <c r="G1436" t="s">
        <v>76</v>
      </c>
      <c r="H1436" s="2">
        <v>0.14652777777777778</v>
      </c>
      <c r="I1436" s="2">
        <v>0.17499999999999999</v>
      </c>
      <c r="J1436">
        <v>4</v>
      </c>
      <c r="K1436">
        <v>4</v>
      </c>
      <c r="L1436" t="s">
        <v>84</v>
      </c>
      <c r="M1436">
        <v>12.1</v>
      </c>
      <c r="N1436">
        <v>54</v>
      </c>
      <c r="O1436">
        <v>57</v>
      </c>
      <c r="P1436">
        <v>14.1</v>
      </c>
      <c r="Q1436" t="s">
        <v>31</v>
      </c>
      <c r="R1436">
        <v>50000</v>
      </c>
      <c r="S1436">
        <v>10</v>
      </c>
      <c r="T1436">
        <v>0</v>
      </c>
      <c r="U1436">
        <v>0</v>
      </c>
      <c r="V1436">
        <v>0</v>
      </c>
      <c r="W1436" t="s">
        <v>55</v>
      </c>
      <c r="X1436">
        <v>0</v>
      </c>
      <c r="Y1436" t="str">
        <f t="shared" si="22"/>
        <v>Low</v>
      </c>
    </row>
    <row r="1437" spans="1:25">
      <c r="A1437" t="s">
        <v>1550</v>
      </c>
      <c r="B1437" s="1">
        <v>44942</v>
      </c>
      <c r="C1437" s="2">
        <v>0.15625</v>
      </c>
      <c r="D1437" t="s">
        <v>74</v>
      </c>
      <c r="E1437" t="s">
        <v>42</v>
      </c>
      <c r="F1437" t="s">
        <v>86</v>
      </c>
      <c r="G1437" t="s">
        <v>83</v>
      </c>
      <c r="H1437" s="2">
        <v>0.15902777777777777</v>
      </c>
      <c r="I1437" s="2">
        <v>0.18888888888888888</v>
      </c>
      <c r="J1437">
        <v>13</v>
      </c>
      <c r="K1437">
        <v>-3</v>
      </c>
      <c r="L1437" t="s">
        <v>54</v>
      </c>
      <c r="M1437">
        <v>15.6</v>
      </c>
      <c r="N1437">
        <v>73</v>
      </c>
      <c r="O1437">
        <v>24</v>
      </c>
      <c r="P1437">
        <v>6.4</v>
      </c>
      <c r="Q1437" t="s">
        <v>31</v>
      </c>
      <c r="R1437">
        <v>2000</v>
      </c>
      <c r="S1437">
        <v>32</v>
      </c>
      <c r="T1437">
        <v>0</v>
      </c>
      <c r="U1437">
        <v>0</v>
      </c>
      <c r="V1437">
        <v>0</v>
      </c>
      <c r="W1437" t="s">
        <v>32</v>
      </c>
      <c r="X1437">
        <v>0</v>
      </c>
      <c r="Y1437" t="str">
        <f t="shared" si="22"/>
        <v>Low</v>
      </c>
    </row>
    <row r="1438" spans="1:25">
      <c r="A1438" t="s">
        <v>1551</v>
      </c>
      <c r="B1438" s="1">
        <v>44942</v>
      </c>
      <c r="C1438" s="2">
        <v>0.16666666666666666</v>
      </c>
      <c r="D1438" t="s">
        <v>74</v>
      </c>
      <c r="E1438" t="s">
        <v>161</v>
      </c>
      <c r="F1438" t="s">
        <v>58</v>
      </c>
      <c r="G1438" t="s">
        <v>69</v>
      </c>
      <c r="H1438" s="2">
        <v>0.16944444444444445</v>
      </c>
      <c r="I1438" s="2">
        <v>0.19097222222222221</v>
      </c>
      <c r="J1438">
        <v>10</v>
      </c>
      <c r="K1438">
        <v>24</v>
      </c>
      <c r="L1438" t="s">
        <v>45</v>
      </c>
      <c r="M1438">
        <v>18.3</v>
      </c>
      <c r="N1438">
        <v>43</v>
      </c>
      <c r="O1438">
        <v>13</v>
      </c>
      <c r="P1438">
        <v>6.4</v>
      </c>
      <c r="Q1438" t="s">
        <v>31</v>
      </c>
      <c r="R1438">
        <v>0</v>
      </c>
      <c r="S1438">
        <v>86</v>
      </c>
      <c r="T1438">
        <v>0</v>
      </c>
      <c r="U1438">
        <v>0</v>
      </c>
      <c r="V1438">
        <v>0</v>
      </c>
      <c r="W1438" t="s">
        <v>32</v>
      </c>
      <c r="X1438">
        <v>1</v>
      </c>
      <c r="Y1438" t="str">
        <f t="shared" si="22"/>
        <v>High</v>
      </c>
    </row>
    <row r="1439" spans="1:25">
      <c r="A1439" t="s">
        <v>1552</v>
      </c>
      <c r="B1439" s="1">
        <v>44942</v>
      </c>
      <c r="C1439" s="2">
        <v>0.17708333333333334</v>
      </c>
      <c r="D1439" t="s">
        <v>41</v>
      </c>
      <c r="E1439" t="s">
        <v>130</v>
      </c>
      <c r="F1439" t="s">
        <v>99</v>
      </c>
      <c r="G1439" t="s">
        <v>70</v>
      </c>
      <c r="H1439" s="2">
        <v>0.17777777777777778</v>
      </c>
      <c r="I1439" s="2">
        <v>0.21666666666666667</v>
      </c>
      <c r="J1439">
        <v>0</v>
      </c>
      <c r="K1439">
        <v>2</v>
      </c>
      <c r="L1439" t="s">
        <v>38</v>
      </c>
      <c r="M1439">
        <v>13.6</v>
      </c>
      <c r="N1439">
        <v>98</v>
      </c>
      <c r="O1439">
        <v>37</v>
      </c>
      <c r="P1439">
        <v>17.2</v>
      </c>
      <c r="Q1439" t="s">
        <v>31</v>
      </c>
      <c r="R1439">
        <v>50000</v>
      </c>
      <c r="S1439">
        <v>73</v>
      </c>
      <c r="T1439">
        <v>1</v>
      </c>
      <c r="U1439">
        <v>0</v>
      </c>
      <c r="V1439">
        <v>0</v>
      </c>
      <c r="W1439" t="s">
        <v>55</v>
      </c>
      <c r="X1439">
        <v>0</v>
      </c>
      <c r="Y1439" t="str">
        <f t="shared" si="22"/>
        <v>High</v>
      </c>
    </row>
    <row r="1440" spans="1:25">
      <c r="A1440" t="s">
        <v>1553</v>
      </c>
      <c r="B1440" s="1">
        <v>44942</v>
      </c>
      <c r="C1440" s="2">
        <v>0.1875</v>
      </c>
      <c r="D1440" t="s">
        <v>34</v>
      </c>
      <c r="E1440" t="s">
        <v>126</v>
      </c>
      <c r="F1440" t="s">
        <v>75</v>
      </c>
      <c r="G1440" t="s">
        <v>135</v>
      </c>
      <c r="H1440" s="2">
        <v>0.18888888888888888</v>
      </c>
      <c r="I1440" s="2">
        <v>0.20833333333333334</v>
      </c>
      <c r="J1440">
        <v>-1</v>
      </c>
      <c r="K1440">
        <v>7</v>
      </c>
      <c r="L1440" t="s">
        <v>38</v>
      </c>
      <c r="M1440">
        <v>23.1</v>
      </c>
      <c r="N1440">
        <v>88</v>
      </c>
      <c r="O1440">
        <v>37</v>
      </c>
      <c r="P1440">
        <v>18.100000000000001</v>
      </c>
      <c r="Q1440" t="s">
        <v>31</v>
      </c>
      <c r="R1440">
        <v>50000</v>
      </c>
      <c r="S1440">
        <v>56</v>
      </c>
      <c r="T1440">
        <v>0</v>
      </c>
      <c r="U1440">
        <v>1</v>
      </c>
      <c r="V1440">
        <v>0</v>
      </c>
      <c r="W1440" t="s">
        <v>55</v>
      </c>
      <c r="X1440">
        <v>1</v>
      </c>
      <c r="Y1440" t="str">
        <f t="shared" si="22"/>
        <v>Medium</v>
      </c>
    </row>
    <row r="1441" spans="1:25">
      <c r="A1441" t="s">
        <v>1554</v>
      </c>
      <c r="B1441" s="1">
        <v>44942</v>
      </c>
      <c r="C1441" s="2">
        <v>0.19791666666666666</v>
      </c>
      <c r="D1441" t="s">
        <v>26</v>
      </c>
      <c r="E1441" t="s">
        <v>141</v>
      </c>
      <c r="F1441" t="s">
        <v>58</v>
      </c>
      <c r="G1441" t="s">
        <v>29</v>
      </c>
      <c r="H1441" s="2">
        <v>0.19791666666666666</v>
      </c>
      <c r="I1441" s="2">
        <v>0.21319444444444444</v>
      </c>
      <c r="J1441">
        <v>13</v>
      </c>
      <c r="K1441">
        <v>1</v>
      </c>
      <c r="L1441" t="s">
        <v>77</v>
      </c>
      <c r="M1441">
        <v>23.7</v>
      </c>
      <c r="N1441">
        <v>85</v>
      </c>
      <c r="O1441">
        <v>3</v>
      </c>
      <c r="P1441">
        <v>17.8</v>
      </c>
      <c r="Q1441" t="s">
        <v>31</v>
      </c>
      <c r="R1441">
        <v>50000</v>
      </c>
      <c r="S1441">
        <v>51</v>
      </c>
      <c r="T1441">
        <v>0</v>
      </c>
      <c r="U1441">
        <v>0</v>
      </c>
      <c r="V1441">
        <v>0</v>
      </c>
      <c r="W1441" t="s">
        <v>55</v>
      </c>
      <c r="X1441">
        <v>0</v>
      </c>
      <c r="Y1441" t="str">
        <f t="shared" si="22"/>
        <v>Medium</v>
      </c>
    </row>
    <row r="1442" spans="1:25">
      <c r="A1442" t="s">
        <v>1555</v>
      </c>
      <c r="B1442" s="1">
        <v>44942</v>
      </c>
      <c r="C1442" s="2">
        <v>0.20833333333333334</v>
      </c>
      <c r="D1442" t="s">
        <v>41</v>
      </c>
      <c r="E1442" t="s">
        <v>89</v>
      </c>
      <c r="F1442" t="s">
        <v>96</v>
      </c>
      <c r="G1442" t="s">
        <v>62</v>
      </c>
      <c r="H1442" s="2">
        <v>0.21111111111111111</v>
      </c>
      <c r="I1442" s="2">
        <v>0.23194444444444445</v>
      </c>
      <c r="J1442">
        <v>3</v>
      </c>
      <c r="K1442">
        <v>20</v>
      </c>
      <c r="L1442" t="s">
        <v>45</v>
      </c>
      <c r="M1442">
        <v>12.6</v>
      </c>
      <c r="N1442">
        <v>81</v>
      </c>
      <c r="O1442">
        <v>43</v>
      </c>
      <c r="P1442">
        <v>16.2</v>
      </c>
      <c r="Q1442" t="s">
        <v>63</v>
      </c>
      <c r="R1442">
        <v>0</v>
      </c>
      <c r="S1442">
        <v>63</v>
      </c>
      <c r="T1442">
        <v>0</v>
      </c>
      <c r="U1442">
        <v>0</v>
      </c>
      <c r="V1442">
        <v>0</v>
      </c>
      <c r="W1442" t="s">
        <v>39</v>
      </c>
      <c r="X1442">
        <v>1</v>
      </c>
      <c r="Y1442" t="str">
        <f t="shared" si="22"/>
        <v>Medium</v>
      </c>
    </row>
    <row r="1443" spans="1:25">
      <c r="A1443" t="s">
        <v>1556</v>
      </c>
      <c r="B1443" s="1">
        <v>44942</v>
      </c>
      <c r="C1443" s="2">
        <v>0.21875</v>
      </c>
      <c r="D1443" t="s">
        <v>74</v>
      </c>
      <c r="E1443" t="s">
        <v>48</v>
      </c>
      <c r="F1443" t="s">
        <v>176</v>
      </c>
      <c r="G1443" t="s">
        <v>37</v>
      </c>
      <c r="H1443" s="2">
        <v>0.21875</v>
      </c>
      <c r="I1443" s="2">
        <v>0.2326388888888889</v>
      </c>
      <c r="J1443">
        <v>3</v>
      </c>
      <c r="K1443">
        <v>14</v>
      </c>
      <c r="L1443" t="s">
        <v>30</v>
      </c>
      <c r="M1443">
        <v>0.7</v>
      </c>
      <c r="N1443">
        <v>95</v>
      </c>
      <c r="O1443">
        <v>17</v>
      </c>
      <c r="P1443">
        <v>16.399999999999999</v>
      </c>
      <c r="Q1443" t="s">
        <v>31</v>
      </c>
      <c r="R1443">
        <v>2000</v>
      </c>
      <c r="S1443">
        <v>42</v>
      </c>
      <c r="T1443">
        <v>0</v>
      </c>
      <c r="U1443">
        <v>0</v>
      </c>
      <c r="V1443">
        <v>0</v>
      </c>
      <c r="W1443" t="s">
        <v>55</v>
      </c>
      <c r="X1443">
        <v>1</v>
      </c>
      <c r="Y1443" t="str">
        <f t="shared" si="22"/>
        <v>Medium</v>
      </c>
    </row>
    <row r="1444" spans="1:25">
      <c r="A1444" t="s">
        <v>1557</v>
      </c>
      <c r="B1444" s="1">
        <v>44942</v>
      </c>
      <c r="C1444" s="2">
        <v>0.22916666666666666</v>
      </c>
      <c r="D1444" t="s">
        <v>34</v>
      </c>
      <c r="E1444" t="s">
        <v>27</v>
      </c>
      <c r="F1444" t="s">
        <v>86</v>
      </c>
      <c r="G1444" t="s">
        <v>90</v>
      </c>
      <c r="H1444" s="2">
        <v>0.23125000000000001</v>
      </c>
      <c r="I1444" s="2">
        <v>0.24722222222222223</v>
      </c>
      <c r="J1444">
        <v>10</v>
      </c>
      <c r="K1444">
        <v>16</v>
      </c>
      <c r="L1444" t="s">
        <v>84</v>
      </c>
      <c r="M1444">
        <v>20.6</v>
      </c>
      <c r="N1444">
        <v>97</v>
      </c>
      <c r="O1444">
        <v>9</v>
      </c>
      <c r="P1444">
        <v>11.5</v>
      </c>
      <c r="Q1444" t="s">
        <v>101</v>
      </c>
      <c r="R1444">
        <v>500</v>
      </c>
      <c r="S1444">
        <v>91</v>
      </c>
      <c r="T1444">
        <v>0</v>
      </c>
      <c r="U1444">
        <v>0</v>
      </c>
      <c r="V1444">
        <v>0</v>
      </c>
      <c r="W1444" t="s">
        <v>39</v>
      </c>
      <c r="X1444">
        <v>1</v>
      </c>
      <c r="Y1444" t="str">
        <f t="shared" si="22"/>
        <v>High</v>
      </c>
    </row>
    <row r="1445" spans="1:25">
      <c r="A1445" t="s">
        <v>1558</v>
      </c>
      <c r="B1445" s="1">
        <v>44942</v>
      </c>
      <c r="C1445" s="2">
        <v>0.23958333333333334</v>
      </c>
      <c r="D1445" t="s">
        <v>26</v>
      </c>
      <c r="E1445" t="s">
        <v>79</v>
      </c>
      <c r="F1445" t="s">
        <v>43</v>
      </c>
      <c r="G1445" t="s">
        <v>81</v>
      </c>
      <c r="H1445" s="2">
        <v>0.23958333333333334</v>
      </c>
      <c r="I1445" s="2">
        <v>0.25347222222222221</v>
      </c>
      <c r="J1445">
        <v>4</v>
      </c>
      <c r="K1445">
        <v>24</v>
      </c>
      <c r="L1445" t="s">
        <v>30</v>
      </c>
      <c r="M1445">
        <v>25.9</v>
      </c>
      <c r="N1445">
        <v>41</v>
      </c>
      <c r="O1445">
        <v>34</v>
      </c>
      <c r="P1445">
        <v>0.6</v>
      </c>
      <c r="Q1445" t="s">
        <v>31</v>
      </c>
      <c r="R1445">
        <v>0</v>
      </c>
      <c r="S1445">
        <v>80</v>
      </c>
      <c r="T1445">
        <v>0</v>
      </c>
      <c r="U1445">
        <v>0</v>
      </c>
      <c r="V1445">
        <v>0</v>
      </c>
      <c r="W1445" t="s">
        <v>39</v>
      </c>
      <c r="X1445">
        <v>1</v>
      </c>
      <c r="Y1445" t="str">
        <f t="shared" si="22"/>
        <v>High</v>
      </c>
    </row>
    <row r="1446" spans="1:25">
      <c r="A1446" t="s">
        <v>1559</v>
      </c>
      <c r="B1446" s="1">
        <v>44942</v>
      </c>
      <c r="C1446" s="2">
        <v>0.25</v>
      </c>
      <c r="D1446" t="s">
        <v>26</v>
      </c>
      <c r="E1446" t="s">
        <v>147</v>
      </c>
      <c r="F1446" t="s">
        <v>163</v>
      </c>
      <c r="G1446" t="s">
        <v>109</v>
      </c>
      <c r="H1446" s="2">
        <v>0.25069444444444444</v>
      </c>
      <c r="I1446" s="2">
        <v>0.28541666666666665</v>
      </c>
      <c r="J1446">
        <v>2</v>
      </c>
      <c r="K1446">
        <v>9</v>
      </c>
      <c r="L1446" t="s">
        <v>45</v>
      </c>
      <c r="M1446">
        <v>20.5</v>
      </c>
      <c r="N1446">
        <v>97</v>
      </c>
      <c r="O1446">
        <v>34</v>
      </c>
      <c r="P1446">
        <v>1.7</v>
      </c>
      <c r="Q1446" t="s">
        <v>71</v>
      </c>
      <c r="R1446">
        <v>0</v>
      </c>
      <c r="S1446">
        <v>43</v>
      </c>
      <c r="T1446">
        <v>0</v>
      </c>
      <c r="U1446">
        <v>0</v>
      </c>
      <c r="V1446">
        <v>0</v>
      </c>
      <c r="W1446" t="s">
        <v>55</v>
      </c>
      <c r="X1446">
        <v>1</v>
      </c>
      <c r="Y1446" t="str">
        <f t="shared" si="22"/>
        <v>Medium</v>
      </c>
    </row>
    <row r="1447" spans="1:25">
      <c r="A1447" t="s">
        <v>1560</v>
      </c>
      <c r="B1447" s="1">
        <v>44942</v>
      </c>
      <c r="C1447" s="2">
        <v>0.26041666666666669</v>
      </c>
      <c r="D1447" t="s">
        <v>41</v>
      </c>
      <c r="E1447" t="s">
        <v>42</v>
      </c>
      <c r="F1447" t="s">
        <v>76</v>
      </c>
      <c r="G1447" t="s">
        <v>151</v>
      </c>
      <c r="H1447" s="2">
        <v>0.26041666666666669</v>
      </c>
      <c r="I1447" s="2">
        <v>0.27986111111111112</v>
      </c>
      <c r="J1447">
        <v>4</v>
      </c>
      <c r="K1447">
        <v>1</v>
      </c>
      <c r="L1447" t="s">
        <v>77</v>
      </c>
      <c r="M1447">
        <v>18.5</v>
      </c>
      <c r="N1447">
        <v>72</v>
      </c>
      <c r="O1447">
        <v>39</v>
      </c>
      <c r="P1447">
        <v>13</v>
      </c>
      <c r="Q1447" t="s">
        <v>31</v>
      </c>
      <c r="R1447">
        <v>2000</v>
      </c>
      <c r="S1447">
        <v>89</v>
      </c>
      <c r="T1447">
        <v>0</v>
      </c>
      <c r="U1447">
        <v>0</v>
      </c>
      <c r="V1447">
        <v>0</v>
      </c>
      <c r="W1447" t="s">
        <v>55</v>
      </c>
      <c r="X1447">
        <v>0</v>
      </c>
      <c r="Y1447" t="str">
        <f t="shared" si="22"/>
        <v>High</v>
      </c>
    </row>
    <row r="1448" spans="1:25">
      <c r="A1448" t="s">
        <v>1561</v>
      </c>
      <c r="B1448" s="1">
        <v>44942</v>
      </c>
      <c r="C1448" s="2">
        <v>0.27083333333333331</v>
      </c>
      <c r="D1448" t="s">
        <v>34</v>
      </c>
      <c r="E1448" t="s">
        <v>57</v>
      </c>
      <c r="F1448" t="s">
        <v>185</v>
      </c>
      <c r="G1448" t="s">
        <v>29</v>
      </c>
      <c r="H1448" s="2">
        <v>0.27083333333333331</v>
      </c>
      <c r="I1448" s="2">
        <v>0.30416666666666664</v>
      </c>
      <c r="J1448">
        <v>-1</v>
      </c>
      <c r="K1448">
        <v>26</v>
      </c>
      <c r="L1448" t="s">
        <v>45</v>
      </c>
      <c r="M1448">
        <v>4.2</v>
      </c>
      <c r="N1448">
        <v>35</v>
      </c>
      <c r="O1448">
        <v>53</v>
      </c>
      <c r="P1448">
        <v>8</v>
      </c>
      <c r="Q1448" t="s">
        <v>31</v>
      </c>
      <c r="R1448">
        <v>10000</v>
      </c>
      <c r="S1448">
        <v>88</v>
      </c>
      <c r="T1448">
        <v>0</v>
      </c>
      <c r="U1448">
        <v>0</v>
      </c>
      <c r="V1448">
        <v>0</v>
      </c>
      <c r="W1448" t="s">
        <v>55</v>
      </c>
      <c r="X1448">
        <v>1</v>
      </c>
      <c r="Y1448" t="str">
        <f t="shared" si="22"/>
        <v>High</v>
      </c>
    </row>
    <row r="1449" spans="1:25">
      <c r="A1449" t="s">
        <v>1562</v>
      </c>
      <c r="B1449" s="1">
        <v>44942</v>
      </c>
      <c r="C1449" s="2">
        <v>0.28125</v>
      </c>
      <c r="D1449" t="s">
        <v>34</v>
      </c>
      <c r="E1449" t="s">
        <v>61</v>
      </c>
      <c r="F1449" t="s">
        <v>105</v>
      </c>
      <c r="G1449" t="s">
        <v>113</v>
      </c>
      <c r="H1449" s="2">
        <v>0.28125</v>
      </c>
      <c r="I1449" s="2">
        <v>0.3125</v>
      </c>
      <c r="J1449">
        <v>14</v>
      </c>
      <c r="K1449">
        <v>-3</v>
      </c>
      <c r="L1449" t="s">
        <v>77</v>
      </c>
      <c r="M1449">
        <v>20.8</v>
      </c>
      <c r="N1449">
        <v>44</v>
      </c>
      <c r="O1449">
        <v>22</v>
      </c>
      <c r="P1449">
        <v>11.3</v>
      </c>
      <c r="Q1449" t="s">
        <v>101</v>
      </c>
      <c r="R1449">
        <v>10000</v>
      </c>
      <c r="S1449">
        <v>35</v>
      </c>
      <c r="T1449">
        <v>0</v>
      </c>
      <c r="U1449">
        <v>0</v>
      </c>
      <c r="V1449">
        <v>0</v>
      </c>
      <c r="W1449" t="s">
        <v>32</v>
      </c>
      <c r="X1449">
        <v>0</v>
      </c>
      <c r="Y1449" t="str">
        <f t="shared" si="22"/>
        <v>Medium</v>
      </c>
    </row>
    <row r="1450" spans="1:25">
      <c r="A1450" t="s">
        <v>1563</v>
      </c>
      <c r="B1450" s="1">
        <v>44942</v>
      </c>
      <c r="C1450" s="2">
        <v>0.29166666666666669</v>
      </c>
      <c r="D1450" t="s">
        <v>74</v>
      </c>
      <c r="E1450" t="s">
        <v>35</v>
      </c>
      <c r="F1450" t="s">
        <v>36</v>
      </c>
      <c r="G1450" t="s">
        <v>50</v>
      </c>
      <c r="H1450" s="2">
        <v>0.29305555555555557</v>
      </c>
      <c r="I1450" s="2">
        <v>0.32083333333333336</v>
      </c>
      <c r="J1450">
        <v>10</v>
      </c>
      <c r="K1450">
        <v>18</v>
      </c>
      <c r="L1450" t="s">
        <v>30</v>
      </c>
      <c r="M1450">
        <v>8.4</v>
      </c>
      <c r="N1450">
        <v>71</v>
      </c>
      <c r="O1450">
        <v>24</v>
      </c>
      <c r="P1450">
        <v>4.5999999999999996</v>
      </c>
      <c r="Q1450" t="s">
        <v>63</v>
      </c>
      <c r="R1450">
        <v>0</v>
      </c>
      <c r="S1450">
        <v>11</v>
      </c>
      <c r="T1450">
        <v>0</v>
      </c>
      <c r="U1450">
        <v>1</v>
      </c>
      <c r="V1450">
        <v>0</v>
      </c>
      <c r="W1450" t="s">
        <v>32</v>
      </c>
      <c r="X1450">
        <v>1</v>
      </c>
      <c r="Y1450" t="str">
        <f t="shared" si="22"/>
        <v>Low</v>
      </c>
    </row>
    <row r="1451" spans="1:25">
      <c r="A1451" t="s">
        <v>1564</v>
      </c>
      <c r="B1451" s="1">
        <v>44942</v>
      </c>
      <c r="C1451" s="2">
        <v>0.30208333333333331</v>
      </c>
      <c r="D1451" t="s">
        <v>34</v>
      </c>
      <c r="E1451" t="s">
        <v>147</v>
      </c>
      <c r="F1451" t="s">
        <v>122</v>
      </c>
      <c r="G1451" t="s">
        <v>29</v>
      </c>
      <c r="H1451" s="2">
        <v>0.3034722222222222</v>
      </c>
      <c r="I1451" s="2">
        <v>0.33541666666666664</v>
      </c>
      <c r="J1451">
        <v>18</v>
      </c>
      <c r="K1451">
        <v>14</v>
      </c>
      <c r="L1451" t="s">
        <v>30</v>
      </c>
      <c r="M1451">
        <v>31.8</v>
      </c>
      <c r="N1451">
        <v>60</v>
      </c>
      <c r="O1451">
        <v>0</v>
      </c>
      <c r="P1451">
        <v>13</v>
      </c>
      <c r="Q1451" t="s">
        <v>31</v>
      </c>
      <c r="R1451">
        <v>0</v>
      </c>
      <c r="S1451">
        <v>55</v>
      </c>
      <c r="T1451">
        <v>0</v>
      </c>
      <c r="U1451">
        <v>1</v>
      </c>
      <c r="V1451">
        <v>0</v>
      </c>
      <c r="W1451" t="s">
        <v>55</v>
      </c>
      <c r="X1451">
        <v>1</v>
      </c>
      <c r="Y1451" t="str">
        <f t="shared" si="22"/>
        <v>Medium</v>
      </c>
    </row>
    <row r="1452" spans="1:25">
      <c r="A1452" t="s">
        <v>1565</v>
      </c>
      <c r="B1452" s="1">
        <v>44942</v>
      </c>
      <c r="C1452" s="2">
        <v>0.3125</v>
      </c>
      <c r="D1452" t="s">
        <v>34</v>
      </c>
      <c r="E1452" t="s">
        <v>27</v>
      </c>
      <c r="F1452" t="s">
        <v>128</v>
      </c>
      <c r="G1452" t="s">
        <v>168</v>
      </c>
      <c r="H1452" s="2">
        <v>0.31458333333333333</v>
      </c>
      <c r="I1452" s="2">
        <v>0.35208333333333336</v>
      </c>
      <c r="J1452">
        <v>18</v>
      </c>
      <c r="K1452">
        <v>1</v>
      </c>
      <c r="L1452" t="s">
        <v>45</v>
      </c>
      <c r="M1452">
        <v>21.1</v>
      </c>
      <c r="N1452">
        <v>82</v>
      </c>
      <c r="O1452">
        <v>17</v>
      </c>
      <c r="P1452">
        <v>4.9000000000000004</v>
      </c>
      <c r="Q1452" t="s">
        <v>101</v>
      </c>
      <c r="R1452">
        <v>0</v>
      </c>
      <c r="S1452">
        <v>2</v>
      </c>
      <c r="T1452">
        <v>0</v>
      </c>
      <c r="U1452">
        <v>1</v>
      </c>
      <c r="V1452">
        <v>0</v>
      </c>
      <c r="W1452" t="s">
        <v>72</v>
      </c>
      <c r="X1452">
        <v>0</v>
      </c>
      <c r="Y1452" t="str">
        <f t="shared" si="22"/>
        <v>Low</v>
      </c>
    </row>
    <row r="1453" spans="1:25">
      <c r="A1453" t="s">
        <v>1566</v>
      </c>
      <c r="B1453" s="1">
        <v>44942</v>
      </c>
      <c r="C1453" s="2">
        <v>0.32291666666666669</v>
      </c>
      <c r="D1453" t="s">
        <v>41</v>
      </c>
      <c r="E1453" t="s">
        <v>130</v>
      </c>
      <c r="F1453" t="s">
        <v>37</v>
      </c>
      <c r="G1453" t="s">
        <v>144</v>
      </c>
      <c r="H1453" s="2">
        <v>0.32361111111111113</v>
      </c>
      <c r="I1453" s="2">
        <v>0.35902777777777778</v>
      </c>
      <c r="J1453">
        <v>13</v>
      </c>
      <c r="K1453">
        <v>27</v>
      </c>
      <c r="L1453" t="s">
        <v>45</v>
      </c>
      <c r="M1453">
        <v>6.1</v>
      </c>
      <c r="N1453">
        <v>35</v>
      </c>
      <c r="O1453">
        <v>14</v>
      </c>
      <c r="P1453">
        <v>9.1999999999999993</v>
      </c>
      <c r="Q1453" t="s">
        <v>71</v>
      </c>
      <c r="R1453">
        <v>10000</v>
      </c>
      <c r="S1453">
        <v>49</v>
      </c>
      <c r="T1453">
        <v>0</v>
      </c>
      <c r="U1453">
        <v>0</v>
      </c>
      <c r="V1453">
        <v>0</v>
      </c>
      <c r="W1453" t="s">
        <v>55</v>
      </c>
      <c r="X1453">
        <v>1</v>
      </c>
      <c r="Y1453" t="str">
        <f t="shared" si="22"/>
        <v>Medium</v>
      </c>
    </row>
    <row r="1454" spans="1:25">
      <c r="A1454" t="s">
        <v>1567</v>
      </c>
      <c r="B1454" s="1">
        <v>44942</v>
      </c>
      <c r="C1454" s="2">
        <v>0.33333333333333331</v>
      </c>
      <c r="D1454" t="s">
        <v>34</v>
      </c>
      <c r="E1454" t="s">
        <v>161</v>
      </c>
      <c r="F1454" t="s">
        <v>122</v>
      </c>
      <c r="G1454" t="s">
        <v>75</v>
      </c>
      <c r="H1454" s="2">
        <v>0.33333333333333331</v>
      </c>
      <c r="I1454" s="2">
        <v>0.35138888888888886</v>
      </c>
      <c r="J1454">
        <v>17</v>
      </c>
      <c r="K1454">
        <v>2</v>
      </c>
      <c r="L1454" t="s">
        <v>38</v>
      </c>
      <c r="M1454">
        <v>13.9</v>
      </c>
      <c r="N1454">
        <v>62</v>
      </c>
      <c r="O1454">
        <v>24</v>
      </c>
      <c r="P1454">
        <v>9.6</v>
      </c>
      <c r="Q1454" t="s">
        <v>63</v>
      </c>
      <c r="R1454">
        <v>0</v>
      </c>
      <c r="S1454">
        <v>28</v>
      </c>
      <c r="T1454">
        <v>0</v>
      </c>
      <c r="U1454">
        <v>0</v>
      </c>
      <c r="V1454">
        <v>0</v>
      </c>
      <c r="W1454" t="s">
        <v>72</v>
      </c>
      <c r="X1454">
        <v>0</v>
      </c>
      <c r="Y1454" t="str">
        <f t="shared" si="22"/>
        <v>Low</v>
      </c>
    </row>
    <row r="1455" spans="1:25">
      <c r="A1455" t="s">
        <v>1568</v>
      </c>
      <c r="B1455" s="1">
        <v>44942</v>
      </c>
      <c r="C1455" s="2">
        <v>0.34375</v>
      </c>
      <c r="D1455" t="s">
        <v>26</v>
      </c>
      <c r="E1455" t="s">
        <v>126</v>
      </c>
      <c r="F1455" t="s">
        <v>70</v>
      </c>
      <c r="G1455" t="s">
        <v>75</v>
      </c>
      <c r="H1455" s="2">
        <v>0.34375</v>
      </c>
      <c r="I1455" s="2">
        <v>0.36527777777777776</v>
      </c>
      <c r="J1455">
        <v>-1</v>
      </c>
      <c r="K1455">
        <v>23</v>
      </c>
      <c r="L1455" t="s">
        <v>77</v>
      </c>
      <c r="M1455">
        <v>28.9</v>
      </c>
      <c r="N1455">
        <v>58</v>
      </c>
      <c r="O1455">
        <v>31</v>
      </c>
      <c r="P1455">
        <v>3.6</v>
      </c>
      <c r="Q1455" t="s">
        <v>31</v>
      </c>
      <c r="R1455">
        <v>2000</v>
      </c>
      <c r="S1455">
        <v>87</v>
      </c>
      <c r="T1455">
        <v>0</v>
      </c>
      <c r="U1455">
        <v>1</v>
      </c>
      <c r="V1455">
        <v>0</v>
      </c>
      <c r="W1455" t="s">
        <v>32</v>
      </c>
      <c r="X1455">
        <v>1</v>
      </c>
      <c r="Y1455" t="str">
        <f t="shared" si="22"/>
        <v>High</v>
      </c>
    </row>
    <row r="1456" spans="1:25">
      <c r="A1456" t="s">
        <v>1569</v>
      </c>
      <c r="B1456" s="1">
        <v>44942</v>
      </c>
      <c r="C1456" s="2">
        <v>0.35416666666666669</v>
      </c>
      <c r="D1456" t="s">
        <v>41</v>
      </c>
      <c r="E1456" t="s">
        <v>42</v>
      </c>
      <c r="F1456" t="s">
        <v>49</v>
      </c>
      <c r="G1456" t="s">
        <v>49</v>
      </c>
      <c r="H1456" s="2">
        <v>0.35416666666666669</v>
      </c>
      <c r="I1456" s="2">
        <v>0.3888888888888889</v>
      </c>
      <c r="J1456">
        <v>2</v>
      </c>
      <c r="K1456">
        <v>21</v>
      </c>
      <c r="L1456" t="s">
        <v>38</v>
      </c>
      <c r="M1456">
        <v>8.4</v>
      </c>
      <c r="N1456">
        <v>50</v>
      </c>
      <c r="O1456">
        <v>52</v>
      </c>
      <c r="P1456">
        <v>17.5</v>
      </c>
      <c r="Q1456" t="s">
        <v>63</v>
      </c>
      <c r="R1456">
        <v>500</v>
      </c>
      <c r="S1456">
        <v>82</v>
      </c>
      <c r="T1456">
        <v>0</v>
      </c>
      <c r="U1456">
        <v>0</v>
      </c>
      <c r="V1456">
        <v>0</v>
      </c>
      <c r="W1456" t="s">
        <v>32</v>
      </c>
      <c r="X1456">
        <v>1</v>
      </c>
      <c r="Y1456" t="str">
        <f t="shared" si="22"/>
        <v>High</v>
      </c>
    </row>
    <row r="1457" spans="1:25">
      <c r="A1457" t="s">
        <v>1570</v>
      </c>
      <c r="B1457" s="1">
        <v>44942</v>
      </c>
      <c r="C1457" s="2">
        <v>0.36458333333333331</v>
      </c>
      <c r="D1457" t="s">
        <v>41</v>
      </c>
      <c r="E1457" t="s">
        <v>141</v>
      </c>
      <c r="F1457" t="s">
        <v>62</v>
      </c>
      <c r="G1457" t="s">
        <v>128</v>
      </c>
      <c r="H1457" s="2">
        <v>0.36458333333333331</v>
      </c>
      <c r="I1457" s="2">
        <v>0.4</v>
      </c>
      <c r="J1457">
        <v>15</v>
      </c>
      <c r="K1457">
        <v>25</v>
      </c>
      <c r="L1457" t="s">
        <v>84</v>
      </c>
      <c r="M1457">
        <v>16</v>
      </c>
      <c r="N1457">
        <v>83</v>
      </c>
      <c r="O1457">
        <v>19</v>
      </c>
      <c r="P1457">
        <v>10.5</v>
      </c>
      <c r="Q1457" t="s">
        <v>101</v>
      </c>
      <c r="R1457">
        <v>50000</v>
      </c>
      <c r="S1457">
        <v>76</v>
      </c>
      <c r="T1457">
        <v>0</v>
      </c>
      <c r="U1457">
        <v>0</v>
      </c>
      <c r="V1457">
        <v>0</v>
      </c>
      <c r="W1457" t="s">
        <v>72</v>
      </c>
      <c r="X1457">
        <v>1</v>
      </c>
      <c r="Y1457" t="str">
        <f t="shared" si="22"/>
        <v>High</v>
      </c>
    </row>
    <row r="1458" spans="1:25">
      <c r="A1458" t="s">
        <v>1571</v>
      </c>
      <c r="B1458" s="1">
        <v>44942</v>
      </c>
      <c r="C1458" s="2">
        <v>0.375</v>
      </c>
      <c r="D1458" t="s">
        <v>74</v>
      </c>
      <c r="E1458" t="s">
        <v>141</v>
      </c>
      <c r="F1458" t="s">
        <v>107</v>
      </c>
      <c r="G1458" t="s">
        <v>194</v>
      </c>
      <c r="H1458" s="2">
        <v>0.37638888888888888</v>
      </c>
      <c r="I1458" s="2">
        <v>0.40208333333333335</v>
      </c>
      <c r="J1458">
        <v>4</v>
      </c>
      <c r="K1458">
        <v>24</v>
      </c>
      <c r="L1458" t="s">
        <v>84</v>
      </c>
      <c r="M1458">
        <v>22.2</v>
      </c>
      <c r="N1458">
        <v>85</v>
      </c>
      <c r="O1458">
        <v>16</v>
      </c>
      <c r="P1458">
        <v>17.3</v>
      </c>
      <c r="Q1458" t="s">
        <v>31</v>
      </c>
      <c r="R1458">
        <v>0</v>
      </c>
      <c r="S1458">
        <v>15</v>
      </c>
      <c r="T1458">
        <v>0</v>
      </c>
      <c r="U1458">
        <v>0</v>
      </c>
      <c r="V1458">
        <v>0</v>
      </c>
      <c r="W1458" t="s">
        <v>32</v>
      </c>
      <c r="X1458">
        <v>1</v>
      </c>
      <c r="Y1458" t="str">
        <f t="shared" si="22"/>
        <v>Low</v>
      </c>
    </row>
    <row r="1459" spans="1:25">
      <c r="A1459" t="s">
        <v>1572</v>
      </c>
      <c r="B1459" s="1">
        <v>44942</v>
      </c>
      <c r="C1459" s="2">
        <v>0.38541666666666669</v>
      </c>
      <c r="D1459" t="s">
        <v>34</v>
      </c>
      <c r="E1459" t="s">
        <v>130</v>
      </c>
      <c r="F1459" t="s">
        <v>28</v>
      </c>
      <c r="G1459" t="s">
        <v>53</v>
      </c>
      <c r="H1459" s="2">
        <v>0.38750000000000001</v>
      </c>
      <c r="I1459" s="2">
        <v>0.41041666666666665</v>
      </c>
      <c r="J1459">
        <v>8</v>
      </c>
      <c r="K1459">
        <v>12</v>
      </c>
      <c r="L1459" t="s">
        <v>45</v>
      </c>
      <c r="M1459">
        <v>25.2</v>
      </c>
      <c r="N1459">
        <v>50</v>
      </c>
      <c r="O1459">
        <v>56</v>
      </c>
      <c r="P1459">
        <v>5.3</v>
      </c>
      <c r="Q1459" t="s">
        <v>31</v>
      </c>
      <c r="R1459">
        <v>500</v>
      </c>
      <c r="S1459">
        <v>39</v>
      </c>
      <c r="T1459">
        <v>0</v>
      </c>
      <c r="U1459">
        <v>0</v>
      </c>
      <c r="V1459">
        <v>0</v>
      </c>
      <c r="W1459" t="s">
        <v>55</v>
      </c>
      <c r="X1459">
        <v>1</v>
      </c>
      <c r="Y1459" t="str">
        <f t="shared" si="22"/>
        <v>Medium</v>
      </c>
    </row>
    <row r="1460" spans="1:25">
      <c r="A1460" t="s">
        <v>1573</v>
      </c>
      <c r="B1460" s="1">
        <v>44942</v>
      </c>
      <c r="C1460" s="2">
        <v>0.39583333333333331</v>
      </c>
      <c r="D1460" t="s">
        <v>74</v>
      </c>
      <c r="E1460" t="s">
        <v>52</v>
      </c>
      <c r="F1460" t="s">
        <v>50</v>
      </c>
      <c r="G1460" t="s">
        <v>99</v>
      </c>
      <c r="H1460" s="2">
        <v>0.39861111111111114</v>
      </c>
      <c r="I1460" s="2">
        <v>0.43402777777777779</v>
      </c>
      <c r="J1460">
        <v>8</v>
      </c>
      <c r="K1460">
        <v>8</v>
      </c>
      <c r="L1460" t="s">
        <v>30</v>
      </c>
      <c r="M1460">
        <v>2</v>
      </c>
      <c r="N1460">
        <v>84</v>
      </c>
      <c r="O1460">
        <v>10</v>
      </c>
      <c r="P1460">
        <v>3.4</v>
      </c>
      <c r="Q1460" t="s">
        <v>31</v>
      </c>
      <c r="R1460">
        <v>50000</v>
      </c>
      <c r="S1460">
        <v>26</v>
      </c>
      <c r="T1460">
        <v>0</v>
      </c>
      <c r="U1460">
        <v>1</v>
      </c>
      <c r="V1460">
        <v>0</v>
      </c>
      <c r="W1460" t="s">
        <v>72</v>
      </c>
      <c r="X1460">
        <v>1</v>
      </c>
      <c r="Y1460" t="str">
        <f t="shared" si="22"/>
        <v>Low</v>
      </c>
    </row>
    <row r="1461" spans="1:25">
      <c r="A1461" t="s">
        <v>1574</v>
      </c>
      <c r="B1461" s="1">
        <v>44942</v>
      </c>
      <c r="C1461" s="2">
        <v>0.40625</v>
      </c>
      <c r="D1461" t="s">
        <v>26</v>
      </c>
      <c r="E1461" t="s">
        <v>27</v>
      </c>
      <c r="F1461" t="s">
        <v>65</v>
      </c>
      <c r="G1461" t="s">
        <v>116</v>
      </c>
      <c r="H1461" s="2">
        <v>0.40694444444444444</v>
      </c>
      <c r="I1461" s="2">
        <v>0.42152777777777778</v>
      </c>
      <c r="J1461">
        <v>19</v>
      </c>
      <c r="K1461">
        <v>16</v>
      </c>
      <c r="L1461" t="s">
        <v>84</v>
      </c>
      <c r="M1461">
        <v>17.600000000000001</v>
      </c>
      <c r="N1461">
        <v>87</v>
      </c>
      <c r="O1461">
        <v>12</v>
      </c>
      <c r="P1461">
        <v>0.4</v>
      </c>
      <c r="Q1461" t="s">
        <v>31</v>
      </c>
      <c r="R1461">
        <v>2000</v>
      </c>
      <c r="S1461">
        <v>69</v>
      </c>
      <c r="T1461">
        <v>0</v>
      </c>
      <c r="U1461">
        <v>1</v>
      </c>
      <c r="V1461">
        <v>0</v>
      </c>
      <c r="W1461" t="s">
        <v>72</v>
      </c>
      <c r="X1461">
        <v>1</v>
      </c>
      <c r="Y1461" t="str">
        <f t="shared" si="22"/>
        <v>High</v>
      </c>
    </row>
    <row r="1462" spans="1:25">
      <c r="A1462" t="s">
        <v>1575</v>
      </c>
      <c r="B1462" s="1">
        <v>44942</v>
      </c>
      <c r="C1462" s="2">
        <v>0.41666666666666669</v>
      </c>
      <c r="D1462" t="s">
        <v>41</v>
      </c>
      <c r="E1462" t="s">
        <v>104</v>
      </c>
      <c r="F1462" t="s">
        <v>80</v>
      </c>
      <c r="G1462" t="s">
        <v>49</v>
      </c>
      <c r="H1462" s="2">
        <v>0.41666666666666669</v>
      </c>
      <c r="I1462" s="2">
        <v>0.43055555555555558</v>
      </c>
      <c r="J1462">
        <v>14</v>
      </c>
      <c r="K1462">
        <v>14</v>
      </c>
      <c r="L1462" t="s">
        <v>84</v>
      </c>
      <c r="M1462">
        <v>31.5</v>
      </c>
      <c r="N1462">
        <v>93</v>
      </c>
      <c r="O1462">
        <v>24</v>
      </c>
      <c r="P1462">
        <v>1.9</v>
      </c>
      <c r="Q1462" t="s">
        <v>59</v>
      </c>
      <c r="R1462">
        <v>0</v>
      </c>
      <c r="S1462">
        <v>41</v>
      </c>
      <c r="T1462">
        <v>0</v>
      </c>
      <c r="U1462">
        <v>1</v>
      </c>
      <c r="V1462">
        <v>0</v>
      </c>
      <c r="W1462" t="s">
        <v>39</v>
      </c>
      <c r="X1462">
        <v>1</v>
      </c>
      <c r="Y1462" t="str">
        <f t="shared" si="22"/>
        <v>Medium</v>
      </c>
    </row>
    <row r="1463" spans="1:25">
      <c r="A1463" t="s">
        <v>1576</v>
      </c>
      <c r="B1463" s="1">
        <v>44942</v>
      </c>
      <c r="C1463" s="2">
        <v>0.42708333333333331</v>
      </c>
      <c r="D1463" t="s">
        <v>41</v>
      </c>
      <c r="E1463" t="s">
        <v>68</v>
      </c>
      <c r="F1463" t="s">
        <v>75</v>
      </c>
      <c r="G1463" t="s">
        <v>144</v>
      </c>
      <c r="H1463" s="2">
        <v>0.42916666666666664</v>
      </c>
      <c r="I1463" s="2">
        <v>0.45902777777777776</v>
      </c>
      <c r="J1463">
        <v>13</v>
      </c>
      <c r="K1463">
        <v>19</v>
      </c>
      <c r="L1463" t="s">
        <v>38</v>
      </c>
      <c r="M1463">
        <v>33.700000000000003</v>
      </c>
      <c r="N1463">
        <v>75</v>
      </c>
      <c r="O1463">
        <v>19</v>
      </c>
      <c r="P1463">
        <v>2.9</v>
      </c>
      <c r="Q1463" t="s">
        <v>46</v>
      </c>
      <c r="R1463">
        <v>0</v>
      </c>
      <c r="S1463">
        <v>56</v>
      </c>
      <c r="T1463">
        <v>0</v>
      </c>
      <c r="U1463">
        <v>1</v>
      </c>
      <c r="V1463">
        <v>0</v>
      </c>
      <c r="W1463" t="s">
        <v>32</v>
      </c>
      <c r="X1463">
        <v>1</v>
      </c>
      <c r="Y1463" t="str">
        <f t="shared" si="22"/>
        <v>Medium</v>
      </c>
    </row>
    <row r="1464" spans="1:25">
      <c r="A1464" t="s">
        <v>1577</v>
      </c>
      <c r="B1464" s="1">
        <v>44942</v>
      </c>
      <c r="C1464" s="2">
        <v>0.4375</v>
      </c>
      <c r="D1464" t="s">
        <v>41</v>
      </c>
      <c r="E1464" t="s">
        <v>89</v>
      </c>
      <c r="F1464" t="s">
        <v>62</v>
      </c>
      <c r="G1464" t="s">
        <v>53</v>
      </c>
      <c r="H1464" s="2">
        <v>0.44027777777777777</v>
      </c>
      <c r="I1464" s="2">
        <v>0.47847222222222224</v>
      </c>
      <c r="J1464">
        <v>10</v>
      </c>
      <c r="K1464">
        <v>23</v>
      </c>
      <c r="L1464" t="s">
        <v>38</v>
      </c>
      <c r="M1464">
        <v>21.2</v>
      </c>
      <c r="N1464">
        <v>51</v>
      </c>
      <c r="O1464">
        <v>24</v>
      </c>
      <c r="P1464">
        <v>1.6</v>
      </c>
      <c r="Q1464" t="s">
        <v>46</v>
      </c>
      <c r="R1464">
        <v>10000</v>
      </c>
      <c r="S1464">
        <v>9</v>
      </c>
      <c r="T1464">
        <v>1</v>
      </c>
      <c r="U1464">
        <v>0</v>
      </c>
      <c r="V1464">
        <v>0</v>
      </c>
      <c r="W1464" t="s">
        <v>72</v>
      </c>
      <c r="X1464">
        <v>1</v>
      </c>
      <c r="Y1464" t="str">
        <f t="shared" si="22"/>
        <v>Low</v>
      </c>
    </row>
    <row r="1465" spans="1:25">
      <c r="A1465" t="s">
        <v>1578</v>
      </c>
      <c r="B1465" s="1">
        <v>44942</v>
      </c>
      <c r="C1465" s="2">
        <v>0.44791666666666669</v>
      </c>
      <c r="D1465" t="s">
        <v>26</v>
      </c>
      <c r="E1465" t="s">
        <v>126</v>
      </c>
      <c r="F1465" t="s">
        <v>197</v>
      </c>
      <c r="G1465" t="s">
        <v>122</v>
      </c>
      <c r="H1465" s="2">
        <v>0.45</v>
      </c>
      <c r="I1465" s="2">
        <v>0.48402777777777778</v>
      </c>
      <c r="J1465">
        <v>19</v>
      </c>
      <c r="K1465">
        <v>13</v>
      </c>
      <c r="L1465" t="s">
        <v>84</v>
      </c>
      <c r="M1465">
        <v>34.299999999999997</v>
      </c>
      <c r="N1465">
        <v>89</v>
      </c>
      <c r="O1465">
        <v>41</v>
      </c>
      <c r="P1465">
        <v>17.899999999999999</v>
      </c>
      <c r="Q1465" t="s">
        <v>31</v>
      </c>
      <c r="R1465">
        <v>0</v>
      </c>
      <c r="S1465">
        <v>37</v>
      </c>
      <c r="T1465">
        <v>0</v>
      </c>
      <c r="U1465">
        <v>1</v>
      </c>
      <c r="V1465">
        <v>0</v>
      </c>
      <c r="W1465" t="s">
        <v>72</v>
      </c>
      <c r="X1465">
        <v>1</v>
      </c>
      <c r="Y1465" t="str">
        <f t="shared" si="22"/>
        <v>Medium</v>
      </c>
    </row>
    <row r="1466" spans="1:25">
      <c r="A1466" t="s">
        <v>1579</v>
      </c>
      <c r="B1466" s="1">
        <v>44942</v>
      </c>
      <c r="C1466" s="2">
        <v>0.45833333333333331</v>
      </c>
      <c r="D1466" t="s">
        <v>26</v>
      </c>
      <c r="E1466" t="s">
        <v>161</v>
      </c>
      <c r="F1466" t="s">
        <v>28</v>
      </c>
      <c r="G1466" t="s">
        <v>168</v>
      </c>
      <c r="H1466" s="2">
        <v>0.4597222222222222</v>
      </c>
      <c r="I1466" s="2">
        <v>0.48541666666666666</v>
      </c>
      <c r="J1466">
        <v>2</v>
      </c>
      <c r="K1466">
        <v>17</v>
      </c>
      <c r="L1466" t="s">
        <v>45</v>
      </c>
      <c r="M1466">
        <v>17.8</v>
      </c>
      <c r="N1466">
        <v>40</v>
      </c>
      <c r="O1466">
        <v>44</v>
      </c>
      <c r="P1466">
        <v>18.2</v>
      </c>
      <c r="Q1466" t="s">
        <v>31</v>
      </c>
      <c r="R1466">
        <v>2000</v>
      </c>
      <c r="S1466">
        <v>7</v>
      </c>
      <c r="T1466">
        <v>0</v>
      </c>
      <c r="U1466">
        <v>0</v>
      </c>
      <c r="V1466">
        <v>0</v>
      </c>
      <c r="W1466" t="s">
        <v>72</v>
      </c>
      <c r="X1466">
        <v>1</v>
      </c>
      <c r="Y1466" t="str">
        <f t="shared" si="22"/>
        <v>Low</v>
      </c>
    </row>
    <row r="1467" spans="1:25">
      <c r="A1467" t="s">
        <v>1580</v>
      </c>
      <c r="B1467" s="1">
        <v>44942</v>
      </c>
      <c r="C1467" s="2">
        <v>0.46875</v>
      </c>
      <c r="D1467" t="s">
        <v>74</v>
      </c>
      <c r="E1467" t="s">
        <v>52</v>
      </c>
      <c r="F1467" t="s">
        <v>96</v>
      </c>
      <c r="G1467" t="s">
        <v>116</v>
      </c>
      <c r="H1467" s="2">
        <v>0.47152777777777777</v>
      </c>
      <c r="I1467" s="2">
        <v>0.49166666666666664</v>
      </c>
      <c r="J1467">
        <v>17</v>
      </c>
      <c r="K1467">
        <v>27</v>
      </c>
      <c r="L1467" t="s">
        <v>38</v>
      </c>
      <c r="M1467">
        <v>12.7</v>
      </c>
      <c r="N1467">
        <v>76</v>
      </c>
      <c r="O1467">
        <v>48</v>
      </c>
      <c r="P1467">
        <v>18.7</v>
      </c>
      <c r="Q1467" t="s">
        <v>31</v>
      </c>
      <c r="R1467">
        <v>500</v>
      </c>
      <c r="S1467">
        <v>17</v>
      </c>
      <c r="T1467">
        <v>0</v>
      </c>
      <c r="U1467">
        <v>0</v>
      </c>
      <c r="V1467">
        <v>0</v>
      </c>
      <c r="W1467" t="s">
        <v>32</v>
      </c>
      <c r="X1467">
        <v>1</v>
      </c>
      <c r="Y1467" t="str">
        <f t="shared" si="22"/>
        <v>Low</v>
      </c>
    </row>
    <row r="1468" spans="1:25">
      <c r="A1468" t="s">
        <v>1581</v>
      </c>
      <c r="B1468" s="1">
        <v>44942</v>
      </c>
      <c r="C1468" s="2">
        <v>0.47916666666666669</v>
      </c>
      <c r="D1468" t="s">
        <v>74</v>
      </c>
      <c r="E1468" t="s">
        <v>130</v>
      </c>
      <c r="F1468" t="s">
        <v>105</v>
      </c>
      <c r="G1468" t="s">
        <v>95</v>
      </c>
      <c r="H1468" s="2">
        <v>0.48125000000000001</v>
      </c>
      <c r="I1468" s="2">
        <v>0.51736111111111116</v>
      </c>
      <c r="J1468">
        <v>13</v>
      </c>
      <c r="K1468">
        <v>-1</v>
      </c>
      <c r="L1468" t="s">
        <v>84</v>
      </c>
      <c r="M1468">
        <v>17.100000000000001</v>
      </c>
      <c r="N1468">
        <v>60</v>
      </c>
      <c r="O1468">
        <v>30</v>
      </c>
      <c r="P1468">
        <v>19.2</v>
      </c>
      <c r="Q1468" t="s">
        <v>46</v>
      </c>
      <c r="R1468">
        <v>50000</v>
      </c>
      <c r="S1468">
        <v>95</v>
      </c>
      <c r="T1468">
        <v>0</v>
      </c>
      <c r="U1468">
        <v>0</v>
      </c>
      <c r="V1468">
        <v>0</v>
      </c>
      <c r="W1468" t="s">
        <v>72</v>
      </c>
      <c r="X1468">
        <v>0</v>
      </c>
      <c r="Y1468" t="str">
        <f t="shared" si="22"/>
        <v>High</v>
      </c>
    </row>
    <row r="1469" spans="1:25">
      <c r="A1469" t="s">
        <v>1582</v>
      </c>
      <c r="B1469" s="1">
        <v>44942</v>
      </c>
      <c r="C1469" s="2">
        <v>0.48958333333333331</v>
      </c>
      <c r="D1469" t="s">
        <v>74</v>
      </c>
      <c r="E1469" t="s">
        <v>157</v>
      </c>
      <c r="F1469" t="s">
        <v>176</v>
      </c>
      <c r="G1469" t="s">
        <v>197</v>
      </c>
      <c r="H1469" s="2">
        <v>0.4909722222222222</v>
      </c>
      <c r="I1469" s="2">
        <v>0.50624999999999998</v>
      </c>
      <c r="J1469">
        <v>19</v>
      </c>
      <c r="K1469">
        <v>13</v>
      </c>
      <c r="L1469" t="s">
        <v>30</v>
      </c>
      <c r="M1469">
        <v>-0.4</v>
      </c>
      <c r="N1469">
        <v>47</v>
      </c>
      <c r="O1469">
        <v>52</v>
      </c>
      <c r="P1469">
        <v>9.8000000000000007</v>
      </c>
      <c r="Q1469" t="s">
        <v>31</v>
      </c>
      <c r="R1469">
        <v>0</v>
      </c>
      <c r="S1469">
        <v>16</v>
      </c>
      <c r="T1469">
        <v>0</v>
      </c>
      <c r="U1469">
        <v>1</v>
      </c>
      <c r="V1469">
        <v>0</v>
      </c>
      <c r="W1469" t="s">
        <v>72</v>
      </c>
      <c r="X1469">
        <v>1</v>
      </c>
      <c r="Y1469" t="str">
        <f t="shared" si="22"/>
        <v>Low</v>
      </c>
    </row>
    <row r="1470" spans="1:25">
      <c r="A1470" t="s">
        <v>1583</v>
      </c>
      <c r="B1470" s="1">
        <v>44942</v>
      </c>
      <c r="C1470" s="2">
        <v>0.5</v>
      </c>
      <c r="D1470" t="s">
        <v>34</v>
      </c>
      <c r="E1470" t="s">
        <v>27</v>
      </c>
      <c r="F1470" t="s">
        <v>37</v>
      </c>
      <c r="G1470" t="s">
        <v>144</v>
      </c>
      <c r="H1470" s="2">
        <v>0.50208333333333333</v>
      </c>
      <c r="I1470" s="2">
        <v>0.52916666666666667</v>
      </c>
      <c r="J1470">
        <v>19</v>
      </c>
      <c r="K1470">
        <v>22</v>
      </c>
      <c r="L1470" t="s">
        <v>38</v>
      </c>
      <c r="M1470">
        <v>11.1</v>
      </c>
      <c r="N1470">
        <v>51</v>
      </c>
      <c r="O1470">
        <v>0</v>
      </c>
      <c r="P1470">
        <v>10.6</v>
      </c>
      <c r="Q1470" t="s">
        <v>31</v>
      </c>
      <c r="R1470">
        <v>2000</v>
      </c>
      <c r="S1470">
        <v>57</v>
      </c>
      <c r="T1470">
        <v>0</v>
      </c>
      <c r="U1470">
        <v>1</v>
      </c>
      <c r="V1470">
        <v>0</v>
      </c>
      <c r="W1470" t="s">
        <v>55</v>
      </c>
      <c r="X1470">
        <v>1</v>
      </c>
      <c r="Y1470" t="str">
        <f t="shared" si="22"/>
        <v>Medium</v>
      </c>
    </row>
    <row r="1471" spans="1:25">
      <c r="A1471" t="s">
        <v>1584</v>
      </c>
      <c r="B1471" s="1">
        <v>44942</v>
      </c>
      <c r="C1471" s="2">
        <v>0.51041666666666663</v>
      </c>
      <c r="D1471" t="s">
        <v>41</v>
      </c>
      <c r="E1471" t="s">
        <v>68</v>
      </c>
      <c r="F1471" t="s">
        <v>95</v>
      </c>
      <c r="G1471" t="s">
        <v>203</v>
      </c>
      <c r="H1471" s="2">
        <v>0.51249999999999996</v>
      </c>
      <c r="I1471" s="2">
        <v>0.53402777777777777</v>
      </c>
      <c r="J1471">
        <v>13</v>
      </c>
      <c r="K1471">
        <v>19</v>
      </c>
      <c r="L1471" t="s">
        <v>84</v>
      </c>
      <c r="M1471">
        <v>13.3</v>
      </c>
      <c r="N1471">
        <v>85</v>
      </c>
      <c r="O1471">
        <v>51</v>
      </c>
      <c r="P1471">
        <v>2.6</v>
      </c>
      <c r="Q1471" t="s">
        <v>31</v>
      </c>
      <c r="R1471">
        <v>0</v>
      </c>
      <c r="S1471">
        <v>65</v>
      </c>
      <c r="T1471">
        <v>0</v>
      </c>
      <c r="U1471">
        <v>0</v>
      </c>
      <c r="V1471">
        <v>0</v>
      </c>
      <c r="W1471" t="s">
        <v>55</v>
      </c>
      <c r="X1471">
        <v>1</v>
      </c>
      <c r="Y1471" t="str">
        <f t="shared" si="22"/>
        <v>Medium</v>
      </c>
    </row>
    <row r="1472" spans="1:25">
      <c r="A1472" t="s">
        <v>1585</v>
      </c>
      <c r="B1472" s="1">
        <v>44942</v>
      </c>
      <c r="C1472" s="2">
        <v>0.52083333333333337</v>
      </c>
      <c r="D1472" t="s">
        <v>41</v>
      </c>
      <c r="E1472" t="s">
        <v>27</v>
      </c>
      <c r="F1472" t="s">
        <v>65</v>
      </c>
      <c r="G1472" t="s">
        <v>75</v>
      </c>
      <c r="H1472" s="2">
        <v>0.52361111111111114</v>
      </c>
      <c r="I1472" s="2">
        <v>0.53819444444444442</v>
      </c>
      <c r="J1472">
        <v>13</v>
      </c>
      <c r="K1472">
        <v>2</v>
      </c>
      <c r="L1472" t="s">
        <v>77</v>
      </c>
      <c r="M1472">
        <v>28.9</v>
      </c>
      <c r="N1472">
        <v>46</v>
      </c>
      <c r="O1472">
        <v>15</v>
      </c>
      <c r="P1472">
        <v>2.7</v>
      </c>
      <c r="Q1472" t="s">
        <v>31</v>
      </c>
      <c r="R1472">
        <v>0</v>
      </c>
      <c r="S1472">
        <v>43</v>
      </c>
      <c r="T1472">
        <v>0</v>
      </c>
      <c r="U1472">
        <v>0</v>
      </c>
      <c r="V1472">
        <v>0</v>
      </c>
      <c r="W1472" t="s">
        <v>39</v>
      </c>
      <c r="X1472">
        <v>0</v>
      </c>
      <c r="Y1472" t="str">
        <f t="shared" si="22"/>
        <v>Medium</v>
      </c>
    </row>
    <row r="1473" spans="1:25">
      <c r="A1473" t="s">
        <v>1586</v>
      </c>
      <c r="B1473" s="1">
        <v>44942</v>
      </c>
      <c r="C1473" s="2">
        <v>0.53125</v>
      </c>
      <c r="D1473" t="s">
        <v>74</v>
      </c>
      <c r="E1473" t="s">
        <v>130</v>
      </c>
      <c r="F1473" t="s">
        <v>76</v>
      </c>
      <c r="G1473" t="s">
        <v>65</v>
      </c>
      <c r="H1473" s="2">
        <v>0.53263888888888888</v>
      </c>
      <c r="I1473" s="2">
        <v>0.56736111111111109</v>
      </c>
      <c r="J1473">
        <v>11</v>
      </c>
      <c r="K1473">
        <v>24</v>
      </c>
      <c r="L1473" t="s">
        <v>38</v>
      </c>
      <c r="M1473">
        <v>25.3</v>
      </c>
      <c r="N1473">
        <v>67</v>
      </c>
      <c r="O1473">
        <v>47</v>
      </c>
      <c r="P1473">
        <v>15.5</v>
      </c>
      <c r="Q1473" t="s">
        <v>31</v>
      </c>
      <c r="R1473">
        <v>0</v>
      </c>
      <c r="S1473">
        <v>83</v>
      </c>
      <c r="T1473">
        <v>1</v>
      </c>
      <c r="U1473">
        <v>0</v>
      </c>
      <c r="V1473">
        <v>0</v>
      </c>
      <c r="W1473" t="s">
        <v>72</v>
      </c>
      <c r="X1473">
        <v>1</v>
      </c>
      <c r="Y1473" t="str">
        <f t="shared" si="22"/>
        <v>High</v>
      </c>
    </row>
    <row r="1474" spans="1:25">
      <c r="A1474" t="s">
        <v>1587</v>
      </c>
      <c r="B1474" s="1">
        <v>44942</v>
      </c>
      <c r="C1474" s="2">
        <v>0.54166666666666663</v>
      </c>
      <c r="D1474" t="s">
        <v>41</v>
      </c>
      <c r="E1474" t="s">
        <v>111</v>
      </c>
      <c r="F1474" t="s">
        <v>58</v>
      </c>
      <c r="G1474" t="s">
        <v>203</v>
      </c>
      <c r="H1474" s="2">
        <v>0.54166666666666663</v>
      </c>
      <c r="I1474" s="2">
        <v>0.56805555555555554</v>
      </c>
      <c r="J1474">
        <v>3</v>
      </c>
      <c r="K1474">
        <v>4</v>
      </c>
      <c r="L1474" t="s">
        <v>77</v>
      </c>
      <c r="M1474">
        <v>19.100000000000001</v>
      </c>
      <c r="N1474">
        <v>54</v>
      </c>
      <c r="O1474">
        <v>27</v>
      </c>
      <c r="P1474">
        <v>17.100000000000001</v>
      </c>
      <c r="Q1474" t="s">
        <v>31</v>
      </c>
      <c r="R1474">
        <v>10000</v>
      </c>
      <c r="S1474">
        <v>73</v>
      </c>
      <c r="T1474">
        <v>1</v>
      </c>
      <c r="U1474">
        <v>0</v>
      </c>
      <c r="V1474">
        <v>0</v>
      </c>
      <c r="W1474" t="s">
        <v>32</v>
      </c>
      <c r="X1474">
        <v>0</v>
      </c>
      <c r="Y1474" t="str">
        <f t="shared" ref="Y1474:Y1537" si="23">IF(S1474&lt;=33,"Low",IF(S1474&lt;=66,"Medium","High"))</f>
        <v>High</v>
      </c>
    </row>
    <row r="1475" spans="1:25">
      <c r="A1475" t="s">
        <v>1588</v>
      </c>
      <c r="B1475" s="1">
        <v>44942</v>
      </c>
      <c r="C1475" s="2">
        <v>0.55208333333333337</v>
      </c>
      <c r="D1475" t="s">
        <v>74</v>
      </c>
      <c r="E1475" t="s">
        <v>126</v>
      </c>
      <c r="F1475" t="s">
        <v>176</v>
      </c>
      <c r="G1475" t="s">
        <v>142</v>
      </c>
      <c r="H1475" s="2">
        <v>0.55277777777777781</v>
      </c>
      <c r="I1475" s="2">
        <v>0.57430555555555551</v>
      </c>
      <c r="J1475">
        <v>-1</v>
      </c>
      <c r="K1475">
        <v>4</v>
      </c>
      <c r="L1475" t="s">
        <v>38</v>
      </c>
      <c r="M1475">
        <v>8.9</v>
      </c>
      <c r="N1475">
        <v>61</v>
      </c>
      <c r="O1475">
        <v>20</v>
      </c>
      <c r="P1475">
        <v>15.7</v>
      </c>
      <c r="Q1475" t="s">
        <v>63</v>
      </c>
      <c r="R1475">
        <v>10000</v>
      </c>
      <c r="S1475">
        <v>8</v>
      </c>
      <c r="T1475">
        <v>0</v>
      </c>
      <c r="U1475">
        <v>0</v>
      </c>
      <c r="V1475">
        <v>0</v>
      </c>
      <c r="W1475" t="s">
        <v>39</v>
      </c>
      <c r="X1475">
        <v>0</v>
      </c>
      <c r="Y1475" t="str">
        <f t="shared" si="23"/>
        <v>Low</v>
      </c>
    </row>
    <row r="1476" spans="1:25">
      <c r="A1476" t="s">
        <v>1589</v>
      </c>
      <c r="B1476" s="1">
        <v>44942</v>
      </c>
      <c r="C1476" s="2">
        <v>0.5625</v>
      </c>
      <c r="D1476" t="s">
        <v>34</v>
      </c>
      <c r="E1476" t="s">
        <v>111</v>
      </c>
      <c r="F1476" t="s">
        <v>80</v>
      </c>
      <c r="G1476" t="s">
        <v>43</v>
      </c>
      <c r="H1476" s="2">
        <v>0.56527777777777777</v>
      </c>
      <c r="I1476" s="2">
        <v>0.59583333333333333</v>
      </c>
      <c r="J1476">
        <v>11</v>
      </c>
      <c r="K1476">
        <v>15</v>
      </c>
      <c r="L1476" t="s">
        <v>38</v>
      </c>
      <c r="M1476">
        <v>2.5</v>
      </c>
      <c r="N1476">
        <v>44</v>
      </c>
      <c r="O1476">
        <v>29</v>
      </c>
      <c r="P1476">
        <v>16.7</v>
      </c>
      <c r="Q1476" t="s">
        <v>31</v>
      </c>
      <c r="R1476">
        <v>0</v>
      </c>
      <c r="S1476">
        <v>47</v>
      </c>
      <c r="T1476">
        <v>0</v>
      </c>
      <c r="U1476">
        <v>1</v>
      </c>
      <c r="V1476">
        <v>0</v>
      </c>
      <c r="W1476" t="s">
        <v>39</v>
      </c>
      <c r="X1476">
        <v>1</v>
      </c>
      <c r="Y1476" t="str">
        <f t="shared" si="23"/>
        <v>Medium</v>
      </c>
    </row>
    <row r="1477" spans="1:25">
      <c r="A1477" t="s">
        <v>1590</v>
      </c>
      <c r="B1477" s="1">
        <v>44942</v>
      </c>
      <c r="C1477" s="2">
        <v>0.57291666666666663</v>
      </c>
      <c r="D1477" t="s">
        <v>34</v>
      </c>
      <c r="E1477" t="s">
        <v>157</v>
      </c>
      <c r="F1477" t="s">
        <v>123</v>
      </c>
      <c r="G1477" t="s">
        <v>49</v>
      </c>
      <c r="H1477" s="2">
        <v>0.57430555555555551</v>
      </c>
      <c r="I1477" s="2">
        <v>0.59027777777777779</v>
      </c>
      <c r="J1477">
        <v>13</v>
      </c>
      <c r="K1477">
        <v>25</v>
      </c>
      <c r="L1477" t="s">
        <v>54</v>
      </c>
      <c r="M1477">
        <v>8.9</v>
      </c>
      <c r="N1477">
        <v>42</v>
      </c>
      <c r="O1477">
        <v>58</v>
      </c>
      <c r="P1477">
        <v>5.5</v>
      </c>
      <c r="Q1477" t="s">
        <v>101</v>
      </c>
      <c r="R1477">
        <v>0</v>
      </c>
      <c r="S1477">
        <v>38</v>
      </c>
      <c r="T1477">
        <v>0</v>
      </c>
      <c r="U1477">
        <v>0</v>
      </c>
      <c r="V1477">
        <v>0</v>
      </c>
      <c r="W1477" t="s">
        <v>39</v>
      </c>
      <c r="X1477">
        <v>1</v>
      </c>
      <c r="Y1477" t="str">
        <f t="shared" si="23"/>
        <v>Medium</v>
      </c>
    </row>
    <row r="1478" spans="1:25">
      <c r="A1478" t="s">
        <v>1591</v>
      </c>
      <c r="B1478" s="1">
        <v>44942</v>
      </c>
      <c r="C1478" s="2">
        <v>0.58333333333333337</v>
      </c>
      <c r="D1478" t="s">
        <v>26</v>
      </c>
      <c r="E1478" t="s">
        <v>35</v>
      </c>
      <c r="F1478" t="s">
        <v>99</v>
      </c>
      <c r="G1478" t="s">
        <v>123</v>
      </c>
      <c r="H1478" s="2">
        <v>0.5854166666666667</v>
      </c>
      <c r="I1478" s="2">
        <v>0.6069444444444444</v>
      </c>
      <c r="J1478">
        <v>17</v>
      </c>
      <c r="K1478">
        <v>19</v>
      </c>
      <c r="L1478" t="s">
        <v>54</v>
      </c>
      <c r="M1478">
        <v>22.2</v>
      </c>
      <c r="N1478">
        <v>87</v>
      </c>
      <c r="O1478">
        <v>2</v>
      </c>
      <c r="P1478">
        <v>9.3000000000000007</v>
      </c>
      <c r="Q1478" t="s">
        <v>31</v>
      </c>
      <c r="R1478">
        <v>2000</v>
      </c>
      <c r="S1478">
        <v>88</v>
      </c>
      <c r="T1478">
        <v>0</v>
      </c>
      <c r="U1478">
        <v>0</v>
      </c>
      <c r="V1478">
        <v>0</v>
      </c>
      <c r="W1478" t="s">
        <v>72</v>
      </c>
      <c r="X1478">
        <v>1</v>
      </c>
      <c r="Y1478" t="str">
        <f t="shared" si="23"/>
        <v>High</v>
      </c>
    </row>
    <row r="1479" spans="1:25">
      <c r="A1479" t="s">
        <v>1592</v>
      </c>
      <c r="B1479" s="1">
        <v>44942</v>
      </c>
      <c r="C1479" s="2">
        <v>0.59375</v>
      </c>
      <c r="D1479" t="s">
        <v>34</v>
      </c>
      <c r="E1479" t="s">
        <v>57</v>
      </c>
      <c r="F1479" t="s">
        <v>87</v>
      </c>
      <c r="G1479" t="s">
        <v>53</v>
      </c>
      <c r="H1479" s="2">
        <v>0.59513888888888888</v>
      </c>
      <c r="I1479" s="2">
        <v>0.61805555555555558</v>
      </c>
      <c r="J1479">
        <v>10</v>
      </c>
      <c r="K1479">
        <v>28</v>
      </c>
      <c r="L1479" t="s">
        <v>77</v>
      </c>
      <c r="M1479">
        <v>5.5</v>
      </c>
      <c r="N1479">
        <v>79</v>
      </c>
      <c r="O1479">
        <v>33</v>
      </c>
      <c r="P1479">
        <v>9.1999999999999993</v>
      </c>
      <c r="Q1479" t="s">
        <v>101</v>
      </c>
      <c r="R1479">
        <v>2000</v>
      </c>
      <c r="S1479">
        <v>88</v>
      </c>
      <c r="T1479">
        <v>0</v>
      </c>
      <c r="U1479">
        <v>1</v>
      </c>
      <c r="V1479">
        <v>0</v>
      </c>
      <c r="W1479" t="s">
        <v>39</v>
      </c>
      <c r="X1479">
        <v>1</v>
      </c>
      <c r="Y1479" t="str">
        <f t="shared" si="23"/>
        <v>High</v>
      </c>
    </row>
    <row r="1480" spans="1:25">
      <c r="A1480" t="s">
        <v>1593</v>
      </c>
      <c r="B1480" s="1">
        <v>44942</v>
      </c>
      <c r="C1480" s="2">
        <v>0.60416666666666663</v>
      </c>
      <c r="D1480" t="s">
        <v>74</v>
      </c>
      <c r="E1480" t="s">
        <v>104</v>
      </c>
      <c r="F1480" t="s">
        <v>75</v>
      </c>
      <c r="G1480" t="s">
        <v>91</v>
      </c>
      <c r="H1480" s="2">
        <v>0.60486111111111107</v>
      </c>
      <c r="I1480" s="2">
        <v>0.63402777777777775</v>
      </c>
      <c r="J1480">
        <v>12</v>
      </c>
      <c r="K1480">
        <v>6</v>
      </c>
      <c r="L1480" t="s">
        <v>45</v>
      </c>
      <c r="M1480">
        <v>12.1</v>
      </c>
      <c r="N1480">
        <v>40</v>
      </c>
      <c r="O1480">
        <v>5</v>
      </c>
      <c r="P1480">
        <v>19.899999999999999</v>
      </c>
      <c r="Q1480" t="s">
        <v>31</v>
      </c>
      <c r="R1480">
        <v>500</v>
      </c>
      <c r="S1480">
        <v>87</v>
      </c>
      <c r="T1480">
        <v>0</v>
      </c>
      <c r="U1480">
        <v>0</v>
      </c>
      <c r="V1480">
        <v>0</v>
      </c>
      <c r="W1480" t="s">
        <v>32</v>
      </c>
      <c r="X1480">
        <v>1</v>
      </c>
      <c r="Y1480" t="str">
        <f t="shared" si="23"/>
        <v>High</v>
      </c>
    </row>
    <row r="1481" spans="1:25">
      <c r="A1481" t="s">
        <v>1594</v>
      </c>
      <c r="B1481" s="1">
        <v>44942</v>
      </c>
      <c r="C1481" s="2">
        <v>0.61458333333333337</v>
      </c>
      <c r="D1481" t="s">
        <v>34</v>
      </c>
      <c r="E1481" t="s">
        <v>89</v>
      </c>
      <c r="F1481" t="s">
        <v>69</v>
      </c>
      <c r="G1481" t="s">
        <v>75</v>
      </c>
      <c r="H1481" s="2">
        <v>0.61527777777777781</v>
      </c>
      <c r="I1481" s="2">
        <v>0.64375000000000004</v>
      </c>
      <c r="J1481">
        <v>9</v>
      </c>
      <c r="K1481">
        <v>23</v>
      </c>
      <c r="L1481" t="s">
        <v>84</v>
      </c>
      <c r="M1481">
        <v>10.5</v>
      </c>
      <c r="N1481">
        <v>42</v>
      </c>
      <c r="O1481">
        <v>42</v>
      </c>
      <c r="P1481">
        <v>19</v>
      </c>
      <c r="Q1481" t="s">
        <v>59</v>
      </c>
      <c r="R1481">
        <v>50000</v>
      </c>
      <c r="S1481">
        <v>5</v>
      </c>
      <c r="T1481">
        <v>0</v>
      </c>
      <c r="U1481">
        <v>0</v>
      </c>
      <c r="V1481">
        <v>0</v>
      </c>
      <c r="W1481" t="s">
        <v>55</v>
      </c>
      <c r="X1481">
        <v>1</v>
      </c>
      <c r="Y1481" t="str">
        <f t="shared" si="23"/>
        <v>Low</v>
      </c>
    </row>
    <row r="1482" spans="1:25">
      <c r="A1482" t="s">
        <v>1595</v>
      </c>
      <c r="B1482" s="1">
        <v>44942</v>
      </c>
      <c r="C1482" s="2">
        <v>0.625</v>
      </c>
      <c r="D1482" t="s">
        <v>26</v>
      </c>
      <c r="E1482" t="s">
        <v>130</v>
      </c>
      <c r="F1482" t="s">
        <v>109</v>
      </c>
      <c r="G1482" t="s">
        <v>43</v>
      </c>
      <c r="H1482" s="2">
        <v>0.625</v>
      </c>
      <c r="I1482" s="2">
        <v>0.64513888888888893</v>
      </c>
      <c r="J1482">
        <v>6</v>
      </c>
      <c r="K1482">
        <v>-3</v>
      </c>
      <c r="L1482" t="s">
        <v>45</v>
      </c>
      <c r="M1482">
        <v>25.6</v>
      </c>
      <c r="N1482">
        <v>79</v>
      </c>
      <c r="O1482">
        <v>28</v>
      </c>
      <c r="P1482">
        <v>12</v>
      </c>
      <c r="Q1482" t="s">
        <v>101</v>
      </c>
      <c r="R1482">
        <v>10000</v>
      </c>
      <c r="S1482">
        <v>29</v>
      </c>
      <c r="T1482">
        <v>1</v>
      </c>
      <c r="U1482">
        <v>1</v>
      </c>
      <c r="V1482">
        <v>0</v>
      </c>
      <c r="W1482" t="s">
        <v>55</v>
      </c>
      <c r="X1482">
        <v>0</v>
      </c>
      <c r="Y1482" t="str">
        <f t="shared" si="23"/>
        <v>Low</v>
      </c>
    </row>
    <row r="1483" spans="1:25">
      <c r="A1483" t="s">
        <v>1596</v>
      </c>
      <c r="B1483" s="1">
        <v>44942</v>
      </c>
      <c r="C1483" s="2">
        <v>0.63541666666666663</v>
      </c>
      <c r="D1483" t="s">
        <v>41</v>
      </c>
      <c r="E1483" t="s">
        <v>93</v>
      </c>
      <c r="F1483" t="s">
        <v>28</v>
      </c>
      <c r="G1483" t="s">
        <v>118</v>
      </c>
      <c r="H1483" s="2">
        <v>0.63541666666666663</v>
      </c>
      <c r="I1483" s="2">
        <v>0.66041666666666665</v>
      </c>
      <c r="J1483">
        <v>15</v>
      </c>
      <c r="K1483">
        <v>25</v>
      </c>
      <c r="L1483" t="s">
        <v>45</v>
      </c>
      <c r="M1483">
        <v>30.4</v>
      </c>
      <c r="N1483">
        <v>67</v>
      </c>
      <c r="O1483">
        <v>2</v>
      </c>
      <c r="P1483">
        <v>2.8</v>
      </c>
      <c r="Q1483" t="s">
        <v>31</v>
      </c>
      <c r="R1483">
        <v>0</v>
      </c>
      <c r="S1483">
        <v>73</v>
      </c>
      <c r="T1483">
        <v>0</v>
      </c>
      <c r="U1483">
        <v>1</v>
      </c>
      <c r="V1483">
        <v>0</v>
      </c>
      <c r="W1483" t="s">
        <v>72</v>
      </c>
      <c r="X1483">
        <v>1</v>
      </c>
      <c r="Y1483" t="str">
        <f t="shared" si="23"/>
        <v>High</v>
      </c>
    </row>
    <row r="1484" spans="1:25">
      <c r="A1484" t="s">
        <v>1597</v>
      </c>
      <c r="B1484" s="1">
        <v>44942</v>
      </c>
      <c r="C1484" s="2">
        <v>0.64583333333333337</v>
      </c>
      <c r="D1484" t="s">
        <v>74</v>
      </c>
      <c r="E1484" t="s">
        <v>27</v>
      </c>
      <c r="F1484" t="s">
        <v>28</v>
      </c>
      <c r="G1484" t="s">
        <v>144</v>
      </c>
      <c r="H1484" s="2">
        <v>0.64652777777777781</v>
      </c>
      <c r="I1484" s="2">
        <v>0.67986111111111114</v>
      </c>
      <c r="J1484">
        <v>18</v>
      </c>
      <c r="K1484">
        <v>-1</v>
      </c>
      <c r="L1484" t="s">
        <v>54</v>
      </c>
      <c r="M1484">
        <v>23</v>
      </c>
      <c r="N1484">
        <v>30</v>
      </c>
      <c r="O1484">
        <v>57</v>
      </c>
      <c r="P1484">
        <v>5.2</v>
      </c>
      <c r="Q1484" t="s">
        <v>101</v>
      </c>
      <c r="R1484">
        <v>0</v>
      </c>
      <c r="S1484">
        <v>94</v>
      </c>
      <c r="T1484">
        <v>0</v>
      </c>
      <c r="U1484">
        <v>0</v>
      </c>
      <c r="V1484">
        <v>0</v>
      </c>
      <c r="W1484" t="s">
        <v>32</v>
      </c>
      <c r="X1484">
        <v>0</v>
      </c>
      <c r="Y1484" t="str">
        <f t="shared" si="23"/>
        <v>High</v>
      </c>
    </row>
    <row r="1485" spans="1:25">
      <c r="A1485" t="s">
        <v>1598</v>
      </c>
      <c r="B1485" s="1">
        <v>44942</v>
      </c>
      <c r="C1485" s="2">
        <v>0.65625</v>
      </c>
      <c r="D1485" t="s">
        <v>41</v>
      </c>
      <c r="E1485" t="s">
        <v>79</v>
      </c>
      <c r="F1485" t="s">
        <v>44</v>
      </c>
      <c r="G1485" t="s">
        <v>90</v>
      </c>
      <c r="H1485" s="2">
        <v>0.65902777777777777</v>
      </c>
      <c r="I1485" s="2">
        <v>0.67638888888888893</v>
      </c>
      <c r="J1485">
        <v>11</v>
      </c>
      <c r="K1485">
        <v>27</v>
      </c>
      <c r="L1485" t="s">
        <v>84</v>
      </c>
      <c r="M1485">
        <v>8.6999999999999993</v>
      </c>
      <c r="N1485">
        <v>68</v>
      </c>
      <c r="O1485">
        <v>32</v>
      </c>
      <c r="P1485">
        <v>7.3</v>
      </c>
      <c r="Q1485" t="s">
        <v>31</v>
      </c>
      <c r="R1485">
        <v>0</v>
      </c>
      <c r="S1485">
        <v>17</v>
      </c>
      <c r="T1485">
        <v>0</v>
      </c>
      <c r="U1485">
        <v>0</v>
      </c>
      <c r="V1485">
        <v>0</v>
      </c>
      <c r="W1485" t="s">
        <v>32</v>
      </c>
      <c r="X1485">
        <v>1</v>
      </c>
      <c r="Y1485" t="str">
        <f t="shared" si="23"/>
        <v>Low</v>
      </c>
    </row>
    <row r="1486" spans="1:25">
      <c r="A1486" t="s">
        <v>1599</v>
      </c>
      <c r="B1486" s="1">
        <v>44942</v>
      </c>
      <c r="C1486" s="2">
        <v>0.66666666666666663</v>
      </c>
      <c r="D1486" t="s">
        <v>26</v>
      </c>
      <c r="E1486" t="s">
        <v>48</v>
      </c>
      <c r="F1486" t="s">
        <v>44</v>
      </c>
      <c r="G1486" t="s">
        <v>90</v>
      </c>
      <c r="H1486" s="2">
        <v>0.6694444444444444</v>
      </c>
      <c r="I1486" s="2">
        <v>0.69305555555555554</v>
      </c>
      <c r="J1486">
        <v>17</v>
      </c>
      <c r="K1486">
        <v>7</v>
      </c>
      <c r="L1486" t="s">
        <v>54</v>
      </c>
      <c r="M1486">
        <v>12.3</v>
      </c>
      <c r="N1486">
        <v>56</v>
      </c>
      <c r="O1486">
        <v>10</v>
      </c>
      <c r="P1486">
        <v>17.5</v>
      </c>
      <c r="Q1486" t="s">
        <v>46</v>
      </c>
      <c r="R1486">
        <v>10000</v>
      </c>
      <c r="S1486">
        <v>42</v>
      </c>
      <c r="T1486">
        <v>0</v>
      </c>
      <c r="U1486">
        <v>0</v>
      </c>
      <c r="V1486">
        <v>0</v>
      </c>
      <c r="W1486" t="s">
        <v>32</v>
      </c>
      <c r="X1486">
        <v>1</v>
      </c>
      <c r="Y1486" t="str">
        <f t="shared" si="23"/>
        <v>Medium</v>
      </c>
    </row>
    <row r="1487" spans="1:25">
      <c r="A1487" t="s">
        <v>1600</v>
      </c>
      <c r="B1487" s="1">
        <v>44942</v>
      </c>
      <c r="C1487" s="2">
        <v>0.67708333333333337</v>
      </c>
      <c r="D1487" t="s">
        <v>26</v>
      </c>
      <c r="E1487" t="s">
        <v>161</v>
      </c>
      <c r="F1487" t="s">
        <v>118</v>
      </c>
      <c r="G1487" t="s">
        <v>75</v>
      </c>
      <c r="H1487" s="2">
        <v>0.6791666666666667</v>
      </c>
      <c r="I1487" s="2">
        <v>0.7104166666666667</v>
      </c>
      <c r="J1487">
        <v>1</v>
      </c>
      <c r="K1487">
        <v>18</v>
      </c>
      <c r="L1487" t="s">
        <v>54</v>
      </c>
      <c r="M1487">
        <v>0.7</v>
      </c>
      <c r="N1487">
        <v>65</v>
      </c>
      <c r="O1487">
        <v>44</v>
      </c>
      <c r="P1487">
        <v>3.4</v>
      </c>
      <c r="Q1487" t="s">
        <v>31</v>
      </c>
      <c r="R1487">
        <v>0</v>
      </c>
      <c r="S1487">
        <v>32</v>
      </c>
      <c r="T1487">
        <v>0</v>
      </c>
      <c r="U1487">
        <v>0</v>
      </c>
      <c r="V1487">
        <v>0</v>
      </c>
      <c r="W1487" t="s">
        <v>72</v>
      </c>
      <c r="X1487">
        <v>1</v>
      </c>
      <c r="Y1487" t="str">
        <f t="shared" si="23"/>
        <v>Low</v>
      </c>
    </row>
    <row r="1488" spans="1:25">
      <c r="A1488" t="s">
        <v>1601</v>
      </c>
      <c r="B1488" s="1">
        <v>44942</v>
      </c>
      <c r="C1488" s="2">
        <v>0.6875</v>
      </c>
      <c r="D1488" t="s">
        <v>26</v>
      </c>
      <c r="E1488" t="s">
        <v>68</v>
      </c>
      <c r="F1488" t="s">
        <v>66</v>
      </c>
      <c r="G1488" t="s">
        <v>194</v>
      </c>
      <c r="H1488" s="2">
        <v>0.6875</v>
      </c>
      <c r="I1488" s="2">
        <v>0.70208333333333328</v>
      </c>
      <c r="J1488">
        <v>5</v>
      </c>
      <c r="K1488">
        <v>14</v>
      </c>
      <c r="L1488" t="s">
        <v>54</v>
      </c>
      <c r="M1488">
        <v>1.7</v>
      </c>
      <c r="N1488">
        <v>61</v>
      </c>
      <c r="O1488">
        <v>4</v>
      </c>
      <c r="P1488">
        <v>4.4000000000000004</v>
      </c>
      <c r="Q1488" t="s">
        <v>101</v>
      </c>
      <c r="R1488">
        <v>2000</v>
      </c>
      <c r="S1488">
        <v>52</v>
      </c>
      <c r="T1488">
        <v>0</v>
      </c>
      <c r="U1488">
        <v>0</v>
      </c>
      <c r="V1488">
        <v>0</v>
      </c>
      <c r="W1488" t="s">
        <v>32</v>
      </c>
      <c r="X1488">
        <v>1</v>
      </c>
      <c r="Y1488" t="str">
        <f t="shared" si="23"/>
        <v>Medium</v>
      </c>
    </row>
    <row r="1489" spans="1:25">
      <c r="A1489" t="s">
        <v>1602</v>
      </c>
      <c r="B1489" s="1">
        <v>44942</v>
      </c>
      <c r="C1489" s="2">
        <v>0.69791666666666663</v>
      </c>
      <c r="D1489" t="s">
        <v>41</v>
      </c>
      <c r="E1489" t="s">
        <v>141</v>
      </c>
      <c r="F1489" t="s">
        <v>62</v>
      </c>
      <c r="G1489" t="s">
        <v>91</v>
      </c>
      <c r="H1489" s="2">
        <v>0.7</v>
      </c>
      <c r="I1489" s="2">
        <v>0.73611111111111116</v>
      </c>
      <c r="J1489">
        <v>5</v>
      </c>
      <c r="K1489">
        <v>2</v>
      </c>
      <c r="L1489" t="s">
        <v>30</v>
      </c>
      <c r="M1489">
        <v>1.6</v>
      </c>
      <c r="N1489">
        <v>70</v>
      </c>
      <c r="O1489">
        <v>49</v>
      </c>
      <c r="P1489">
        <v>7</v>
      </c>
      <c r="Q1489" t="s">
        <v>59</v>
      </c>
      <c r="R1489">
        <v>0</v>
      </c>
      <c r="S1489">
        <v>55</v>
      </c>
      <c r="T1489">
        <v>1</v>
      </c>
      <c r="U1489">
        <v>0</v>
      </c>
      <c r="V1489">
        <v>0</v>
      </c>
      <c r="W1489" t="s">
        <v>55</v>
      </c>
      <c r="X1489">
        <v>0</v>
      </c>
      <c r="Y1489" t="str">
        <f t="shared" si="23"/>
        <v>Medium</v>
      </c>
    </row>
    <row r="1490" spans="1:25">
      <c r="A1490" t="s">
        <v>1603</v>
      </c>
      <c r="B1490" s="1">
        <v>44942</v>
      </c>
      <c r="C1490" s="2">
        <v>0.70833333333333337</v>
      </c>
      <c r="D1490" t="s">
        <v>41</v>
      </c>
      <c r="E1490" t="s">
        <v>111</v>
      </c>
      <c r="F1490" t="s">
        <v>128</v>
      </c>
      <c r="G1490" t="s">
        <v>37</v>
      </c>
      <c r="H1490" s="2">
        <v>0.70833333333333337</v>
      </c>
      <c r="I1490" s="2">
        <v>0.73472222222222228</v>
      </c>
      <c r="J1490">
        <v>19</v>
      </c>
      <c r="K1490">
        <v>-1</v>
      </c>
      <c r="L1490" t="s">
        <v>45</v>
      </c>
      <c r="M1490">
        <v>0.2</v>
      </c>
      <c r="N1490">
        <v>44</v>
      </c>
      <c r="O1490">
        <v>31</v>
      </c>
      <c r="P1490">
        <v>18.5</v>
      </c>
      <c r="Q1490" t="s">
        <v>31</v>
      </c>
      <c r="R1490">
        <v>50000</v>
      </c>
      <c r="S1490">
        <v>18</v>
      </c>
      <c r="T1490">
        <v>0</v>
      </c>
      <c r="U1490">
        <v>1</v>
      </c>
      <c r="V1490">
        <v>0</v>
      </c>
      <c r="W1490" t="s">
        <v>32</v>
      </c>
      <c r="X1490">
        <v>0</v>
      </c>
      <c r="Y1490" t="str">
        <f t="shared" si="23"/>
        <v>Low</v>
      </c>
    </row>
    <row r="1491" spans="1:25">
      <c r="A1491" t="s">
        <v>1604</v>
      </c>
      <c r="B1491" s="1">
        <v>44942</v>
      </c>
      <c r="C1491" s="2">
        <v>0.71875</v>
      </c>
      <c r="D1491" t="s">
        <v>41</v>
      </c>
      <c r="E1491" t="s">
        <v>68</v>
      </c>
      <c r="F1491" t="s">
        <v>148</v>
      </c>
      <c r="G1491" t="s">
        <v>28</v>
      </c>
      <c r="H1491" s="2">
        <v>0.71944444444444444</v>
      </c>
      <c r="I1491" s="2">
        <v>0.7368055555555556</v>
      </c>
      <c r="J1491">
        <v>19</v>
      </c>
      <c r="K1491">
        <v>1</v>
      </c>
      <c r="L1491" t="s">
        <v>45</v>
      </c>
      <c r="M1491">
        <v>2.2000000000000002</v>
      </c>
      <c r="N1491">
        <v>60</v>
      </c>
      <c r="O1491">
        <v>46</v>
      </c>
      <c r="P1491">
        <v>10.1</v>
      </c>
      <c r="Q1491" t="s">
        <v>31</v>
      </c>
      <c r="R1491">
        <v>2000</v>
      </c>
      <c r="S1491">
        <v>86</v>
      </c>
      <c r="T1491">
        <v>0</v>
      </c>
      <c r="U1491">
        <v>0</v>
      </c>
      <c r="V1491">
        <v>0</v>
      </c>
      <c r="W1491" t="s">
        <v>32</v>
      </c>
      <c r="X1491">
        <v>0</v>
      </c>
      <c r="Y1491" t="str">
        <f t="shared" si="23"/>
        <v>High</v>
      </c>
    </row>
    <row r="1492" spans="1:25">
      <c r="A1492" t="s">
        <v>1605</v>
      </c>
      <c r="B1492" s="1">
        <v>44942</v>
      </c>
      <c r="C1492" s="2">
        <v>0.72916666666666663</v>
      </c>
      <c r="D1492" t="s">
        <v>41</v>
      </c>
      <c r="E1492" t="s">
        <v>111</v>
      </c>
      <c r="F1492" t="s">
        <v>87</v>
      </c>
      <c r="G1492" t="s">
        <v>50</v>
      </c>
      <c r="H1492" s="2">
        <v>0.7319444444444444</v>
      </c>
      <c r="I1492" s="2">
        <v>0.76041666666666663</v>
      </c>
      <c r="J1492">
        <v>13</v>
      </c>
      <c r="K1492">
        <v>5</v>
      </c>
      <c r="L1492" t="s">
        <v>45</v>
      </c>
      <c r="M1492">
        <v>3.1</v>
      </c>
      <c r="N1492">
        <v>35</v>
      </c>
      <c r="O1492">
        <v>17</v>
      </c>
      <c r="P1492">
        <v>12.9</v>
      </c>
      <c r="Q1492" t="s">
        <v>101</v>
      </c>
      <c r="R1492">
        <v>0</v>
      </c>
      <c r="S1492">
        <v>68</v>
      </c>
      <c r="T1492">
        <v>0</v>
      </c>
      <c r="U1492">
        <v>0</v>
      </c>
      <c r="V1492">
        <v>0</v>
      </c>
      <c r="W1492" t="s">
        <v>72</v>
      </c>
      <c r="X1492">
        <v>0</v>
      </c>
      <c r="Y1492" t="str">
        <f t="shared" si="23"/>
        <v>High</v>
      </c>
    </row>
    <row r="1493" spans="1:25">
      <c r="A1493" t="s">
        <v>1606</v>
      </c>
      <c r="B1493" s="1">
        <v>44942</v>
      </c>
      <c r="C1493" s="2">
        <v>0.73958333333333337</v>
      </c>
      <c r="D1493" t="s">
        <v>26</v>
      </c>
      <c r="E1493" t="s">
        <v>157</v>
      </c>
      <c r="F1493" t="s">
        <v>50</v>
      </c>
      <c r="G1493" t="s">
        <v>100</v>
      </c>
      <c r="H1493" s="2">
        <v>0.74236111111111114</v>
      </c>
      <c r="I1493" s="2">
        <v>0.7631944444444444</v>
      </c>
      <c r="J1493">
        <v>7</v>
      </c>
      <c r="K1493">
        <v>24</v>
      </c>
      <c r="L1493" t="s">
        <v>30</v>
      </c>
      <c r="M1493">
        <v>-0.5</v>
      </c>
      <c r="N1493">
        <v>81</v>
      </c>
      <c r="O1493">
        <v>46</v>
      </c>
      <c r="P1493">
        <v>7.7</v>
      </c>
      <c r="Q1493" t="s">
        <v>46</v>
      </c>
      <c r="R1493">
        <v>0</v>
      </c>
      <c r="S1493">
        <v>25</v>
      </c>
      <c r="T1493">
        <v>0</v>
      </c>
      <c r="U1493">
        <v>0</v>
      </c>
      <c r="V1493">
        <v>0</v>
      </c>
      <c r="W1493" t="s">
        <v>39</v>
      </c>
      <c r="X1493">
        <v>1</v>
      </c>
      <c r="Y1493" t="str">
        <f t="shared" si="23"/>
        <v>Low</v>
      </c>
    </row>
    <row r="1494" spans="1:25">
      <c r="A1494" t="s">
        <v>1607</v>
      </c>
      <c r="B1494" s="1">
        <v>44942</v>
      </c>
      <c r="C1494" s="2">
        <v>0.75</v>
      </c>
      <c r="D1494" t="s">
        <v>26</v>
      </c>
      <c r="E1494" t="s">
        <v>52</v>
      </c>
      <c r="F1494" t="s">
        <v>135</v>
      </c>
      <c r="G1494" t="s">
        <v>194</v>
      </c>
      <c r="H1494" s="2">
        <v>0.75069444444444444</v>
      </c>
      <c r="I1494" s="2">
        <v>0.7895833333333333</v>
      </c>
      <c r="J1494">
        <v>18</v>
      </c>
      <c r="K1494">
        <v>15</v>
      </c>
      <c r="L1494" t="s">
        <v>38</v>
      </c>
      <c r="M1494">
        <v>20.6</v>
      </c>
      <c r="N1494">
        <v>51</v>
      </c>
      <c r="O1494">
        <v>19</v>
      </c>
      <c r="P1494">
        <v>3.8</v>
      </c>
      <c r="Q1494" t="s">
        <v>63</v>
      </c>
      <c r="R1494">
        <v>0</v>
      </c>
      <c r="S1494">
        <v>28</v>
      </c>
      <c r="T1494">
        <v>0</v>
      </c>
      <c r="U1494">
        <v>0</v>
      </c>
      <c r="V1494">
        <v>0</v>
      </c>
      <c r="W1494" t="s">
        <v>39</v>
      </c>
      <c r="X1494">
        <v>1</v>
      </c>
      <c r="Y1494" t="str">
        <f t="shared" si="23"/>
        <v>Low</v>
      </c>
    </row>
    <row r="1495" spans="1:25">
      <c r="A1495" t="s">
        <v>1608</v>
      </c>
      <c r="B1495" s="1">
        <v>44942</v>
      </c>
      <c r="C1495" s="2">
        <v>0.76041666666666663</v>
      </c>
      <c r="D1495" t="s">
        <v>74</v>
      </c>
      <c r="E1495" t="s">
        <v>130</v>
      </c>
      <c r="F1495" t="s">
        <v>58</v>
      </c>
      <c r="G1495" t="s">
        <v>90</v>
      </c>
      <c r="H1495" s="2">
        <v>0.76249999999999996</v>
      </c>
      <c r="I1495" s="2">
        <v>0.77569444444444446</v>
      </c>
      <c r="J1495">
        <v>14</v>
      </c>
      <c r="K1495">
        <v>24</v>
      </c>
      <c r="L1495" t="s">
        <v>77</v>
      </c>
      <c r="M1495">
        <v>34.6</v>
      </c>
      <c r="N1495">
        <v>60</v>
      </c>
      <c r="O1495">
        <v>51</v>
      </c>
      <c r="P1495">
        <v>4.5</v>
      </c>
      <c r="Q1495" t="s">
        <v>31</v>
      </c>
      <c r="R1495">
        <v>10000</v>
      </c>
      <c r="S1495">
        <v>23</v>
      </c>
      <c r="T1495">
        <v>0</v>
      </c>
      <c r="U1495">
        <v>0</v>
      </c>
      <c r="V1495">
        <v>0</v>
      </c>
      <c r="W1495" t="s">
        <v>72</v>
      </c>
      <c r="X1495">
        <v>1</v>
      </c>
      <c r="Y1495" t="str">
        <f t="shared" si="23"/>
        <v>Low</v>
      </c>
    </row>
    <row r="1496" spans="1:25">
      <c r="A1496" t="s">
        <v>1609</v>
      </c>
      <c r="B1496" s="1">
        <v>44942</v>
      </c>
      <c r="C1496" s="2">
        <v>0.77083333333333337</v>
      </c>
      <c r="D1496" t="s">
        <v>74</v>
      </c>
      <c r="E1496" t="s">
        <v>48</v>
      </c>
      <c r="F1496" t="s">
        <v>69</v>
      </c>
      <c r="G1496" t="s">
        <v>109</v>
      </c>
      <c r="H1496" s="2">
        <v>0.7729166666666667</v>
      </c>
      <c r="I1496" s="2">
        <v>0.81041666666666667</v>
      </c>
      <c r="J1496">
        <v>-2</v>
      </c>
      <c r="K1496">
        <v>23</v>
      </c>
      <c r="L1496" t="s">
        <v>77</v>
      </c>
      <c r="M1496">
        <v>30.2</v>
      </c>
      <c r="N1496">
        <v>75</v>
      </c>
      <c r="O1496">
        <v>51</v>
      </c>
      <c r="P1496">
        <v>16.100000000000001</v>
      </c>
      <c r="Q1496" t="s">
        <v>31</v>
      </c>
      <c r="R1496">
        <v>2000</v>
      </c>
      <c r="S1496">
        <v>5</v>
      </c>
      <c r="T1496">
        <v>0</v>
      </c>
      <c r="U1496">
        <v>1</v>
      </c>
      <c r="V1496">
        <v>0</v>
      </c>
      <c r="W1496" t="s">
        <v>72</v>
      </c>
      <c r="X1496">
        <v>1</v>
      </c>
      <c r="Y1496" t="str">
        <f t="shared" si="23"/>
        <v>Low</v>
      </c>
    </row>
    <row r="1497" spans="1:25">
      <c r="A1497" t="s">
        <v>1610</v>
      </c>
      <c r="B1497" s="1">
        <v>44942</v>
      </c>
      <c r="C1497" s="2">
        <v>0.78125</v>
      </c>
      <c r="D1497" t="s">
        <v>41</v>
      </c>
      <c r="E1497" t="s">
        <v>111</v>
      </c>
      <c r="F1497" t="s">
        <v>53</v>
      </c>
      <c r="G1497" t="s">
        <v>142</v>
      </c>
      <c r="H1497" s="2">
        <v>0.78263888888888888</v>
      </c>
      <c r="I1497" s="2">
        <v>0.80555555555555558</v>
      </c>
      <c r="J1497">
        <v>15</v>
      </c>
      <c r="K1497">
        <v>9</v>
      </c>
      <c r="L1497" t="s">
        <v>30</v>
      </c>
      <c r="M1497">
        <v>-3.2</v>
      </c>
      <c r="N1497">
        <v>96</v>
      </c>
      <c r="O1497">
        <v>38</v>
      </c>
      <c r="P1497">
        <v>17.899999999999999</v>
      </c>
      <c r="Q1497" t="s">
        <v>31</v>
      </c>
      <c r="R1497">
        <v>500</v>
      </c>
      <c r="S1497">
        <v>53</v>
      </c>
      <c r="T1497">
        <v>0</v>
      </c>
      <c r="U1497">
        <v>0</v>
      </c>
      <c r="V1497">
        <v>0</v>
      </c>
      <c r="W1497" t="s">
        <v>72</v>
      </c>
      <c r="X1497">
        <v>1</v>
      </c>
      <c r="Y1497" t="str">
        <f t="shared" si="23"/>
        <v>Medium</v>
      </c>
    </row>
    <row r="1498" spans="1:25">
      <c r="A1498" t="s">
        <v>1611</v>
      </c>
      <c r="B1498" s="1">
        <v>44942</v>
      </c>
      <c r="C1498" s="2">
        <v>0.79166666666666663</v>
      </c>
      <c r="D1498" t="s">
        <v>34</v>
      </c>
      <c r="E1498" t="s">
        <v>126</v>
      </c>
      <c r="F1498" t="s">
        <v>44</v>
      </c>
      <c r="G1498" t="s">
        <v>37</v>
      </c>
      <c r="H1498" s="2">
        <v>0.79166666666666663</v>
      </c>
      <c r="I1498" s="2">
        <v>0.80625000000000002</v>
      </c>
      <c r="J1498">
        <v>7</v>
      </c>
      <c r="K1498">
        <v>17</v>
      </c>
      <c r="L1498" t="s">
        <v>45</v>
      </c>
      <c r="M1498">
        <v>11.9</v>
      </c>
      <c r="N1498">
        <v>72</v>
      </c>
      <c r="O1498">
        <v>48</v>
      </c>
      <c r="P1498">
        <v>9.9</v>
      </c>
      <c r="Q1498" t="s">
        <v>31</v>
      </c>
      <c r="R1498">
        <v>0</v>
      </c>
      <c r="S1498">
        <v>38</v>
      </c>
      <c r="T1498">
        <v>0</v>
      </c>
      <c r="U1498">
        <v>0</v>
      </c>
      <c r="V1498">
        <v>0</v>
      </c>
      <c r="W1498" t="s">
        <v>72</v>
      </c>
      <c r="X1498">
        <v>1</v>
      </c>
      <c r="Y1498" t="str">
        <f t="shared" si="23"/>
        <v>Medium</v>
      </c>
    </row>
    <row r="1499" spans="1:25">
      <c r="A1499" t="s">
        <v>1612</v>
      </c>
      <c r="B1499" s="1">
        <v>44942</v>
      </c>
      <c r="C1499" s="2">
        <v>0.80208333333333337</v>
      </c>
      <c r="D1499" t="s">
        <v>34</v>
      </c>
      <c r="E1499" t="s">
        <v>57</v>
      </c>
      <c r="F1499" t="s">
        <v>53</v>
      </c>
      <c r="G1499" t="s">
        <v>29</v>
      </c>
      <c r="H1499" s="2">
        <v>0.8041666666666667</v>
      </c>
      <c r="I1499" s="2">
        <v>0.83680555555555558</v>
      </c>
      <c r="J1499">
        <v>18</v>
      </c>
      <c r="K1499">
        <v>23</v>
      </c>
      <c r="L1499" t="s">
        <v>77</v>
      </c>
      <c r="M1499">
        <v>29.4</v>
      </c>
      <c r="N1499">
        <v>30</v>
      </c>
      <c r="O1499">
        <v>39</v>
      </c>
      <c r="P1499">
        <v>7.1</v>
      </c>
      <c r="Q1499" t="s">
        <v>31</v>
      </c>
      <c r="R1499">
        <v>0</v>
      </c>
      <c r="S1499">
        <v>3</v>
      </c>
      <c r="T1499">
        <v>0</v>
      </c>
      <c r="U1499">
        <v>0</v>
      </c>
      <c r="V1499">
        <v>0</v>
      </c>
      <c r="W1499" t="s">
        <v>32</v>
      </c>
      <c r="X1499">
        <v>1</v>
      </c>
      <c r="Y1499" t="str">
        <f t="shared" si="23"/>
        <v>Low</v>
      </c>
    </row>
    <row r="1500" spans="1:25">
      <c r="A1500" t="s">
        <v>1613</v>
      </c>
      <c r="B1500" s="1">
        <v>44942</v>
      </c>
      <c r="C1500" s="2">
        <v>0.8125</v>
      </c>
      <c r="D1500" t="s">
        <v>26</v>
      </c>
      <c r="E1500" t="s">
        <v>52</v>
      </c>
      <c r="F1500" t="s">
        <v>53</v>
      </c>
      <c r="G1500" t="s">
        <v>185</v>
      </c>
      <c r="H1500" s="2">
        <v>0.81319444444444444</v>
      </c>
      <c r="I1500" s="2">
        <v>0.84513888888888888</v>
      </c>
      <c r="J1500">
        <v>1</v>
      </c>
      <c r="K1500">
        <v>2</v>
      </c>
      <c r="L1500" t="s">
        <v>30</v>
      </c>
      <c r="M1500">
        <v>0.4</v>
      </c>
      <c r="N1500">
        <v>73</v>
      </c>
      <c r="O1500">
        <v>27</v>
      </c>
      <c r="P1500">
        <v>16.2</v>
      </c>
      <c r="Q1500" t="s">
        <v>31</v>
      </c>
      <c r="R1500">
        <v>0</v>
      </c>
      <c r="S1500">
        <v>57</v>
      </c>
      <c r="T1500">
        <v>1</v>
      </c>
      <c r="U1500">
        <v>0</v>
      </c>
      <c r="V1500">
        <v>0</v>
      </c>
      <c r="W1500" t="s">
        <v>32</v>
      </c>
      <c r="X1500">
        <v>0</v>
      </c>
      <c r="Y1500" t="str">
        <f t="shared" si="23"/>
        <v>Medium</v>
      </c>
    </row>
    <row r="1501" spans="1:25">
      <c r="A1501" t="s">
        <v>1614</v>
      </c>
      <c r="B1501" s="1">
        <v>44942</v>
      </c>
      <c r="C1501" s="2">
        <v>0.82291666666666663</v>
      </c>
      <c r="D1501" t="s">
        <v>26</v>
      </c>
      <c r="E1501" t="s">
        <v>111</v>
      </c>
      <c r="F1501" t="s">
        <v>185</v>
      </c>
      <c r="G1501" t="s">
        <v>76</v>
      </c>
      <c r="H1501" s="2">
        <v>0.82499999999999996</v>
      </c>
      <c r="I1501" s="2">
        <v>0.84097222222222223</v>
      </c>
      <c r="J1501">
        <v>-2</v>
      </c>
      <c r="K1501">
        <v>7</v>
      </c>
      <c r="L1501" t="s">
        <v>54</v>
      </c>
      <c r="M1501">
        <v>28.9</v>
      </c>
      <c r="N1501">
        <v>86</v>
      </c>
      <c r="O1501">
        <v>12</v>
      </c>
      <c r="P1501">
        <v>13.5</v>
      </c>
      <c r="Q1501" t="s">
        <v>31</v>
      </c>
      <c r="R1501">
        <v>0</v>
      </c>
      <c r="S1501">
        <v>47</v>
      </c>
      <c r="T1501">
        <v>0</v>
      </c>
      <c r="U1501">
        <v>0</v>
      </c>
      <c r="V1501">
        <v>0</v>
      </c>
      <c r="W1501" t="s">
        <v>39</v>
      </c>
      <c r="X1501">
        <v>1</v>
      </c>
      <c r="Y1501" t="str">
        <f t="shared" si="23"/>
        <v>Medium</v>
      </c>
    </row>
    <row r="1502" spans="1:25">
      <c r="A1502" t="s">
        <v>1615</v>
      </c>
      <c r="B1502" s="1">
        <v>44942</v>
      </c>
      <c r="C1502" s="2">
        <v>0.83333333333333337</v>
      </c>
      <c r="D1502" t="s">
        <v>26</v>
      </c>
      <c r="E1502" t="s">
        <v>68</v>
      </c>
      <c r="F1502" t="s">
        <v>128</v>
      </c>
      <c r="G1502" t="s">
        <v>194</v>
      </c>
      <c r="H1502" s="2">
        <v>0.83611111111111114</v>
      </c>
      <c r="I1502" s="2">
        <v>0.86736111111111114</v>
      </c>
      <c r="J1502">
        <v>1</v>
      </c>
      <c r="K1502">
        <v>13</v>
      </c>
      <c r="L1502" t="s">
        <v>84</v>
      </c>
      <c r="M1502">
        <v>18.7</v>
      </c>
      <c r="N1502">
        <v>38</v>
      </c>
      <c r="O1502">
        <v>25</v>
      </c>
      <c r="P1502">
        <v>0.8</v>
      </c>
      <c r="Q1502" t="s">
        <v>31</v>
      </c>
      <c r="R1502">
        <v>0</v>
      </c>
      <c r="S1502">
        <v>59</v>
      </c>
      <c r="T1502">
        <v>0</v>
      </c>
      <c r="U1502">
        <v>0</v>
      </c>
      <c r="V1502">
        <v>0</v>
      </c>
      <c r="W1502" t="s">
        <v>72</v>
      </c>
      <c r="X1502">
        <v>1</v>
      </c>
      <c r="Y1502" t="str">
        <f t="shared" si="23"/>
        <v>Medium</v>
      </c>
    </row>
    <row r="1503" spans="1:25">
      <c r="A1503" t="s">
        <v>1616</v>
      </c>
      <c r="B1503" s="1">
        <v>44942</v>
      </c>
      <c r="C1503" s="2">
        <v>0.84375</v>
      </c>
      <c r="D1503" t="s">
        <v>74</v>
      </c>
      <c r="E1503" t="s">
        <v>42</v>
      </c>
      <c r="F1503" t="s">
        <v>69</v>
      </c>
      <c r="G1503" t="s">
        <v>49</v>
      </c>
      <c r="H1503" s="2">
        <v>0.84375</v>
      </c>
      <c r="I1503" s="2">
        <v>0.8618055555555556</v>
      </c>
      <c r="J1503">
        <v>1</v>
      </c>
      <c r="K1503">
        <v>3</v>
      </c>
      <c r="L1503" t="s">
        <v>77</v>
      </c>
      <c r="M1503">
        <v>32.299999999999997</v>
      </c>
      <c r="N1503">
        <v>34</v>
      </c>
      <c r="O1503">
        <v>15</v>
      </c>
      <c r="P1503">
        <v>7</v>
      </c>
      <c r="Q1503" t="s">
        <v>31</v>
      </c>
      <c r="R1503">
        <v>0</v>
      </c>
      <c r="S1503">
        <v>25</v>
      </c>
      <c r="T1503">
        <v>0</v>
      </c>
      <c r="U1503">
        <v>0</v>
      </c>
      <c r="V1503">
        <v>0</v>
      </c>
      <c r="W1503" t="s">
        <v>72</v>
      </c>
      <c r="X1503">
        <v>0</v>
      </c>
      <c r="Y1503" t="str">
        <f t="shared" si="23"/>
        <v>Low</v>
      </c>
    </row>
    <row r="1504" spans="1:25">
      <c r="A1504" t="s">
        <v>1617</v>
      </c>
      <c r="B1504" s="1">
        <v>44942</v>
      </c>
      <c r="C1504" s="2">
        <v>0.85416666666666663</v>
      </c>
      <c r="D1504" t="s">
        <v>74</v>
      </c>
      <c r="E1504" t="s">
        <v>48</v>
      </c>
      <c r="F1504" t="s">
        <v>37</v>
      </c>
      <c r="G1504" t="s">
        <v>118</v>
      </c>
      <c r="H1504" s="2">
        <v>0.85555555555555551</v>
      </c>
      <c r="I1504" s="2">
        <v>0.89236111111111116</v>
      </c>
      <c r="J1504">
        <v>1</v>
      </c>
      <c r="K1504">
        <v>26</v>
      </c>
      <c r="L1504" t="s">
        <v>84</v>
      </c>
      <c r="M1504">
        <v>30</v>
      </c>
      <c r="N1504">
        <v>38</v>
      </c>
      <c r="O1504">
        <v>24</v>
      </c>
      <c r="P1504">
        <v>13.6</v>
      </c>
      <c r="Q1504" t="s">
        <v>46</v>
      </c>
      <c r="R1504">
        <v>0</v>
      </c>
      <c r="S1504">
        <v>78</v>
      </c>
      <c r="T1504">
        <v>0</v>
      </c>
      <c r="U1504">
        <v>0</v>
      </c>
      <c r="V1504">
        <v>0</v>
      </c>
      <c r="W1504" t="s">
        <v>32</v>
      </c>
      <c r="X1504">
        <v>1</v>
      </c>
      <c r="Y1504" t="str">
        <f t="shared" si="23"/>
        <v>High</v>
      </c>
    </row>
    <row r="1505" spans="1:25">
      <c r="A1505" t="s">
        <v>1618</v>
      </c>
      <c r="B1505" s="1">
        <v>44942</v>
      </c>
      <c r="C1505" s="2">
        <v>0.86458333333333337</v>
      </c>
      <c r="D1505" t="s">
        <v>26</v>
      </c>
      <c r="E1505" t="s">
        <v>111</v>
      </c>
      <c r="F1505" t="s">
        <v>66</v>
      </c>
      <c r="G1505" t="s">
        <v>163</v>
      </c>
      <c r="H1505" s="2">
        <v>0.86458333333333337</v>
      </c>
      <c r="I1505" s="2">
        <v>0.8979166666666667</v>
      </c>
      <c r="J1505">
        <v>14</v>
      </c>
      <c r="K1505">
        <v>17</v>
      </c>
      <c r="L1505" t="s">
        <v>45</v>
      </c>
      <c r="M1505">
        <v>22.1</v>
      </c>
      <c r="N1505">
        <v>74</v>
      </c>
      <c r="O1505">
        <v>9</v>
      </c>
      <c r="P1505">
        <v>11.5</v>
      </c>
      <c r="Q1505" t="s">
        <v>31</v>
      </c>
      <c r="R1505">
        <v>500</v>
      </c>
      <c r="S1505">
        <v>76</v>
      </c>
      <c r="T1505">
        <v>0</v>
      </c>
      <c r="U1505">
        <v>1</v>
      </c>
      <c r="V1505">
        <v>0</v>
      </c>
      <c r="W1505" t="s">
        <v>72</v>
      </c>
      <c r="X1505">
        <v>1</v>
      </c>
      <c r="Y1505" t="str">
        <f t="shared" si="23"/>
        <v>High</v>
      </c>
    </row>
    <row r="1506" spans="1:25">
      <c r="A1506" t="s">
        <v>1619</v>
      </c>
      <c r="B1506" s="1">
        <v>44942</v>
      </c>
      <c r="C1506" s="2">
        <v>0.875</v>
      </c>
      <c r="D1506" t="s">
        <v>26</v>
      </c>
      <c r="E1506" t="s">
        <v>48</v>
      </c>
      <c r="F1506" t="s">
        <v>58</v>
      </c>
      <c r="G1506" t="s">
        <v>122</v>
      </c>
      <c r="H1506" s="2">
        <v>0.87777777777777777</v>
      </c>
      <c r="I1506" s="2">
        <v>0.90486111111111112</v>
      </c>
      <c r="J1506">
        <v>6</v>
      </c>
      <c r="K1506">
        <v>-3</v>
      </c>
      <c r="L1506" t="s">
        <v>77</v>
      </c>
      <c r="M1506">
        <v>21.3</v>
      </c>
      <c r="N1506">
        <v>53</v>
      </c>
      <c r="O1506">
        <v>28</v>
      </c>
      <c r="P1506">
        <v>19.600000000000001</v>
      </c>
      <c r="Q1506" t="s">
        <v>31</v>
      </c>
      <c r="R1506">
        <v>10000</v>
      </c>
      <c r="S1506">
        <v>39</v>
      </c>
      <c r="T1506">
        <v>0</v>
      </c>
      <c r="U1506">
        <v>0</v>
      </c>
      <c r="V1506">
        <v>0</v>
      </c>
      <c r="W1506" t="s">
        <v>55</v>
      </c>
      <c r="X1506">
        <v>0</v>
      </c>
      <c r="Y1506" t="str">
        <f t="shared" si="23"/>
        <v>Medium</v>
      </c>
    </row>
    <row r="1507" spans="1:25">
      <c r="A1507" t="s">
        <v>1620</v>
      </c>
      <c r="B1507" s="1">
        <v>44942</v>
      </c>
      <c r="C1507" s="2">
        <v>0.88541666666666663</v>
      </c>
      <c r="D1507" t="s">
        <v>26</v>
      </c>
      <c r="E1507" t="s">
        <v>130</v>
      </c>
      <c r="F1507" t="s">
        <v>81</v>
      </c>
      <c r="G1507" t="s">
        <v>154</v>
      </c>
      <c r="H1507" s="2">
        <v>0.8881944444444444</v>
      </c>
      <c r="I1507" s="2">
        <v>0.92569444444444449</v>
      </c>
      <c r="J1507">
        <v>16</v>
      </c>
      <c r="K1507">
        <v>21</v>
      </c>
      <c r="L1507" t="s">
        <v>30</v>
      </c>
      <c r="M1507">
        <v>3.5</v>
      </c>
      <c r="N1507">
        <v>71</v>
      </c>
      <c r="O1507">
        <v>45</v>
      </c>
      <c r="P1507">
        <v>17.3</v>
      </c>
      <c r="Q1507" t="s">
        <v>31</v>
      </c>
      <c r="R1507">
        <v>0</v>
      </c>
      <c r="S1507">
        <v>85</v>
      </c>
      <c r="T1507">
        <v>0</v>
      </c>
      <c r="U1507">
        <v>0</v>
      </c>
      <c r="V1507">
        <v>0</v>
      </c>
      <c r="W1507" t="s">
        <v>32</v>
      </c>
      <c r="X1507">
        <v>1</v>
      </c>
      <c r="Y1507" t="str">
        <f t="shared" si="23"/>
        <v>High</v>
      </c>
    </row>
    <row r="1508" spans="1:25">
      <c r="A1508" t="s">
        <v>1621</v>
      </c>
      <c r="B1508" s="1">
        <v>44942</v>
      </c>
      <c r="C1508" s="2">
        <v>0.89583333333333337</v>
      </c>
      <c r="D1508" t="s">
        <v>34</v>
      </c>
      <c r="E1508" t="s">
        <v>98</v>
      </c>
      <c r="F1508" t="s">
        <v>49</v>
      </c>
      <c r="G1508" t="s">
        <v>69</v>
      </c>
      <c r="H1508" s="2">
        <v>0.89861111111111114</v>
      </c>
      <c r="I1508" s="2">
        <v>0.91180555555555554</v>
      </c>
      <c r="J1508">
        <v>10</v>
      </c>
      <c r="K1508">
        <v>28</v>
      </c>
      <c r="L1508" t="s">
        <v>38</v>
      </c>
      <c r="M1508">
        <v>-0.3</v>
      </c>
      <c r="N1508">
        <v>51</v>
      </c>
      <c r="O1508">
        <v>37</v>
      </c>
      <c r="P1508">
        <v>1.2</v>
      </c>
      <c r="Q1508" t="s">
        <v>31</v>
      </c>
      <c r="R1508">
        <v>500</v>
      </c>
      <c r="S1508">
        <v>76</v>
      </c>
      <c r="T1508">
        <v>0</v>
      </c>
      <c r="U1508">
        <v>0</v>
      </c>
      <c r="V1508">
        <v>0</v>
      </c>
      <c r="W1508" t="s">
        <v>55</v>
      </c>
      <c r="X1508">
        <v>1</v>
      </c>
      <c r="Y1508" t="str">
        <f t="shared" si="23"/>
        <v>High</v>
      </c>
    </row>
    <row r="1509" spans="1:25">
      <c r="A1509" t="s">
        <v>1622</v>
      </c>
      <c r="B1509" s="1">
        <v>44942</v>
      </c>
      <c r="C1509" s="2">
        <v>0.90625</v>
      </c>
      <c r="D1509" t="s">
        <v>74</v>
      </c>
      <c r="E1509" t="s">
        <v>48</v>
      </c>
      <c r="F1509" t="s">
        <v>116</v>
      </c>
      <c r="G1509" t="s">
        <v>144</v>
      </c>
      <c r="H1509" s="2">
        <v>0.90902777777777777</v>
      </c>
      <c r="I1509" s="2">
        <v>0.93958333333333333</v>
      </c>
      <c r="J1509">
        <v>1</v>
      </c>
      <c r="K1509">
        <v>4</v>
      </c>
      <c r="L1509" t="s">
        <v>77</v>
      </c>
      <c r="M1509">
        <v>11.6</v>
      </c>
      <c r="N1509">
        <v>89</v>
      </c>
      <c r="O1509">
        <v>19</v>
      </c>
      <c r="P1509">
        <v>14.5</v>
      </c>
      <c r="Q1509" t="s">
        <v>101</v>
      </c>
      <c r="R1509">
        <v>0</v>
      </c>
      <c r="S1509">
        <v>55</v>
      </c>
      <c r="T1509">
        <v>0</v>
      </c>
      <c r="U1509">
        <v>0</v>
      </c>
      <c r="V1509">
        <v>0</v>
      </c>
      <c r="W1509" t="s">
        <v>32</v>
      </c>
      <c r="X1509">
        <v>0</v>
      </c>
      <c r="Y1509" t="str">
        <f t="shared" si="23"/>
        <v>Medium</v>
      </c>
    </row>
    <row r="1510" spans="1:25">
      <c r="A1510" t="s">
        <v>1623</v>
      </c>
      <c r="B1510" s="1">
        <v>44942</v>
      </c>
      <c r="C1510" s="2">
        <v>0.91666666666666663</v>
      </c>
      <c r="D1510" t="s">
        <v>34</v>
      </c>
      <c r="E1510" t="s">
        <v>89</v>
      </c>
      <c r="F1510" t="s">
        <v>154</v>
      </c>
      <c r="G1510" t="s">
        <v>76</v>
      </c>
      <c r="H1510" s="2">
        <v>0.91736111111111107</v>
      </c>
      <c r="I1510" s="2">
        <v>0.93333333333333335</v>
      </c>
      <c r="J1510">
        <v>2</v>
      </c>
      <c r="K1510">
        <v>1</v>
      </c>
      <c r="L1510" t="s">
        <v>77</v>
      </c>
      <c r="M1510">
        <v>2.5</v>
      </c>
      <c r="N1510">
        <v>66</v>
      </c>
      <c r="O1510">
        <v>53</v>
      </c>
      <c r="P1510">
        <v>6.7</v>
      </c>
      <c r="Q1510" t="s">
        <v>31</v>
      </c>
      <c r="R1510">
        <v>0</v>
      </c>
      <c r="S1510">
        <v>38</v>
      </c>
      <c r="T1510">
        <v>0</v>
      </c>
      <c r="U1510">
        <v>0</v>
      </c>
      <c r="V1510">
        <v>0</v>
      </c>
      <c r="W1510" t="s">
        <v>32</v>
      </c>
      <c r="X1510">
        <v>0</v>
      </c>
      <c r="Y1510" t="str">
        <f t="shared" si="23"/>
        <v>Medium</v>
      </c>
    </row>
    <row r="1511" spans="1:25">
      <c r="A1511" t="s">
        <v>1624</v>
      </c>
      <c r="B1511" s="1">
        <v>44942</v>
      </c>
      <c r="C1511" s="2">
        <v>0.92708333333333337</v>
      </c>
      <c r="D1511" t="s">
        <v>34</v>
      </c>
      <c r="E1511" t="s">
        <v>126</v>
      </c>
      <c r="F1511" t="s">
        <v>50</v>
      </c>
      <c r="G1511" t="s">
        <v>151</v>
      </c>
      <c r="H1511" s="2">
        <v>0.92847222222222225</v>
      </c>
      <c r="I1511" s="2">
        <v>0.9604166666666667</v>
      </c>
      <c r="J1511">
        <v>10</v>
      </c>
      <c r="K1511">
        <v>26</v>
      </c>
      <c r="L1511" t="s">
        <v>77</v>
      </c>
      <c r="M1511">
        <v>-0.9</v>
      </c>
      <c r="N1511">
        <v>68</v>
      </c>
      <c r="O1511">
        <v>25</v>
      </c>
      <c r="P1511">
        <v>13.6</v>
      </c>
      <c r="Q1511" t="s">
        <v>101</v>
      </c>
      <c r="R1511">
        <v>50000</v>
      </c>
      <c r="S1511">
        <v>80</v>
      </c>
      <c r="T1511">
        <v>0</v>
      </c>
      <c r="U1511">
        <v>0</v>
      </c>
      <c r="V1511">
        <v>0</v>
      </c>
      <c r="W1511" t="s">
        <v>32</v>
      </c>
      <c r="X1511">
        <v>1</v>
      </c>
      <c r="Y1511" t="str">
        <f t="shared" si="23"/>
        <v>High</v>
      </c>
    </row>
    <row r="1512" spans="1:25">
      <c r="A1512" t="s">
        <v>1625</v>
      </c>
      <c r="B1512" s="1">
        <v>44942</v>
      </c>
      <c r="C1512" s="2">
        <v>0.9375</v>
      </c>
      <c r="D1512" t="s">
        <v>26</v>
      </c>
      <c r="E1512" t="s">
        <v>93</v>
      </c>
      <c r="F1512" t="s">
        <v>128</v>
      </c>
      <c r="G1512" t="s">
        <v>44</v>
      </c>
      <c r="H1512" s="2">
        <v>0.94027777777777777</v>
      </c>
      <c r="I1512" s="2">
        <v>0.97152777777777777</v>
      </c>
      <c r="J1512">
        <v>13</v>
      </c>
      <c r="K1512">
        <v>4</v>
      </c>
      <c r="L1512" t="s">
        <v>77</v>
      </c>
      <c r="M1512">
        <v>7.1</v>
      </c>
      <c r="N1512">
        <v>82</v>
      </c>
      <c r="O1512">
        <v>31</v>
      </c>
      <c r="P1512">
        <v>12.3</v>
      </c>
      <c r="Q1512" t="s">
        <v>31</v>
      </c>
      <c r="R1512">
        <v>0</v>
      </c>
      <c r="S1512">
        <v>99</v>
      </c>
      <c r="T1512">
        <v>0</v>
      </c>
      <c r="U1512">
        <v>0</v>
      </c>
      <c r="V1512">
        <v>0</v>
      </c>
      <c r="W1512" t="s">
        <v>39</v>
      </c>
      <c r="X1512">
        <v>0</v>
      </c>
      <c r="Y1512" t="str">
        <f t="shared" si="23"/>
        <v>High</v>
      </c>
    </row>
    <row r="1513" spans="1:25">
      <c r="A1513" t="s">
        <v>1626</v>
      </c>
      <c r="B1513" s="1">
        <v>44942</v>
      </c>
      <c r="C1513" s="2">
        <v>0.94791666666666663</v>
      </c>
      <c r="D1513" t="s">
        <v>26</v>
      </c>
      <c r="E1513" t="s">
        <v>104</v>
      </c>
      <c r="F1513" t="s">
        <v>203</v>
      </c>
      <c r="G1513" t="s">
        <v>135</v>
      </c>
      <c r="H1513" s="2">
        <v>0.9506944444444444</v>
      </c>
      <c r="I1513" s="2">
        <v>0.98124999999999996</v>
      </c>
      <c r="J1513">
        <v>19</v>
      </c>
      <c r="K1513">
        <v>15</v>
      </c>
      <c r="L1513" t="s">
        <v>30</v>
      </c>
      <c r="M1513">
        <v>29.4</v>
      </c>
      <c r="N1513">
        <v>57</v>
      </c>
      <c r="O1513">
        <v>38</v>
      </c>
      <c r="P1513">
        <v>10.1</v>
      </c>
      <c r="Q1513" t="s">
        <v>101</v>
      </c>
      <c r="R1513">
        <v>0</v>
      </c>
      <c r="S1513">
        <v>38</v>
      </c>
      <c r="T1513">
        <v>0</v>
      </c>
      <c r="U1513">
        <v>1</v>
      </c>
      <c r="V1513">
        <v>0</v>
      </c>
      <c r="W1513" t="s">
        <v>39</v>
      </c>
      <c r="X1513">
        <v>1</v>
      </c>
      <c r="Y1513" t="str">
        <f t="shared" si="23"/>
        <v>Medium</v>
      </c>
    </row>
    <row r="1514" spans="1:25">
      <c r="A1514" t="s">
        <v>1627</v>
      </c>
      <c r="B1514" s="1">
        <v>44942</v>
      </c>
      <c r="C1514" s="2">
        <v>0.95833333333333337</v>
      </c>
      <c r="D1514" t="s">
        <v>41</v>
      </c>
      <c r="E1514" t="s">
        <v>111</v>
      </c>
      <c r="F1514" t="s">
        <v>66</v>
      </c>
      <c r="G1514" t="s">
        <v>203</v>
      </c>
      <c r="H1514" s="2">
        <v>0.9604166666666667</v>
      </c>
      <c r="I1514" s="2">
        <v>0.98958333333333337</v>
      </c>
      <c r="J1514">
        <v>2</v>
      </c>
      <c r="K1514">
        <v>26</v>
      </c>
      <c r="L1514" t="s">
        <v>30</v>
      </c>
      <c r="M1514">
        <v>-4.3</v>
      </c>
      <c r="N1514">
        <v>44</v>
      </c>
      <c r="O1514">
        <v>37</v>
      </c>
      <c r="P1514">
        <v>17.100000000000001</v>
      </c>
      <c r="Q1514" t="s">
        <v>31</v>
      </c>
      <c r="R1514">
        <v>0</v>
      </c>
      <c r="S1514">
        <v>47</v>
      </c>
      <c r="T1514">
        <v>0</v>
      </c>
      <c r="U1514">
        <v>0</v>
      </c>
      <c r="V1514">
        <v>0</v>
      </c>
      <c r="W1514" t="s">
        <v>32</v>
      </c>
      <c r="X1514">
        <v>1</v>
      </c>
      <c r="Y1514" t="str">
        <f t="shared" si="23"/>
        <v>Medium</v>
      </c>
    </row>
    <row r="1515" spans="1:25">
      <c r="A1515" t="s">
        <v>1628</v>
      </c>
      <c r="B1515" s="1">
        <v>44942</v>
      </c>
      <c r="C1515" s="2">
        <v>0.96875</v>
      </c>
      <c r="D1515" t="s">
        <v>41</v>
      </c>
      <c r="E1515" t="s">
        <v>89</v>
      </c>
      <c r="F1515" t="s">
        <v>135</v>
      </c>
      <c r="G1515" t="s">
        <v>90</v>
      </c>
      <c r="H1515" s="2">
        <v>0.97013888888888888</v>
      </c>
      <c r="I1515" s="2">
        <v>0.99513888888888891</v>
      </c>
      <c r="J1515">
        <v>5</v>
      </c>
      <c r="K1515">
        <v>11</v>
      </c>
      <c r="L1515" t="s">
        <v>38</v>
      </c>
      <c r="M1515">
        <v>6.7</v>
      </c>
      <c r="N1515">
        <v>89</v>
      </c>
      <c r="O1515">
        <v>58</v>
      </c>
      <c r="P1515">
        <v>14.2</v>
      </c>
      <c r="Q1515" t="s">
        <v>31</v>
      </c>
      <c r="R1515">
        <v>0</v>
      </c>
      <c r="S1515">
        <v>24</v>
      </c>
      <c r="T1515">
        <v>0</v>
      </c>
      <c r="U1515">
        <v>1</v>
      </c>
      <c r="V1515">
        <v>0</v>
      </c>
      <c r="W1515" t="s">
        <v>32</v>
      </c>
      <c r="X1515">
        <v>1</v>
      </c>
      <c r="Y1515" t="str">
        <f t="shared" si="23"/>
        <v>Low</v>
      </c>
    </row>
    <row r="1516" spans="1:25">
      <c r="A1516" t="s">
        <v>1629</v>
      </c>
      <c r="B1516" s="1">
        <v>44942</v>
      </c>
      <c r="C1516" s="2">
        <v>0.97916666666666663</v>
      </c>
      <c r="D1516" t="s">
        <v>34</v>
      </c>
      <c r="E1516" t="s">
        <v>48</v>
      </c>
      <c r="F1516" t="s">
        <v>99</v>
      </c>
      <c r="G1516" t="s">
        <v>37</v>
      </c>
      <c r="H1516" s="2">
        <v>0.97916666666666663</v>
      </c>
      <c r="I1516" s="2">
        <v>1.0416666666666666E-2</v>
      </c>
      <c r="J1516">
        <v>13</v>
      </c>
      <c r="K1516">
        <v>23</v>
      </c>
      <c r="L1516" t="s">
        <v>30</v>
      </c>
      <c r="M1516">
        <v>12</v>
      </c>
      <c r="N1516">
        <v>89</v>
      </c>
      <c r="O1516">
        <v>48</v>
      </c>
      <c r="P1516">
        <v>17.8</v>
      </c>
      <c r="Q1516" t="s">
        <v>59</v>
      </c>
      <c r="R1516">
        <v>500</v>
      </c>
      <c r="S1516">
        <v>33</v>
      </c>
      <c r="T1516">
        <v>0</v>
      </c>
      <c r="U1516">
        <v>1</v>
      </c>
      <c r="V1516">
        <v>0</v>
      </c>
      <c r="W1516" t="s">
        <v>32</v>
      </c>
      <c r="X1516">
        <v>1</v>
      </c>
      <c r="Y1516" t="str">
        <f t="shared" si="23"/>
        <v>Low</v>
      </c>
    </row>
    <row r="1517" spans="1:25">
      <c r="A1517" t="s">
        <v>1630</v>
      </c>
      <c r="B1517" s="1">
        <v>44942</v>
      </c>
      <c r="C1517" s="2">
        <v>0.98958333333333337</v>
      </c>
      <c r="D1517" t="s">
        <v>74</v>
      </c>
      <c r="E1517" t="s">
        <v>27</v>
      </c>
      <c r="F1517" t="s">
        <v>65</v>
      </c>
      <c r="G1517" t="s">
        <v>53</v>
      </c>
      <c r="H1517" s="2">
        <v>0.99097222222222225</v>
      </c>
      <c r="I1517" s="2">
        <v>2.8472222222222222E-2</v>
      </c>
      <c r="J1517">
        <v>-2</v>
      </c>
      <c r="K1517">
        <v>9</v>
      </c>
      <c r="L1517" t="s">
        <v>30</v>
      </c>
      <c r="M1517">
        <v>15.4</v>
      </c>
      <c r="N1517">
        <v>35</v>
      </c>
      <c r="O1517">
        <v>52</v>
      </c>
      <c r="P1517">
        <v>5.6</v>
      </c>
      <c r="Q1517" t="s">
        <v>31</v>
      </c>
      <c r="R1517">
        <v>0</v>
      </c>
      <c r="S1517">
        <v>20</v>
      </c>
      <c r="T1517">
        <v>0</v>
      </c>
      <c r="U1517">
        <v>0</v>
      </c>
      <c r="V1517">
        <v>0</v>
      </c>
      <c r="W1517" t="s">
        <v>32</v>
      </c>
      <c r="X1517">
        <v>1</v>
      </c>
      <c r="Y1517" t="str">
        <f t="shared" si="23"/>
        <v>Low</v>
      </c>
    </row>
    <row r="1518" spans="1:25">
      <c r="A1518" t="s">
        <v>1631</v>
      </c>
      <c r="B1518" s="1">
        <v>44943</v>
      </c>
      <c r="C1518" s="2">
        <v>0</v>
      </c>
      <c r="D1518" t="s">
        <v>26</v>
      </c>
      <c r="E1518" t="s">
        <v>126</v>
      </c>
      <c r="F1518" t="s">
        <v>113</v>
      </c>
      <c r="G1518" t="s">
        <v>116</v>
      </c>
      <c r="H1518" s="2">
        <v>1.3888888888888889E-3</v>
      </c>
      <c r="I1518" s="2">
        <v>3.1944444444444442E-2</v>
      </c>
      <c r="J1518">
        <v>3</v>
      </c>
      <c r="K1518">
        <v>10</v>
      </c>
      <c r="L1518" t="s">
        <v>45</v>
      </c>
      <c r="M1518">
        <v>2.2999999999999998</v>
      </c>
      <c r="N1518">
        <v>81</v>
      </c>
      <c r="O1518">
        <v>23</v>
      </c>
      <c r="P1518">
        <v>7</v>
      </c>
      <c r="Q1518" t="s">
        <v>46</v>
      </c>
      <c r="R1518">
        <v>0</v>
      </c>
      <c r="S1518">
        <v>24</v>
      </c>
      <c r="T1518">
        <v>0</v>
      </c>
      <c r="U1518">
        <v>0</v>
      </c>
      <c r="V1518">
        <v>1</v>
      </c>
      <c r="W1518" t="s">
        <v>72</v>
      </c>
      <c r="X1518">
        <v>1</v>
      </c>
      <c r="Y1518" t="str">
        <f t="shared" si="23"/>
        <v>Low</v>
      </c>
    </row>
    <row r="1519" spans="1:25">
      <c r="A1519" t="s">
        <v>1632</v>
      </c>
      <c r="B1519" s="1">
        <v>44943</v>
      </c>
      <c r="C1519" s="2">
        <v>1.0416666666666666E-2</v>
      </c>
      <c r="D1519" t="s">
        <v>26</v>
      </c>
      <c r="E1519" t="s">
        <v>111</v>
      </c>
      <c r="F1519" t="s">
        <v>194</v>
      </c>
      <c r="G1519" t="s">
        <v>105</v>
      </c>
      <c r="H1519" s="2">
        <v>1.1805555555555555E-2</v>
      </c>
      <c r="I1519" s="2">
        <v>4.4444444444444446E-2</v>
      </c>
      <c r="J1519">
        <v>8</v>
      </c>
      <c r="K1519">
        <v>26</v>
      </c>
      <c r="L1519" t="s">
        <v>45</v>
      </c>
      <c r="M1519">
        <v>33.6</v>
      </c>
      <c r="N1519">
        <v>41</v>
      </c>
      <c r="O1519">
        <v>30</v>
      </c>
      <c r="P1519">
        <v>12.4</v>
      </c>
      <c r="Q1519" t="s">
        <v>31</v>
      </c>
      <c r="R1519">
        <v>10000</v>
      </c>
      <c r="S1519">
        <v>88</v>
      </c>
      <c r="T1519">
        <v>0</v>
      </c>
      <c r="U1519">
        <v>0</v>
      </c>
      <c r="V1519">
        <v>1</v>
      </c>
      <c r="W1519" t="s">
        <v>72</v>
      </c>
      <c r="X1519">
        <v>1</v>
      </c>
      <c r="Y1519" t="str">
        <f t="shared" si="23"/>
        <v>High</v>
      </c>
    </row>
    <row r="1520" spans="1:25">
      <c r="A1520" t="s">
        <v>1633</v>
      </c>
      <c r="B1520" s="1">
        <v>44943</v>
      </c>
      <c r="C1520" s="2">
        <v>2.0833333333333332E-2</v>
      </c>
      <c r="D1520" t="s">
        <v>34</v>
      </c>
      <c r="E1520" t="s">
        <v>68</v>
      </c>
      <c r="F1520" t="s">
        <v>123</v>
      </c>
      <c r="G1520" t="s">
        <v>69</v>
      </c>
      <c r="H1520" s="2">
        <v>2.361111111111111E-2</v>
      </c>
      <c r="I1520" s="2">
        <v>5.486111111111111E-2</v>
      </c>
      <c r="J1520">
        <v>13</v>
      </c>
      <c r="K1520">
        <v>9</v>
      </c>
      <c r="L1520" t="s">
        <v>84</v>
      </c>
      <c r="M1520">
        <v>18.2</v>
      </c>
      <c r="N1520">
        <v>48</v>
      </c>
      <c r="O1520">
        <v>39</v>
      </c>
      <c r="P1520">
        <v>19.3</v>
      </c>
      <c r="Q1520" t="s">
        <v>46</v>
      </c>
      <c r="R1520">
        <v>0</v>
      </c>
      <c r="S1520">
        <v>21</v>
      </c>
      <c r="T1520">
        <v>0</v>
      </c>
      <c r="U1520">
        <v>0</v>
      </c>
      <c r="V1520">
        <v>1</v>
      </c>
      <c r="W1520" t="s">
        <v>72</v>
      </c>
      <c r="X1520">
        <v>1</v>
      </c>
      <c r="Y1520" t="str">
        <f t="shared" si="23"/>
        <v>Low</v>
      </c>
    </row>
    <row r="1521" spans="1:25">
      <c r="A1521" t="s">
        <v>1634</v>
      </c>
      <c r="B1521" s="1">
        <v>44943</v>
      </c>
      <c r="C1521" s="2">
        <v>3.125E-2</v>
      </c>
      <c r="D1521" t="s">
        <v>41</v>
      </c>
      <c r="E1521" t="s">
        <v>157</v>
      </c>
      <c r="F1521" t="s">
        <v>87</v>
      </c>
      <c r="G1521" t="s">
        <v>176</v>
      </c>
      <c r="H1521" s="2">
        <v>3.4027777777777775E-2</v>
      </c>
      <c r="I1521" s="2">
        <v>4.6527777777777779E-2</v>
      </c>
      <c r="J1521">
        <v>2</v>
      </c>
      <c r="K1521">
        <v>12</v>
      </c>
      <c r="L1521" t="s">
        <v>38</v>
      </c>
      <c r="M1521">
        <v>15.9</v>
      </c>
      <c r="N1521">
        <v>31</v>
      </c>
      <c r="O1521">
        <v>11</v>
      </c>
      <c r="P1521">
        <v>7.4</v>
      </c>
      <c r="Q1521" t="s">
        <v>101</v>
      </c>
      <c r="R1521">
        <v>0</v>
      </c>
      <c r="S1521">
        <v>22</v>
      </c>
      <c r="T1521">
        <v>0</v>
      </c>
      <c r="U1521">
        <v>0</v>
      </c>
      <c r="V1521">
        <v>1</v>
      </c>
      <c r="W1521" t="s">
        <v>39</v>
      </c>
      <c r="X1521">
        <v>1</v>
      </c>
      <c r="Y1521" t="str">
        <f t="shared" si="23"/>
        <v>Low</v>
      </c>
    </row>
    <row r="1522" spans="1:25">
      <c r="A1522" t="s">
        <v>1635</v>
      </c>
      <c r="B1522" s="1">
        <v>44943</v>
      </c>
      <c r="C1522" s="2">
        <v>4.1666666666666664E-2</v>
      </c>
      <c r="D1522" t="s">
        <v>74</v>
      </c>
      <c r="E1522" t="s">
        <v>52</v>
      </c>
      <c r="F1522" t="s">
        <v>50</v>
      </c>
      <c r="G1522" t="s">
        <v>83</v>
      </c>
      <c r="H1522" s="2">
        <v>4.2361111111111113E-2</v>
      </c>
      <c r="I1522" s="2">
        <v>5.9722222222222225E-2</v>
      </c>
      <c r="J1522">
        <v>13</v>
      </c>
      <c r="K1522">
        <v>3</v>
      </c>
      <c r="L1522" t="s">
        <v>45</v>
      </c>
      <c r="M1522">
        <v>-4.5999999999999996</v>
      </c>
      <c r="N1522">
        <v>84</v>
      </c>
      <c r="O1522">
        <v>57</v>
      </c>
      <c r="P1522">
        <v>0.6</v>
      </c>
      <c r="Q1522" t="s">
        <v>63</v>
      </c>
      <c r="R1522">
        <v>50000</v>
      </c>
      <c r="S1522">
        <v>24</v>
      </c>
      <c r="T1522">
        <v>0</v>
      </c>
      <c r="U1522">
        <v>0</v>
      </c>
      <c r="V1522">
        <v>1</v>
      </c>
      <c r="W1522" t="s">
        <v>55</v>
      </c>
      <c r="X1522">
        <v>0</v>
      </c>
      <c r="Y1522" t="str">
        <f t="shared" si="23"/>
        <v>Low</v>
      </c>
    </row>
    <row r="1523" spans="1:25">
      <c r="A1523" t="s">
        <v>1636</v>
      </c>
      <c r="B1523" s="1">
        <v>44943</v>
      </c>
      <c r="C1523" s="2">
        <v>5.2083333333333336E-2</v>
      </c>
      <c r="D1523" t="s">
        <v>41</v>
      </c>
      <c r="E1523" t="s">
        <v>57</v>
      </c>
      <c r="F1523" t="s">
        <v>203</v>
      </c>
      <c r="G1523" t="s">
        <v>197</v>
      </c>
      <c r="H1523" s="2">
        <v>5.2083333333333336E-2</v>
      </c>
      <c r="I1523" s="2">
        <v>7.1527777777777773E-2</v>
      </c>
      <c r="J1523">
        <v>4</v>
      </c>
      <c r="K1523">
        <v>23</v>
      </c>
      <c r="L1523" t="s">
        <v>38</v>
      </c>
      <c r="M1523">
        <v>14.4</v>
      </c>
      <c r="N1523">
        <v>44</v>
      </c>
      <c r="O1523">
        <v>56</v>
      </c>
      <c r="P1523">
        <v>8.9</v>
      </c>
      <c r="Q1523" t="s">
        <v>31</v>
      </c>
      <c r="R1523">
        <v>0</v>
      </c>
      <c r="S1523">
        <v>77</v>
      </c>
      <c r="T1523">
        <v>0</v>
      </c>
      <c r="U1523">
        <v>1</v>
      </c>
      <c r="V1523">
        <v>1</v>
      </c>
      <c r="W1523" t="s">
        <v>32</v>
      </c>
      <c r="X1523">
        <v>1</v>
      </c>
      <c r="Y1523" t="str">
        <f t="shared" si="23"/>
        <v>High</v>
      </c>
    </row>
    <row r="1524" spans="1:25">
      <c r="A1524" t="s">
        <v>1637</v>
      </c>
      <c r="B1524" s="1">
        <v>44943</v>
      </c>
      <c r="C1524" s="2">
        <v>6.25E-2</v>
      </c>
      <c r="D1524" t="s">
        <v>41</v>
      </c>
      <c r="E1524" t="s">
        <v>89</v>
      </c>
      <c r="F1524" t="s">
        <v>185</v>
      </c>
      <c r="G1524" t="s">
        <v>122</v>
      </c>
      <c r="H1524" s="2">
        <v>6.458333333333334E-2</v>
      </c>
      <c r="I1524" s="2">
        <v>8.4722222222222227E-2</v>
      </c>
      <c r="J1524">
        <v>16</v>
      </c>
      <c r="K1524">
        <v>11</v>
      </c>
      <c r="L1524" t="s">
        <v>38</v>
      </c>
      <c r="M1524">
        <v>28.5</v>
      </c>
      <c r="N1524">
        <v>93</v>
      </c>
      <c r="O1524">
        <v>35</v>
      </c>
      <c r="P1524">
        <v>10.9</v>
      </c>
      <c r="Q1524" t="s">
        <v>31</v>
      </c>
      <c r="R1524">
        <v>10000</v>
      </c>
      <c r="S1524">
        <v>77</v>
      </c>
      <c r="T1524">
        <v>0</v>
      </c>
      <c r="U1524">
        <v>0</v>
      </c>
      <c r="V1524">
        <v>1</v>
      </c>
      <c r="W1524" t="s">
        <v>72</v>
      </c>
      <c r="X1524">
        <v>1</v>
      </c>
      <c r="Y1524" t="str">
        <f t="shared" si="23"/>
        <v>High</v>
      </c>
    </row>
    <row r="1525" spans="1:25">
      <c r="A1525" t="s">
        <v>1638</v>
      </c>
      <c r="B1525" s="1">
        <v>44943</v>
      </c>
      <c r="C1525" s="2">
        <v>7.2916666666666671E-2</v>
      </c>
      <c r="D1525" t="s">
        <v>41</v>
      </c>
      <c r="E1525" t="s">
        <v>161</v>
      </c>
      <c r="F1525" t="s">
        <v>107</v>
      </c>
      <c r="G1525" t="s">
        <v>83</v>
      </c>
      <c r="H1525" s="2">
        <v>7.4305555555555555E-2</v>
      </c>
      <c r="I1525" s="2">
        <v>9.6527777777777782E-2</v>
      </c>
      <c r="J1525">
        <v>-2</v>
      </c>
      <c r="K1525">
        <v>24</v>
      </c>
      <c r="L1525" t="s">
        <v>77</v>
      </c>
      <c r="M1525">
        <v>3.8</v>
      </c>
      <c r="N1525">
        <v>98</v>
      </c>
      <c r="O1525">
        <v>9</v>
      </c>
      <c r="P1525">
        <v>16</v>
      </c>
      <c r="Q1525" t="s">
        <v>63</v>
      </c>
      <c r="R1525">
        <v>50000</v>
      </c>
      <c r="S1525">
        <v>25</v>
      </c>
      <c r="T1525">
        <v>1</v>
      </c>
      <c r="U1525">
        <v>0</v>
      </c>
      <c r="V1525">
        <v>1</v>
      </c>
      <c r="W1525" t="s">
        <v>72</v>
      </c>
      <c r="X1525">
        <v>1</v>
      </c>
      <c r="Y1525" t="str">
        <f t="shared" si="23"/>
        <v>Low</v>
      </c>
    </row>
    <row r="1526" spans="1:25">
      <c r="A1526" t="s">
        <v>1639</v>
      </c>
      <c r="B1526" s="1">
        <v>44943</v>
      </c>
      <c r="C1526" s="2">
        <v>8.3333333333333329E-2</v>
      </c>
      <c r="D1526" t="s">
        <v>41</v>
      </c>
      <c r="E1526" t="s">
        <v>126</v>
      </c>
      <c r="F1526" t="s">
        <v>148</v>
      </c>
      <c r="G1526" t="s">
        <v>194</v>
      </c>
      <c r="H1526" s="2">
        <v>8.3333333333333329E-2</v>
      </c>
      <c r="I1526" s="2">
        <v>0.1</v>
      </c>
      <c r="J1526">
        <v>6</v>
      </c>
      <c r="K1526">
        <v>3</v>
      </c>
      <c r="L1526" t="s">
        <v>54</v>
      </c>
      <c r="M1526">
        <v>9</v>
      </c>
      <c r="N1526">
        <v>44</v>
      </c>
      <c r="O1526">
        <v>5</v>
      </c>
      <c r="P1526">
        <v>14.6</v>
      </c>
      <c r="Q1526" t="s">
        <v>101</v>
      </c>
      <c r="R1526">
        <v>0</v>
      </c>
      <c r="S1526">
        <v>29</v>
      </c>
      <c r="T1526">
        <v>0</v>
      </c>
      <c r="U1526">
        <v>0</v>
      </c>
      <c r="V1526">
        <v>1</v>
      </c>
      <c r="W1526" t="s">
        <v>72</v>
      </c>
      <c r="X1526">
        <v>0</v>
      </c>
      <c r="Y1526" t="str">
        <f t="shared" si="23"/>
        <v>Low</v>
      </c>
    </row>
    <row r="1527" spans="1:25">
      <c r="A1527" t="s">
        <v>1640</v>
      </c>
      <c r="B1527" s="1">
        <v>44943</v>
      </c>
      <c r="C1527" s="2">
        <v>9.375E-2</v>
      </c>
      <c r="D1527" t="s">
        <v>26</v>
      </c>
      <c r="E1527" t="s">
        <v>111</v>
      </c>
      <c r="F1527" t="s">
        <v>37</v>
      </c>
      <c r="G1527" t="s">
        <v>128</v>
      </c>
      <c r="H1527" s="2">
        <v>9.375E-2</v>
      </c>
      <c r="I1527" s="2">
        <v>0.12708333333333333</v>
      </c>
      <c r="J1527">
        <v>15</v>
      </c>
      <c r="K1527">
        <v>16</v>
      </c>
      <c r="L1527" t="s">
        <v>54</v>
      </c>
      <c r="M1527">
        <v>-4.2</v>
      </c>
      <c r="N1527">
        <v>72</v>
      </c>
      <c r="O1527">
        <v>6</v>
      </c>
      <c r="P1527">
        <v>19.3</v>
      </c>
      <c r="Q1527" t="s">
        <v>31</v>
      </c>
      <c r="R1527">
        <v>0</v>
      </c>
      <c r="S1527">
        <v>89</v>
      </c>
      <c r="T1527">
        <v>0</v>
      </c>
      <c r="U1527">
        <v>0</v>
      </c>
      <c r="V1527">
        <v>1</v>
      </c>
      <c r="W1527" t="s">
        <v>32</v>
      </c>
      <c r="X1527">
        <v>1</v>
      </c>
      <c r="Y1527" t="str">
        <f t="shared" si="23"/>
        <v>High</v>
      </c>
    </row>
    <row r="1528" spans="1:25">
      <c r="A1528" t="s">
        <v>1641</v>
      </c>
      <c r="B1528" s="1">
        <v>44943</v>
      </c>
      <c r="C1528" s="2">
        <v>0.10416666666666667</v>
      </c>
      <c r="D1528" t="s">
        <v>26</v>
      </c>
      <c r="E1528" t="s">
        <v>147</v>
      </c>
      <c r="F1528" t="s">
        <v>58</v>
      </c>
      <c r="G1528" t="s">
        <v>53</v>
      </c>
      <c r="H1528" s="2">
        <v>0.10486111111111111</v>
      </c>
      <c r="I1528" s="2">
        <v>0.14166666666666666</v>
      </c>
      <c r="J1528">
        <v>10</v>
      </c>
      <c r="K1528">
        <v>28</v>
      </c>
      <c r="L1528" t="s">
        <v>54</v>
      </c>
      <c r="M1528">
        <v>34.1</v>
      </c>
      <c r="N1528">
        <v>46</v>
      </c>
      <c r="O1528">
        <v>52</v>
      </c>
      <c r="P1528">
        <v>15.7</v>
      </c>
      <c r="Q1528" t="s">
        <v>31</v>
      </c>
      <c r="R1528">
        <v>0</v>
      </c>
      <c r="S1528">
        <v>37</v>
      </c>
      <c r="T1528">
        <v>0</v>
      </c>
      <c r="U1528">
        <v>1</v>
      </c>
      <c r="V1528">
        <v>1</v>
      </c>
      <c r="W1528" t="s">
        <v>32</v>
      </c>
      <c r="X1528">
        <v>1</v>
      </c>
      <c r="Y1528" t="str">
        <f t="shared" si="23"/>
        <v>Medium</v>
      </c>
    </row>
    <row r="1529" spans="1:25">
      <c r="A1529" t="s">
        <v>1642</v>
      </c>
      <c r="B1529" s="1">
        <v>44943</v>
      </c>
      <c r="C1529" s="2">
        <v>0.11458333333333333</v>
      </c>
      <c r="D1529" t="s">
        <v>41</v>
      </c>
      <c r="E1529" t="s">
        <v>130</v>
      </c>
      <c r="F1529" t="s">
        <v>128</v>
      </c>
      <c r="G1529" t="s">
        <v>148</v>
      </c>
      <c r="H1529" s="2">
        <v>0.11666666666666667</v>
      </c>
      <c r="I1529" s="2">
        <v>0.14652777777777778</v>
      </c>
      <c r="J1529">
        <v>12</v>
      </c>
      <c r="K1529">
        <v>28</v>
      </c>
      <c r="L1529" t="s">
        <v>38</v>
      </c>
      <c r="M1529">
        <v>-2.2999999999999998</v>
      </c>
      <c r="N1529">
        <v>53</v>
      </c>
      <c r="O1529">
        <v>30</v>
      </c>
      <c r="P1529">
        <v>6</v>
      </c>
      <c r="Q1529" t="s">
        <v>31</v>
      </c>
      <c r="R1529">
        <v>10000</v>
      </c>
      <c r="S1529">
        <v>85</v>
      </c>
      <c r="T1529">
        <v>0</v>
      </c>
      <c r="U1529">
        <v>0</v>
      </c>
      <c r="V1529">
        <v>1</v>
      </c>
      <c r="W1529" t="s">
        <v>55</v>
      </c>
      <c r="X1529">
        <v>1</v>
      </c>
      <c r="Y1529" t="str">
        <f t="shared" si="23"/>
        <v>High</v>
      </c>
    </row>
    <row r="1530" spans="1:25">
      <c r="A1530" t="s">
        <v>1643</v>
      </c>
      <c r="B1530" s="1">
        <v>44943</v>
      </c>
      <c r="C1530" s="2">
        <v>0.125</v>
      </c>
      <c r="D1530" t="s">
        <v>74</v>
      </c>
      <c r="E1530" t="s">
        <v>89</v>
      </c>
      <c r="F1530" t="s">
        <v>168</v>
      </c>
      <c r="G1530" t="s">
        <v>75</v>
      </c>
      <c r="H1530" s="2">
        <v>0.12638888888888888</v>
      </c>
      <c r="I1530" s="2">
        <v>0.15694444444444444</v>
      </c>
      <c r="J1530">
        <v>0</v>
      </c>
      <c r="K1530">
        <v>22</v>
      </c>
      <c r="L1530" t="s">
        <v>77</v>
      </c>
      <c r="M1530">
        <v>30.9</v>
      </c>
      <c r="N1530">
        <v>59</v>
      </c>
      <c r="O1530">
        <v>26</v>
      </c>
      <c r="P1530">
        <v>12.8</v>
      </c>
      <c r="Q1530" t="s">
        <v>63</v>
      </c>
      <c r="R1530">
        <v>0</v>
      </c>
      <c r="S1530">
        <v>33</v>
      </c>
      <c r="T1530">
        <v>0</v>
      </c>
      <c r="U1530">
        <v>0</v>
      </c>
      <c r="V1530">
        <v>1</v>
      </c>
      <c r="W1530" t="s">
        <v>39</v>
      </c>
      <c r="X1530">
        <v>1</v>
      </c>
      <c r="Y1530" t="str">
        <f t="shared" si="23"/>
        <v>Low</v>
      </c>
    </row>
    <row r="1531" spans="1:25">
      <c r="A1531" t="s">
        <v>1644</v>
      </c>
      <c r="B1531" s="1">
        <v>44943</v>
      </c>
      <c r="C1531" s="2">
        <v>0.13541666666666666</v>
      </c>
      <c r="D1531" t="s">
        <v>34</v>
      </c>
      <c r="E1531" t="s">
        <v>111</v>
      </c>
      <c r="F1531" t="s">
        <v>69</v>
      </c>
      <c r="G1531" t="s">
        <v>62</v>
      </c>
      <c r="H1531" s="2">
        <v>0.13750000000000001</v>
      </c>
      <c r="I1531" s="2">
        <v>0.15416666666666667</v>
      </c>
      <c r="J1531">
        <v>7</v>
      </c>
      <c r="K1531">
        <v>16</v>
      </c>
      <c r="L1531" t="s">
        <v>84</v>
      </c>
      <c r="M1531">
        <v>7.5</v>
      </c>
      <c r="N1531">
        <v>96</v>
      </c>
      <c r="O1531">
        <v>7</v>
      </c>
      <c r="P1531">
        <v>13.4</v>
      </c>
      <c r="Q1531" t="s">
        <v>31</v>
      </c>
      <c r="R1531">
        <v>2000</v>
      </c>
      <c r="S1531">
        <v>88</v>
      </c>
      <c r="T1531">
        <v>0</v>
      </c>
      <c r="U1531">
        <v>1</v>
      </c>
      <c r="V1531">
        <v>1</v>
      </c>
      <c r="W1531" t="s">
        <v>55</v>
      </c>
      <c r="X1531">
        <v>1</v>
      </c>
      <c r="Y1531" t="str">
        <f t="shared" si="23"/>
        <v>High</v>
      </c>
    </row>
    <row r="1532" spans="1:25">
      <c r="A1532" t="s">
        <v>1645</v>
      </c>
      <c r="B1532" s="1">
        <v>44943</v>
      </c>
      <c r="C1532" s="2">
        <v>0.14583333333333334</v>
      </c>
      <c r="D1532" t="s">
        <v>74</v>
      </c>
      <c r="E1532" t="s">
        <v>89</v>
      </c>
      <c r="F1532" t="s">
        <v>36</v>
      </c>
      <c r="G1532" t="s">
        <v>49</v>
      </c>
      <c r="H1532" s="2">
        <v>0.14652777777777778</v>
      </c>
      <c r="I1532" s="2">
        <v>0.18124999999999999</v>
      </c>
      <c r="J1532">
        <v>6</v>
      </c>
      <c r="K1532">
        <v>14</v>
      </c>
      <c r="L1532" t="s">
        <v>84</v>
      </c>
      <c r="M1532">
        <v>18.5</v>
      </c>
      <c r="N1532">
        <v>80</v>
      </c>
      <c r="O1532">
        <v>2</v>
      </c>
      <c r="P1532">
        <v>20</v>
      </c>
      <c r="Q1532" t="s">
        <v>31</v>
      </c>
      <c r="R1532">
        <v>50000</v>
      </c>
      <c r="S1532">
        <v>99</v>
      </c>
      <c r="T1532">
        <v>0</v>
      </c>
      <c r="U1532">
        <v>1</v>
      </c>
      <c r="V1532">
        <v>1</v>
      </c>
      <c r="W1532" t="s">
        <v>32</v>
      </c>
      <c r="X1532">
        <v>1</v>
      </c>
      <c r="Y1532" t="str">
        <f t="shared" si="23"/>
        <v>High</v>
      </c>
    </row>
    <row r="1533" spans="1:25">
      <c r="A1533" t="s">
        <v>1646</v>
      </c>
      <c r="B1533" s="1">
        <v>44943</v>
      </c>
      <c r="C1533" s="2">
        <v>0.15625</v>
      </c>
      <c r="D1533" t="s">
        <v>74</v>
      </c>
      <c r="E1533" t="s">
        <v>157</v>
      </c>
      <c r="F1533" t="s">
        <v>70</v>
      </c>
      <c r="G1533" t="s">
        <v>144</v>
      </c>
      <c r="H1533" s="2">
        <v>0.15902777777777777</v>
      </c>
      <c r="I1533" s="2">
        <v>0.18333333333333332</v>
      </c>
      <c r="J1533">
        <v>10</v>
      </c>
      <c r="K1533">
        <v>11</v>
      </c>
      <c r="L1533" t="s">
        <v>54</v>
      </c>
      <c r="M1533">
        <v>22.2</v>
      </c>
      <c r="N1533">
        <v>89</v>
      </c>
      <c r="O1533">
        <v>39</v>
      </c>
      <c r="P1533">
        <v>2.8</v>
      </c>
      <c r="Q1533" t="s">
        <v>71</v>
      </c>
      <c r="R1533">
        <v>10000</v>
      </c>
      <c r="S1533">
        <v>76</v>
      </c>
      <c r="T1533">
        <v>0</v>
      </c>
      <c r="U1533">
        <v>1</v>
      </c>
      <c r="V1533">
        <v>1</v>
      </c>
      <c r="W1533" t="s">
        <v>55</v>
      </c>
      <c r="X1533">
        <v>1</v>
      </c>
      <c r="Y1533" t="str">
        <f t="shared" si="23"/>
        <v>High</v>
      </c>
    </row>
    <row r="1534" spans="1:25">
      <c r="A1534" t="s">
        <v>1647</v>
      </c>
      <c r="B1534" s="1">
        <v>44943</v>
      </c>
      <c r="C1534" s="2">
        <v>0.16666666666666666</v>
      </c>
      <c r="D1534" t="s">
        <v>74</v>
      </c>
      <c r="E1534" t="s">
        <v>157</v>
      </c>
      <c r="F1534" t="s">
        <v>29</v>
      </c>
      <c r="G1534" t="s">
        <v>96</v>
      </c>
      <c r="H1534" s="2">
        <v>0.16666666666666666</v>
      </c>
      <c r="I1534" s="2">
        <v>0.18680555555555556</v>
      </c>
      <c r="J1534">
        <v>13</v>
      </c>
      <c r="K1534">
        <v>18</v>
      </c>
      <c r="L1534" t="s">
        <v>84</v>
      </c>
      <c r="M1534">
        <v>0.6</v>
      </c>
      <c r="N1534">
        <v>32</v>
      </c>
      <c r="O1534">
        <v>46</v>
      </c>
      <c r="P1534">
        <v>3.8</v>
      </c>
      <c r="Q1534" t="s">
        <v>101</v>
      </c>
      <c r="R1534">
        <v>50000</v>
      </c>
      <c r="S1534">
        <v>92</v>
      </c>
      <c r="T1534">
        <v>0</v>
      </c>
      <c r="U1534">
        <v>1</v>
      </c>
      <c r="V1534">
        <v>1</v>
      </c>
      <c r="W1534" t="s">
        <v>72</v>
      </c>
      <c r="X1534">
        <v>1</v>
      </c>
      <c r="Y1534" t="str">
        <f t="shared" si="23"/>
        <v>High</v>
      </c>
    </row>
    <row r="1535" spans="1:25">
      <c r="A1535" t="s">
        <v>1648</v>
      </c>
      <c r="B1535" s="1">
        <v>44943</v>
      </c>
      <c r="C1535" s="2">
        <v>0.17708333333333334</v>
      </c>
      <c r="D1535" t="s">
        <v>41</v>
      </c>
      <c r="E1535" t="s">
        <v>52</v>
      </c>
      <c r="F1535" t="s">
        <v>113</v>
      </c>
      <c r="G1535" t="s">
        <v>76</v>
      </c>
      <c r="H1535" s="2">
        <v>0.17847222222222223</v>
      </c>
      <c r="I1535" s="2">
        <v>0.19930555555555557</v>
      </c>
      <c r="J1535">
        <v>0</v>
      </c>
      <c r="K1535">
        <v>18</v>
      </c>
      <c r="L1535" t="s">
        <v>77</v>
      </c>
      <c r="M1535">
        <v>12.8</v>
      </c>
      <c r="N1535">
        <v>34</v>
      </c>
      <c r="O1535">
        <v>20</v>
      </c>
      <c r="P1535">
        <v>3.1</v>
      </c>
      <c r="Q1535" t="s">
        <v>59</v>
      </c>
      <c r="R1535">
        <v>2000</v>
      </c>
      <c r="S1535">
        <v>72</v>
      </c>
      <c r="T1535">
        <v>0</v>
      </c>
      <c r="U1535">
        <v>0</v>
      </c>
      <c r="V1535">
        <v>1</v>
      </c>
      <c r="W1535" t="s">
        <v>55</v>
      </c>
      <c r="X1535">
        <v>1</v>
      </c>
      <c r="Y1535" t="str">
        <f t="shared" si="23"/>
        <v>High</v>
      </c>
    </row>
    <row r="1536" spans="1:25">
      <c r="A1536" t="s">
        <v>1649</v>
      </c>
      <c r="B1536" s="1">
        <v>44943</v>
      </c>
      <c r="C1536" s="2">
        <v>0.1875</v>
      </c>
      <c r="D1536" t="s">
        <v>26</v>
      </c>
      <c r="E1536" t="s">
        <v>141</v>
      </c>
      <c r="F1536" t="s">
        <v>128</v>
      </c>
      <c r="G1536" t="s">
        <v>148</v>
      </c>
      <c r="H1536" s="2">
        <v>0.19027777777777777</v>
      </c>
      <c r="I1536" s="2">
        <v>0.22083333333333333</v>
      </c>
      <c r="J1536">
        <v>19</v>
      </c>
      <c r="K1536">
        <v>17</v>
      </c>
      <c r="L1536" t="s">
        <v>54</v>
      </c>
      <c r="M1536">
        <v>8</v>
      </c>
      <c r="N1536">
        <v>57</v>
      </c>
      <c r="O1536">
        <v>0</v>
      </c>
      <c r="P1536">
        <v>11.8</v>
      </c>
      <c r="Q1536" t="s">
        <v>31</v>
      </c>
      <c r="R1536">
        <v>50000</v>
      </c>
      <c r="S1536">
        <v>14</v>
      </c>
      <c r="T1536">
        <v>0</v>
      </c>
      <c r="U1536">
        <v>0</v>
      </c>
      <c r="V1536">
        <v>1</v>
      </c>
      <c r="W1536" t="s">
        <v>72</v>
      </c>
      <c r="X1536">
        <v>1</v>
      </c>
      <c r="Y1536" t="str">
        <f t="shared" si="23"/>
        <v>Low</v>
      </c>
    </row>
    <row r="1537" spans="1:25">
      <c r="A1537" t="s">
        <v>1650</v>
      </c>
      <c r="B1537" s="1">
        <v>44943</v>
      </c>
      <c r="C1537" s="2">
        <v>0.19791666666666666</v>
      </c>
      <c r="D1537" t="s">
        <v>74</v>
      </c>
      <c r="E1537" t="s">
        <v>89</v>
      </c>
      <c r="F1537" t="s">
        <v>49</v>
      </c>
      <c r="G1537" t="s">
        <v>70</v>
      </c>
      <c r="H1537" s="2">
        <v>0.1986111111111111</v>
      </c>
      <c r="I1537" s="2">
        <v>0.23541666666666666</v>
      </c>
      <c r="J1537">
        <v>12</v>
      </c>
      <c r="K1537">
        <v>-2</v>
      </c>
      <c r="L1537" t="s">
        <v>77</v>
      </c>
      <c r="M1537">
        <v>-2.7</v>
      </c>
      <c r="N1537">
        <v>40</v>
      </c>
      <c r="O1537">
        <v>44</v>
      </c>
      <c r="P1537">
        <v>2.7</v>
      </c>
      <c r="Q1537" t="s">
        <v>31</v>
      </c>
      <c r="R1537">
        <v>0</v>
      </c>
      <c r="S1537">
        <v>94</v>
      </c>
      <c r="T1537">
        <v>0</v>
      </c>
      <c r="U1537">
        <v>0</v>
      </c>
      <c r="V1537">
        <v>1</v>
      </c>
      <c r="W1537" t="s">
        <v>55</v>
      </c>
      <c r="X1537">
        <v>0</v>
      </c>
      <c r="Y1537" t="str">
        <f t="shared" si="23"/>
        <v>High</v>
      </c>
    </row>
    <row r="1538" spans="1:25">
      <c r="A1538" t="s">
        <v>1651</v>
      </c>
      <c r="B1538" s="1">
        <v>44943</v>
      </c>
      <c r="C1538" s="2">
        <v>0.20833333333333334</v>
      </c>
      <c r="D1538" t="s">
        <v>41</v>
      </c>
      <c r="E1538" t="s">
        <v>111</v>
      </c>
      <c r="F1538" t="s">
        <v>142</v>
      </c>
      <c r="G1538" t="s">
        <v>87</v>
      </c>
      <c r="H1538" s="2">
        <v>0.21041666666666667</v>
      </c>
      <c r="I1538" s="2">
        <v>0.22708333333333333</v>
      </c>
      <c r="J1538">
        <v>14</v>
      </c>
      <c r="K1538">
        <v>14</v>
      </c>
      <c r="L1538" t="s">
        <v>84</v>
      </c>
      <c r="M1538">
        <v>28.3</v>
      </c>
      <c r="N1538">
        <v>44</v>
      </c>
      <c r="O1538">
        <v>53</v>
      </c>
      <c r="P1538">
        <v>13.1</v>
      </c>
      <c r="Q1538" t="s">
        <v>63</v>
      </c>
      <c r="R1538">
        <v>2000</v>
      </c>
      <c r="S1538">
        <v>43</v>
      </c>
      <c r="T1538">
        <v>0</v>
      </c>
      <c r="U1538">
        <v>0</v>
      </c>
      <c r="V1538">
        <v>1</v>
      </c>
      <c r="W1538" t="s">
        <v>72</v>
      </c>
      <c r="X1538">
        <v>1</v>
      </c>
      <c r="Y1538" t="str">
        <f t="shared" ref="Y1538:Y1601" si="24">IF(S1538&lt;=33,"Low",IF(S1538&lt;=66,"Medium","High"))</f>
        <v>Medium</v>
      </c>
    </row>
    <row r="1539" spans="1:25">
      <c r="A1539" t="s">
        <v>1652</v>
      </c>
      <c r="B1539" s="1">
        <v>44943</v>
      </c>
      <c r="C1539" s="2">
        <v>0.21875</v>
      </c>
      <c r="D1539" t="s">
        <v>74</v>
      </c>
      <c r="E1539" t="s">
        <v>89</v>
      </c>
      <c r="F1539" t="s">
        <v>28</v>
      </c>
      <c r="G1539" t="s">
        <v>100</v>
      </c>
      <c r="H1539" s="2">
        <v>0.21875</v>
      </c>
      <c r="I1539" s="2">
        <v>0.25208333333333333</v>
      </c>
      <c r="J1539">
        <v>11</v>
      </c>
      <c r="K1539">
        <v>19</v>
      </c>
      <c r="L1539" t="s">
        <v>54</v>
      </c>
      <c r="M1539">
        <v>-3.2</v>
      </c>
      <c r="N1539">
        <v>77</v>
      </c>
      <c r="O1539">
        <v>49</v>
      </c>
      <c r="P1539">
        <v>16.100000000000001</v>
      </c>
      <c r="Q1539" t="s">
        <v>46</v>
      </c>
      <c r="R1539">
        <v>2000</v>
      </c>
      <c r="S1539">
        <v>90</v>
      </c>
      <c r="T1539">
        <v>0</v>
      </c>
      <c r="U1539">
        <v>0</v>
      </c>
      <c r="V1539">
        <v>1</v>
      </c>
      <c r="W1539" t="s">
        <v>55</v>
      </c>
      <c r="X1539">
        <v>1</v>
      </c>
      <c r="Y1539" t="str">
        <f t="shared" si="24"/>
        <v>High</v>
      </c>
    </row>
    <row r="1540" spans="1:25">
      <c r="A1540" t="s">
        <v>1653</v>
      </c>
      <c r="B1540" s="1">
        <v>44943</v>
      </c>
      <c r="C1540" s="2">
        <v>0.22916666666666666</v>
      </c>
      <c r="D1540" t="s">
        <v>74</v>
      </c>
      <c r="E1540" t="s">
        <v>42</v>
      </c>
      <c r="F1540" t="s">
        <v>107</v>
      </c>
      <c r="G1540" t="s">
        <v>65</v>
      </c>
      <c r="H1540" s="2">
        <v>0.23055555555555557</v>
      </c>
      <c r="I1540" s="2">
        <v>0.2638888888888889</v>
      </c>
      <c r="J1540">
        <v>4</v>
      </c>
      <c r="K1540">
        <v>9</v>
      </c>
      <c r="L1540" t="s">
        <v>77</v>
      </c>
      <c r="M1540">
        <v>21.1</v>
      </c>
      <c r="N1540">
        <v>75</v>
      </c>
      <c r="O1540">
        <v>14</v>
      </c>
      <c r="P1540">
        <v>8.6999999999999993</v>
      </c>
      <c r="Q1540" t="s">
        <v>71</v>
      </c>
      <c r="R1540">
        <v>0</v>
      </c>
      <c r="S1540">
        <v>94</v>
      </c>
      <c r="T1540">
        <v>0</v>
      </c>
      <c r="U1540">
        <v>1</v>
      </c>
      <c r="V1540">
        <v>1</v>
      </c>
      <c r="W1540" t="s">
        <v>39</v>
      </c>
      <c r="X1540">
        <v>1</v>
      </c>
      <c r="Y1540" t="str">
        <f t="shared" si="24"/>
        <v>High</v>
      </c>
    </row>
    <row r="1541" spans="1:25">
      <c r="A1541" t="s">
        <v>1654</v>
      </c>
      <c r="B1541" s="1">
        <v>44943</v>
      </c>
      <c r="C1541" s="2">
        <v>0.23958333333333334</v>
      </c>
      <c r="D1541" t="s">
        <v>41</v>
      </c>
      <c r="E1541" t="s">
        <v>57</v>
      </c>
      <c r="F1541" t="s">
        <v>185</v>
      </c>
      <c r="G1541" t="s">
        <v>90</v>
      </c>
      <c r="H1541" s="2">
        <v>0.24236111111111111</v>
      </c>
      <c r="I1541" s="2">
        <v>0.27361111111111114</v>
      </c>
      <c r="J1541">
        <v>17</v>
      </c>
      <c r="K1541">
        <v>5</v>
      </c>
      <c r="L1541" t="s">
        <v>30</v>
      </c>
      <c r="M1541">
        <v>7.6</v>
      </c>
      <c r="N1541">
        <v>57</v>
      </c>
      <c r="O1541">
        <v>6</v>
      </c>
      <c r="P1541">
        <v>11.2</v>
      </c>
      <c r="Q1541" t="s">
        <v>46</v>
      </c>
      <c r="R1541">
        <v>0</v>
      </c>
      <c r="S1541">
        <v>9</v>
      </c>
      <c r="T1541">
        <v>0</v>
      </c>
      <c r="U1541">
        <v>0</v>
      </c>
      <c r="V1541">
        <v>1</v>
      </c>
      <c r="W1541" t="s">
        <v>55</v>
      </c>
      <c r="X1541">
        <v>0</v>
      </c>
      <c r="Y1541" t="str">
        <f t="shared" si="24"/>
        <v>Low</v>
      </c>
    </row>
    <row r="1542" spans="1:25">
      <c r="A1542" t="s">
        <v>1655</v>
      </c>
      <c r="B1542" s="1">
        <v>44943</v>
      </c>
      <c r="C1542" s="2">
        <v>0.25</v>
      </c>
      <c r="D1542" t="s">
        <v>26</v>
      </c>
      <c r="E1542" t="s">
        <v>42</v>
      </c>
      <c r="F1542" t="s">
        <v>86</v>
      </c>
      <c r="G1542" t="s">
        <v>168</v>
      </c>
      <c r="H1542" s="2">
        <v>0.25277777777777777</v>
      </c>
      <c r="I1542" s="2">
        <v>0.27847222222222223</v>
      </c>
      <c r="J1542">
        <v>13</v>
      </c>
      <c r="K1542">
        <v>3</v>
      </c>
      <c r="L1542" t="s">
        <v>30</v>
      </c>
      <c r="M1542">
        <v>2.7</v>
      </c>
      <c r="N1542">
        <v>36</v>
      </c>
      <c r="O1542">
        <v>14</v>
      </c>
      <c r="P1542">
        <v>18.3</v>
      </c>
      <c r="Q1542" t="s">
        <v>31</v>
      </c>
      <c r="R1542">
        <v>500</v>
      </c>
      <c r="S1542">
        <v>36</v>
      </c>
      <c r="T1542">
        <v>0</v>
      </c>
      <c r="U1542">
        <v>1</v>
      </c>
      <c r="V1542">
        <v>1</v>
      </c>
      <c r="W1542" t="s">
        <v>32</v>
      </c>
      <c r="X1542">
        <v>0</v>
      </c>
      <c r="Y1542" t="str">
        <f t="shared" si="24"/>
        <v>Medium</v>
      </c>
    </row>
    <row r="1543" spans="1:25">
      <c r="A1543" t="s">
        <v>1656</v>
      </c>
      <c r="B1543" s="1">
        <v>44943</v>
      </c>
      <c r="C1543" s="2">
        <v>0.26041666666666669</v>
      </c>
      <c r="D1543" t="s">
        <v>26</v>
      </c>
      <c r="E1543" t="s">
        <v>35</v>
      </c>
      <c r="F1543" t="s">
        <v>148</v>
      </c>
      <c r="G1543" t="s">
        <v>80</v>
      </c>
      <c r="H1543" s="2">
        <v>0.26041666666666669</v>
      </c>
      <c r="I1543" s="2">
        <v>0.28819444444444442</v>
      </c>
      <c r="J1543">
        <v>18</v>
      </c>
      <c r="K1543">
        <v>-3</v>
      </c>
      <c r="L1543" t="s">
        <v>77</v>
      </c>
      <c r="M1543">
        <v>21.7</v>
      </c>
      <c r="N1543">
        <v>35</v>
      </c>
      <c r="O1543">
        <v>24</v>
      </c>
      <c r="P1543">
        <v>11.4</v>
      </c>
      <c r="Q1543" t="s">
        <v>46</v>
      </c>
      <c r="R1543">
        <v>0</v>
      </c>
      <c r="S1543">
        <v>6</v>
      </c>
      <c r="T1543">
        <v>0</v>
      </c>
      <c r="U1543">
        <v>0</v>
      </c>
      <c r="V1543">
        <v>1</v>
      </c>
      <c r="W1543" t="s">
        <v>32</v>
      </c>
      <c r="X1543">
        <v>0</v>
      </c>
      <c r="Y1543" t="str">
        <f t="shared" si="24"/>
        <v>Low</v>
      </c>
    </row>
    <row r="1544" spans="1:25">
      <c r="A1544" t="s">
        <v>1657</v>
      </c>
      <c r="B1544" s="1">
        <v>44943</v>
      </c>
      <c r="C1544" s="2">
        <v>0.27083333333333331</v>
      </c>
      <c r="D1544" t="s">
        <v>34</v>
      </c>
      <c r="E1544" t="s">
        <v>130</v>
      </c>
      <c r="F1544" t="s">
        <v>128</v>
      </c>
      <c r="G1544" t="s">
        <v>58</v>
      </c>
      <c r="H1544" s="2">
        <v>0.27291666666666664</v>
      </c>
      <c r="I1544" s="2">
        <v>0.29236111111111113</v>
      </c>
      <c r="J1544">
        <v>5</v>
      </c>
      <c r="K1544">
        <v>-2</v>
      </c>
      <c r="L1544" t="s">
        <v>77</v>
      </c>
      <c r="M1544">
        <v>18</v>
      </c>
      <c r="N1544">
        <v>87</v>
      </c>
      <c r="O1544">
        <v>2</v>
      </c>
      <c r="P1544">
        <v>4.2</v>
      </c>
      <c r="Q1544" t="s">
        <v>31</v>
      </c>
      <c r="R1544">
        <v>0</v>
      </c>
      <c r="S1544">
        <v>31</v>
      </c>
      <c r="T1544">
        <v>0</v>
      </c>
      <c r="U1544">
        <v>0</v>
      </c>
      <c r="V1544">
        <v>1</v>
      </c>
      <c r="W1544" t="s">
        <v>72</v>
      </c>
      <c r="X1544">
        <v>0</v>
      </c>
      <c r="Y1544" t="str">
        <f t="shared" si="24"/>
        <v>Low</v>
      </c>
    </row>
    <row r="1545" spans="1:25">
      <c r="A1545" t="s">
        <v>1658</v>
      </c>
      <c r="B1545" s="1">
        <v>44943</v>
      </c>
      <c r="C1545" s="2">
        <v>0.28125</v>
      </c>
      <c r="D1545" t="s">
        <v>41</v>
      </c>
      <c r="E1545" t="s">
        <v>147</v>
      </c>
      <c r="F1545" t="s">
        <v>37</v>
      </c>
      <c r="G1545" t="s">
        <v>176</v>
      </c>
      <c r="H1545" s="2">
        <v>0.28194444444444444</v>
      </c>
      <c r="I1545" s="2">
        <v>0.30208333333333331</v>
      </c>
      <c r="J1545">
        <v>1</v>
      </c>
      <c r="K1545">
        <v>0</v>
      </c>
      <c r="L1545" t="s">
        <v>45</v>
      </c>
      <c r="M1545">
        <v>7.6</v>
      </c>
      <c r="N1545">
        <v>97</v>
      </c>
      <c r="O1545">
        <v>29</v>
      </c>
      <c r="P1545">
        <v>6.9</v>
      </c>
      <c r="Q1545" t="s">
        <v>31</v>
      </c>
      <c r="R1545">
        <v>0</v>
      </c>
      <c r="S1545">
        <v>10</v>
      </c>
      <c r="T1545">
        <v>0</v>
      </c>
      <c r="U1545">
        <v>0</v>
      </c>
      <c r="V1545">
        <v>1</v>
      </c>
      <c r="W1545" t="s">
        <v>32</v>
      </c>
      <c r="X1545">
        <v>0</v>
      </c>
      <c r="Y1545" t="str">
        <f t="shared" si="24"/>
        <v>Low</v>
      </c>
    </row>
    <row r="1546" spans="1:25">
      <c r="A1546" t="s">
        <v>1659</v>
      </c>
      <c r="B1546" s="1">
        <v>44943</v>
      </c>
      <c r="C1546" s="2">
        <v>0.29166666666666669</v>
      </c>
      <c r="D1546" t="s">
        <v>34</v>
      </c>
      <c r="E1546" t="s">
        <v>111</v>
      </c>
      <c r="F1546" t="s">
        <v>65</v>
      </c>
      <c r="G1546" t="s">
        <v>144</v>
      </c>
      <c r="H1546" s="2">
        <v>0.29375000000000001</v>
      </c>
      <c r="I1546" s="2">
        <v>0.30625000000000002</v>
      </c>
      <c r="J1546">
        <v>17</v>
      </c>
      <c r="K1546">
        <v>10</v>
      </c>
      <c r="L1546" t="s">
        <v>45</v>
      </c>
      <c r="M1546">
        <v>15.5</v>
      </c>
      <c r="N1546">
        <v>84</v>
      </c>
      <c r="O1546">
        <v>57</v>
      </c>
      <c r="P1546">
        <v>10.6</v>
      </c>
      <c r="Q1546" t="s">
        <v>101</v>
      </c>
      <c r="R1546">
        <v>50000</v>
      </c>
      <c r="S1546">
        <v>47</v>
      </c>
      <c r="T1546">
        <v>0</v>
      </c>
      <c r="U1546">
        <v>0</v>
      </c>
      <c r="V1546">
        <v>1</v>
      </c>
      <c r="W1546" t="s">
        <v>72</v>
      </c>
      <c r="X1546">
        <v>1</v>
      </c>
      <c r="Y1546" t="str">
        <f t="shared" si="24"/>
        <v>Medium</v>
      </c>
    </row>
    <row r="1547" spans="1:25">
      <c r="A1547" t="s">
        <v>1660</v>
      </c>
      <c r="B1547" s="1">
        <v>44943</v>
      </c>
      <c r="C1547" s="2">
        <v>0.30208333333333331</v>
      </c>
      <c r="D1547" t="s">
        <v>34</v>
      </c>
      <c r="E1547" t="s">
        <v>79</v>
      </c>
      <c r="F1547" t="s">
        <v>65</v>
      </c>
      <c r="G1547" t="s">
        <v>69</v>
      </c>
      <c r="H1547" s="2">
        <v>0.30416666666666664</v>
      </c>
      <c r="I1547" s="2">
        <v>0.31666666666666665</v>
      </c>
      <c r="J1547">
        <v>12</v>
      </c>
      <c r="K1547">
        <v>28</v>
      </c>
      <c r="L1547" t="s">
        <v>38</v>
      </c>
      <c r="M1547">
        <v>4.8</v>
      </c>
      <c r="N1547">
        <v>96</v>
      </c>
      <c r="O1547">
        <v>13</v>
      </c>
      <c r="P1547">
        <v>3.1</v>
      </c>
      <c r="Q1547" t="s">
        <v>31</v>
      </c>
      <c r="R1547">
        <v>0</v>
      </c>
      <c r="S1547">
        <v>91</v>
      </c>
      <c r="T1547">
        <v>0</v>
      </c>
      <c r="U1547">
        <v>0</v>
      </c>
      <c r="V1547">
        <v>1</v>
      </c>
      <c r="W1547" t="s">
        <v>39</v>
      </c>
      <c r="X1547">
        <v>1</v>
      </c>
      <c r="Y1547" t="str">
        <f t="shared" si="24"/>
        <v>High</v>
      </c>
    </row>
    <row r="1548" spans="1:25">
      <c r="A1548" t="s">
        <v>1661</v>
      </c>
      <c r="B1548" s="1">
        <v>44943</v>
      </c>
      <c r="C1548" s="2">
        <v>0.3125</v>
      </c>
      <c r="D1548" t="s">
        <v>34</v>
      </c>
      <c r="E1548" t="s">
        <v>61</v>
      </c>
      <c r="F1548" t="s">
        <v>105</v>
      </c>
      <c r="G1548" t="s">
        <v>80</v>
      </c>
      <c r="H1548" s="2">
        <v>0.31458333333333333</v>
      </c>
      <c r="I1548" s="2">
        <v>0.34930555555555554</v>
      </c>
      <c r="J1548">
        <v>2</v>
      </c>
      <c r="K1548">
        <v>-2</v>
      </c>
      <c r="L1548" t="s">
        <v>54</v>
      </c>
      <c r="M1548">
        <v>29.5</v>
      </c>
      <c r="N1548">
        <v>78</v>
      </c>
      <c r="O1548">
        <v>51</v>
      </c>
      <c r="P1548">
        <v>12.3</v>
      </c>
      <c r="Q1548" t="s">
        <v>31</v>
      </c>
      <c r="R1548">
        <v>10000</v>
      </c>
      <c r="S1548">
        <v>67</v>
      </c>
      <c r="T1548">
        <v>0</v>
      </c>
      <c r="U1548">
        <v>0</v>
      </c>
      <c r="V1548">
        <v>1</v>
      </c>
      <c r="W1548" t="s">
        <v>32</v>
      </c>
      <c r="X1548">
        <v>0</v>
      </c>
      <c r="Y1548" t="str">
        <f t="shared" si="24"/>
        <v>High</v>
      </c>
    </row>
    <row r="1549" spans="1:25">
      <c r="A1549" t="s">
        <v>1662</v>
      </c>
      <c r="B1549" s="1">
        <v>44943</v>
      </c>
      <c r="C1549" s="2">
        <v>0.32291666666666669</v>
      </c>
      <c r="D1549" t="s">
        <v>26</v>
      </c>
      <c r="E1549" t="s">
        <v>42</v>
      </c>
      <c r="F1549" t="s">
        <v>163</v>
      </c>
      <c r="G1549" t="s">
        <v>70</v>
      </c>
      <c r="H1549" s="2">
        <v>0.32291666666666669</v>
      </c>
      <c r="I1549" s="2">
        <v>0.33819444444444446</v>
      </c>
      <c r="J1549">
        <v>10</v>
      </c>
      <c r="K1549">
        <v>10</v>
      </c>
      <c r="L1549" t="s">
        <v>38</v>
      </c>
      <c r="M1549">
        <v>7.6</v>
      </c>
      <c r="N1549">
        <v>80</v>
      </c>
      <c r="O1549">
        <v>3</v>
      </c>
      <c r="P1549">
        <v>20</v>
      </c>
      <c r="Q1549" t="s">
        <v>31</v>
      </c>
      <c r="R1549">
        <v>0</v>
      </c>
      <c r="S1549">
        <v>47</v>
      </c>
      <c r="T1549">
        <v>0</v>
      </c>
      <c r="U1549">
        <v>0</v>
      </c>
      <c r="V1549">
        <v>1</v>
      </c>
      <c r="W1549" t="s">
        <v>32</v>
      </c>
      <c r="X1549">
        <v>1</v>
      </c>
      <c r="Y1549" t="str">
        <f t="shared" si="24"/>
        <v>Medium</v>
      </c>
    </row>
    <row r="1550" spans="1:25">
      <c r="A1550" t="s">
        <v>1663</v>
      </c>
      <c r="B1550" s="1">
        <v>44943</v>
      </c>
      <c r="C1550" s="2">
        <v>0.33333333333333331</v>
      </c>
      <c r="D1550" t="s">
        <v>41</v>
      </c>
      <c r="E1550" t="s">
        <v>126</v>
      </c>
      <c r="F1550" t="s">
        <v>91</v>
      </c>
      <c r="G1550" t="s">
        <v>197</v>
      </c>
      <c r="H1550" s="2">
        <v>0.33333333333333331</v>
      </c>
      <c r="I1550" s="2">
        <v>0.3576388888888889</v>
      </c>
      <c r="J1550">
        <v>3</v>
      </c>
      <c r="K1550">
        <v>16</v>
      </c>
      <c r="L1550" t="s">
        <v>38</v>
      </c>
      <c r="M1550">
        <v>4.8</v>
      </c>
      <c r="N1550">
        <v>88</v>
      </c>
      <c r="O1550">
        <v>35</v>
      </c>
      <c r="P1550">
        <v>13.1</v>
      </c>
      <c r="Q1550" t="s">
        <v>31</v>
      </c>
      <c r="R1550">
        <v>0</v>
      </c>
      <c r="S1550">
        <v>44</v>
      </c>
      <c r="T1550">
        <v>0</v>
      </c>
      <c r="U1550">
        <v>1</v>
      </c>
      <c r="V1550">
        <v>1</v>
      </c>
      <c r="W1550" t="s">
        <v>72</v>
      </c>
      <c r="X1550">
        <v>1</v>
      </c>
      <c r="Y1550" t="str">
        <f t="shared" si="24"/>
        <v>Medium</v>
      </c>
    </row>
    <row r="1551" spans="1:25">
      <c r="A1551" t="s">
        <v>1664</v>
      </c>
      <c r="B1551" s="1">
        <v>44943</v>
      </c>
      <c r="C1551" s="2">
        <v>0.34375</v>
      </c>
      <c r="D1551" t="s">
        <v>34</v>
      </c>
      <c r="E1551" t="s">
        <v>61</v>
      </c>
      <c r="F1551" t="s">
        <v>105</v>
      </c>
      <c r="G1551" t="s">
        <v>37</v>
      </c>
      <c r="H1551" s="2">
        <v>0.34444444444444444</v>
      </c>
      <c r="I1551" s="2">
        <v>0.35972222222222222</v>
      </c>
      <c r="J1551">
        <v>2</v>
      </c>
      <c r="K1551">
        <v>21</v>
      </c>
      <c r="L1551" t="s">
        <v>84</v>
      </c>
      <c r="M1551">
        <v>25.1</v>
      </c>
      <c r="N1551">
        <v>35</v>
      </c>
      <c r="O1551">
        <v>2</v>
      </c>
      <c r="P1551">
        <v>7.4</v>
      </c>
      <c r="Q1551" t="s">
        <v>59</v>
      </c>
      <c r="R1551">
        <v>0</v>
      </c>
      <c r="S1551">
        <v>94</v>
      </c>
      <c r="T1551">
        <v>1</v>
      </c>
      <c r="U1551">
        <v>0</v>
      </c>
      <c r="V1551">
        <v>1</v>
      </c>
      <c r="W1551" t="s">
        <v>39</v>
      </c>
      <c r="X1551">
        <v>1</v>
      </c>
      <c r="Y1551" t="str">
        <f t="shared" si="24"/>
        <v>High</v>
      </c>
    </row>
    <row r="1552" spans="1:25">
      <c r="A1552" t="s">
        <v>1665</v>
      </c>
      <c r="B1552" s="1">
        <v>44943</v>
      </c>
      <c r="C1552" s="2">
        <v>0.35416666666666669</v>
      </c>
      <c r="D1552" t="s">
        <v>41</v>
      </c>
      <c r="E1552" t="s">
        <v>130</v>
      </c>
      <c r="F1552" t="s">
        <v>91</v>
      </c>
      <c r="G1552" t="s">
        <v>80</v>
      </c>
      <c r="H1552" s="2">
        <v>0.35625000000000001</v>
      </c>
      <c r="I1552" s="2">
        <v>0.38333333333333336</v>
      </c>
      <c r="J1552">
        <v>14</v>
      </c>
      <c r="K1552">
        <v>4</v>
      </c>
      <c r="L1552" t="s">
        <v>30</v>
      </c>
      <c r="M1552">
        <v>-4.3</v>
      </c>
      <c r="N1552">
        <v>80</v>
      </c>
      <c r="O1552">
        <v>4</v>
      </c>
      <c r="P1552">
        <v>6.6</v>
      </c>
      <c r="Q1552" t="s">
        <v>71</v>
      </c>
      <c r="R1552">
        <v>500</v>
      </c>
      <c r="S1552">
        <v>92</v>
      </c>
      <c r="T1552">
        <v>0</v>
      </c>
      <c r="U1552">
        <v>0</v>
      </c>
      <c r="V1552">
        <v>1</v>
      </c>
      <c r="W1552" t="s">
        <v>39</v>
      </c>
      <c r="X1552">
        <v>0</v>
      </c>
      <c r="Y1552" t="str">
        <f t="shared" si="24"/>
        <v>High</v>
      </c>
    </row>
    <row r="1553" spans="1:25">
      <c r="A1553" t="s">
        <v>1666</v>
      </c>
      <c r="B1553" s="1">
        <v>44943</v>
      </c>
      <c r="C1553" s="2">
        <v>0.36458333333333331</v>
      </c>
      <c r="D1553" t="s">
        <v>41</v>
      </c>
      <c r="E1553" t="s">
        <v>35</v>
      </c>
      <c r="F1553" t="s">
        <v>168</v>
      </c>
      <c r="G1553" t="s">
        <v>66</v>
      </c>
      <c r="H1553" s="2">
        <v>0.36458333333333331</v>
      </c>
      <c r="I1553" s="2">
        <v>0.39166666666666666</v>
      </c>
      <c r="J1553">
        <v>4</v>
      </c>
      <c r="K1553">
        <v>24</v>
      </c>
      <c r="L1553" t="s">
        <v>84</v>
      </c>
      <c r="M1553">
        <v>5.7</v>
      </c>
      <c r="N1553">
        <v>67</v>
      </c>
      <c r="O1553">
        <v>24</v>
      </c>
      <c r="P1553">
        <v>18.600000000000001</v>
      </c>
      <c r="Q1553" t="s">
        <v>31</v>
      </c>
      <c r="R1553">
        <v>10000</v>
      </c>
      <c r="S1553">
        <v>32</v>
      </c>
      <c r="T1553">
        <v>0</v>
      </c>
      <c r="U1553">
        <v>0</v>
      </c>
      <c r="V1553">
        <v>1</v>
      </c>
      <c r="W1553" t="s">
        <v>55</v>
      </c>
      <c r="X1553">
        <v>1</v>
      </c>
      <c r="Y1553" t="str">
        <f t="shared" si="24"/>
        <v>Low</v>
      </c>
    </row>
    <row r="1554" spans="1:25">
      <c r="A1554" t="s">
        <v>1667</v>
      </c>
      <c r="B1554" s="1">
        <v>44943</v>
      </c>
      <c r="C1554" s="2">
        <v>0.375</v>
      </c>
      <c r="D1554" t="s">
        <v>26</v>
      </c>
      <c r="E1554" t="s">
        <v>161</v>
      </c>
      <c r="F1554" t="s">
        <v>118</v>
      </c>
      <c r="G1554" t="s">
        <v>107</v>
      </c>
      <c r="H1554" s="2">
        <v>0.37569444444444444</v>
      </c>
      <c r="I1554" s="2">
        <v>0.40555555555555556</v>
      </c>
      <c r="J1554">
        <v>3</v>
      </c>
      <c r="K1554">
        <v>17</v>
      </c>
      <c r="L1554" t="s">
        <v>54</v>
      </c>
      <c r="M1554">
        <v>10</v>
      </c>
      <c r="N1554">
        <v>40</v>
      </c>
      <c r="O1554">
        <v>30</v>
      </c>
      <c r="P1554">
        <v>17.399999999999999</v>
      </c>
      <c r="Q1554" t="s">
        <v>31</v>
      </c>
      <c r="R1554">
        <v>2000</v>
      </c>
      <c r="S1554">
        <v>3</v>
      </c>
      <c r="T1554">
        <v>0</v>
      </c>
      <c r="U1554">
        <v>0</v>
      </c>
      <c r="V1554">
        <v>1</v>
      </c>
      <c r="W1554" t="s">
        <v>72</v>
      </c>
      <c r="X1554">
        <v>1</v>
      </c>
      <c r="Y1554" t="str">
        <f t="shared" si="24"/>
        <v>Low</v>
      </c>
    </row>
    <row r="1555" spans="1:25">
      <c r="A1555" t="s">
        <v>1668</v>
      </c>
      <c r="B1555" s="1">
        <v>44943</v>
      </c>
      <c r="C1555" s="2">
        <v>0.38541666666666669</v>
      </c>
      <c r="D1555" t="s">
        <v>34</v>
      </c>
      <c r="E1555" t="s">
        <v>89</v>
      </c>
      <c r="F1555" t="s">
        <v>203</v>
      </c>
      <c r="G1555" t="s">
        <v>69</v>
      </c>
      <c r="H1555" s="2">
        <v>0.38611111111111113</v>
      </c>
      <c r="I1555" s="2">
        <v>0.41944444444444445</v>
      </c>
      <c r="J1555">
        <v>-1</v>
      </c>
      <c r="K1555">
        <v>19</v>
      </c>
      <c r="L1555" t="s">
        <v>77</v>
      </c>
      <c r="M1555">
        <v>30.3</v>
      </c>
      <c r="N1555">
        <v>81</v>
      </c>
      <c r="O1555">
        <v>10</v>
      </c>
      <c r="P1555">
        <v>9.4</v>
      </c>
      <c r="Q1555" t="s">
        <v>31</v>
      </c>
      <c r="R1555">
        <v>2000</v>
      </c>
      <c r="S1555">
        <v>46</v>
      </c>
      <c r="T1555">
        <v>1</v>
      </c>
      <c r="U1555">
        <v>1</v>
      </c>
      <c r="V1555">
        <v>1</v>
      </c>
      <c r="W1555" t="s">
        <v>72</v>
      </c>
      <c r="X1555">
        <v>1</v>
      </c>
      <c r="Y1555" t="str">
        <f t="shared" si="24"/>
        <v>Medium</v>
      </c>
    </row>
    <row r="1556" spans="1:25">
      <c r="A1556" t="s">
        <v>1669</v>
      </c>
      <c r="B1556" s="1">
        <v>44943</v>
      </c>
      <c r="C1556" s="2">
        <v>0.39583333333333331</v>
      </c>
      <c r="D1556" t="s">
        <v>34</v>
      </c>
      <c r="E1556" t="s">
        <v>89</v>
      </c>
      <c r="F1556" t="s">
        <v>62</v>
      </c>
      <c r="G1556" t="s">
        <v>69</v>
      </c>
      <c r="H1556" s="2">
        <v>0.39791666666666664</v>
      </c>
      <c r="I1556" s="2">
        <v>0.42152777777777778</v>
      </c>
      <c r="J1556">
        <v>8</v>
      </c>
      <c r="K1556">
        <v>28</v>
      </c>
      <c r="L1556" t="s">
        <v>45</v>
      </c>
      <c r="M1556">
        <v>33</v>
      </c>
      <c r="N1556">
        <v>49</v>
      </c>
      <c r="O1556">
        <v>7</v>
      </c>
      <c r="P1556">
        <v>7.1</v>
      </c>
      <c r="Q1556" t="s">
        <v>31</v>
      </c>
      <c r="R1556">
        <v>0</v>
      </c>
      <c r="S1556">
        <v>89</v>
      </c>
      <c r="T1556">
        <v>0</v>
      </c>
      <c r="U1556">
        <v>1</v>
      </c>
      <c r="V1556">
        <v>1</v>
      </c>
      <c r="W1556" t="s">
        <v>39</v>
      </c>
      <c r="X1556">
        <v>1</v>
      </c>
      <c r="Y1556" t="str">
        <f t="shared" si="24"/>
        <v>High</v>
      </c>
    </row>
    <row r="1557" spans="1:25">
      <c r="A1557" t="s">
        <v>1670</v>
      </c>
      <c r="B1557" s="1">
        <v>44943</v>
      </c>
      <c r="C1557" s="2">
        <v>0.40625</v>
      </c>
      <c r="D1557" t="s">
        <v>41</v>
      </c>
      <c r="E1557" t="s">
        <v>157</v>
      </c>
      <c r="F1557" t="s">
        <v>37</v>
      </c>
      <c r="G1557" t="s">
        <v>83</v>
      </c>
      <c r="H1557" s="2">
        <v>0.40763888888888888</v>
      </c>
      <c r="I1557" s="2">
        <v>0.42708333333333331</v>
      </c>
      <c r="J1557">
        <v>4</v>
      </c>
      <c r="K1557">
        <v>4</v>
      </c>
      <c r="L1557" t="s">
        <v>54</v>
      </c>
      <c r="M1557">
        <v>23.7</v>
      </c>
      <c r="N1557">
        <v>39</v>
      </c>
      <c r="O1557">
        <v>25</v>
      </c>
      <c r="P1557">
        <v>14.2</v>
      </c>
      <c r="Q1557" t="s">
        <v>46</v>
      </c>
      <c r="R1557">
        <v>2000</v>
      </c>
      <c r="S1557">
        <v>52</v>
      </c>
      <c r="T1557">
        <v>0</v>
      </c>
      <c r="U1557">
        <v>1</v>
      </c>
      <c r="V1557">
        <v>1</v>
      </c>
      <c r="W1557" t="s">
        <v>72</v>
      </c>
      <c r="X1557">
        <v>0</v>
      </c>
      <c r="Y1557" t="str">
        <f t="shared" si="24"/>
        <v>Medium</v>
      </c>
    </row>
    <row r="1558" spans="1:25">
      <c r="A1558" t="s">
        <v>1671</v>
      </c>
      <c r="B1558" s="1">
        <v>44943</v>
      </c>
      <c r="C1558" s="2">
        <v>0.41666666666666669</v>
      </c>
      <c r="D1558" t="s">
        <v>74</v>
      </c>
      <c r="E1558" t="s">
        <v>130</v>
      </c>
      <c r="F1558" t="s">
        <v>65</v>
      </c>
      <c r="G1558" t="s">
        <v>87</v>
      </c>
      <c r="H1558" s="2">
        <v>0.41875000000000001</v>
      </c>
      <c r="I1558" s="2">
        <v>0.45</v>
      </c>
      <c r="J1558">
        <v>19</v>
      </c>
      <c r="K1558">
        <v>27</v>
      </c>
      <c r="L1558" t="s">
        <v>77</v>
      </c>
      <c r="M1558">
        <v>14.7</v>
      </c>
      <c r="N1558">
        <v>55</v>
      </c>
      <c r="O1558">
        <v>1</v>
      </c>
      <c r="P1558">
        <v>6.3</v>
      </c>
      <c r="Q1558" t="s">
        <v>31</v>
      </c>
      <c r="R1558">
        <v>0</v>
      </c>
      <c r="S1558">
        <v>30</v>
      </c>
      <c r="T1558">
        <v>1</v>
      </c>
      <c r="U1558">
        <v>0</v>
      </c>
      <c r="V1558">
        <v>1</v>
      </c>
      <c r="W1558" t="s">
        <v>32</v>
      </c>
      <c r="X1558">
        <v>1</v>
      </c>
      <c r="Y1558" t="str">
        <f t="shared" si="24"/>
        <v>Low</v>
      </c>
    </row>
    <row r="1559" spans="1:25">
      <c r="A1559" t="s">
        <v>1672</v>
      </c>
      <c r="B1559" s="1">
        <v>44943</v>
      </c>
      <c r="C1559" s="2">
        <v>0.42708333333333331</v>
      </c>
      <c r="D1559" t="s">
        <v>26</v>
      </c>
      <c r="E1559" t="s">
        <v>57</v>
      </c>
      <c r="F1559" t="s">
        <v>86</v>
      </c>
      <c r="G1559" t="s">
        <v>163</v>
      </c>
      <c r="H1559" s="2">
        <v>0.4284722222222222</v>
      </c>
      <c r="I1559" s="2">
        <v>0.45208333333333334</v>
      </c>
      <c r="J1559">
        <v>18</v>
      </c>
      <c r="K1559">
        <v>12</v>
      </c>
      <c r="L1559" t="s">
        <v>54</v>
      </c>
      <c r="M1559">
        <v>20.6</v>
      </c>
      <c r="N1559">
        <v>77</v>
      </c>
      <c r="O1559">
        <v>27</v>
      </c>
      <c r="P1559">
        <v>2.4</v>
      </c>
      <c r="Q1559" t="s">
        <v>46</v>
      </c>
      <c r="R1559">
        <v>0</v>
      </c>
      <c r="S1559">
        <v>30</v>
      </c>
      <c r="T1559">
        <v>0</v>
      </c>
      <c r="U1559">
        <v>0</v>
      </c>
      <c r="V1559">
        <v>1</v>
      </c>
      <c r="W1559" t="s">
        <v>32</v>
      </c>
      <c r="X1559">
        <v>1</v>
      </c>
      <c r="Y1559" t="str">
        <f t="shared" si="24"/>
        <v>Low</v>
      </c>
    </row>
    <row r="1560" spans="1:25">
      <c r="A1560" t="s">
        <v>1673</v>
      </c>
      <c r="B1560" s="1">
        <v>44943</v>
      </c>
      <c r="C1560" s="2">
        <v>0.4375</v>
      </c>
      <c r="D1560" t="s">
        <v>26</v>
      </c>
      <c r="E1560" t="s">
        <v>141</v>
      </c>
      <c r="F1560" t="s">
        <v>86</v>
      </c>
      <c r="G1560" t="s">
        <v>58</v>
      </c>
      <c r="H1560" s="2">
        <v>0.43819444444444444</v>
      </c>
      <c r="I1560" s="2">
        <v>0.46875</v>
      </c>
      <c r="J1560">
        <v>5</v>
      </c>
      <c r="K1560">
        <v>23</v>
      </c>
      <c r="L1560" t="s">
        <v>77</v>
      </c>
      <c r="M1560">
        <v>11.6</v>
      </c>
      <c r="N1560">
        <v>43</v>
      </c>
      <c r="O1560">
        <v>47</v>
      </c>
      <c r="P1560">
        <v>6.2</v>
      </c>
      <c r="Q1560" t="s">
        <v>31</v>
      </c>
      <c r="R1560">
        <v>10000</v>
      </c>
      <c r="S1560">
        <v>26</v>
      </c>
      <c r="T1560">
        <v>0</v>
      </c>
      <c r="U1560">
        <v>1</v>
      </c>
      <c r="V1560">
        <v>1</v>
      </c>
      <c r="W1560" t="s">
        <v>32</v>
      </c>
      <c r="X1560">
        <v>1</v>
      </c>
      <c r="Y1560" t="str">
        <f t="shared" si="24"/>
        <v>Low</v>
      </c>
    </row>
    <row r="1561" spans="1:25">
      <c r="A1561" t="s">
        <v>1674</v>
      </c>
      <c r="B1561" s="1">
        <v>44943</v>
      </c>
      <c r="C1561" s="2">
        <v>0.44791666666666669</v>
      </c>
      <c r="D1561" t="s">
        <v>26</v>
      </c>
      <c r="E1561" t="s">
        <v>161</v>
      </c>
      <c r="F1561" t="s">
        <v>29</v>
      </c>
      <c r="G1561" t="s">
        <v>96</v>
      </c>
      <c r="H1561" s="2">
        <v>0.44791666666666669</v>
      </c>
      <c r="I1561" s="2">
        <v>0.47708333333333336</v>
      </c>
      <c r="J1561">
        <v>2</v>
      </c>
      <c r="K1561">
        <v>14</v>
      </c>
      <c r="L1561" t="s">
        <v>45</v>
      </c>
      <c r="M1561">
        <v>7</v>
      </c>
      <c r="N1561">
        <v>88</v>
      </c>
      <c r="O1561">
        <v>56</v>
      </c>
      <c r="P1561">
        <v>8.6999999999999993</v>
      </c>
      <c r="Q1561" t="s">
        <v>31</v>
      </c>
      <c r="R1561">
        <v>10000</v>
      </c>
      <c r="S1561">
        <v>88</v>
      </c>
      <c r="T1561">
        <v>0</v>
      </c>
      <c r="U1561">
        <v>1</v>
      </c>
      <c r="V1561">
        <v>1</v>
      </c>
      <c r="W1561" t="s">
        <v>72</v>
      </c>
      <c r="X1561">
        <v>1</v>
      </c>
      <c r="Y1561" t="str">
        <f t="shared" si="24"/>
        <v>High</v>
      </c>
    </row>
    <row r="1562" spans="1:25">
      <c r="A1562" t="s">
        <v>1675</v>
      </c>
      <c r="B1562" s="1">
        <v>44943</v>
      </c>
      <c r="C1562" s="2">
        <v>0.45833333333333331</v>
      </c>
      <c r="D1562" t="s">
        <v>26</v>
      </c>
      <c r="E1562" t="s">
        <v>52</v>
      </c>
      <c r="F1562" t="s">
        <v>142</v>
      </c>
      <c r="G1562" t="s">
        <v>154</v>
      </c>
      <c r="H1562" s="2">
        <v>0.46111111111111114</v>
      </c>
      <c r="I1562" s="2">
        <v>0.48541666666666666</v>
      </c>
      <c r="J1562">
        <v>15</v>
      </c>
      <c r="K1562">
        <v>11</v>
      </c>
      <c r="L1562" t="s">
        <v>77</v>
      </c>
      <c r="M1562">
        <v>33</v>
      </c>
      <c r="N1562">
        <v>41</v>
      </c>
      <c r="O1562">
        <v>59</v>
      </c>
      <c r="P1562">
        <v>5.0999999999999996</v>
      </c>
      <c r="Q1562" t="s">
        <v>31</v>
      </c>
      <c r="R1562">
        <v>0</v>
      </c>
      <c r="S1562">
        <v>47</v>
      </c>
      <c r="T1562">
        <v>0</v>
      </c>
      <c r="U1562">
        <v>1</v>
      </c>
      <c r="V1562">
        <v>1</v>
      </c>
      <c r="W1562" t="s">
        <v>55</v>
      </c>
      <c r="X1562">
        <v>1</v>
      </c>
      <c r="Y1562" t="str">
        <f t="shared" si="24"/>
        <v>Medium</v>
      </c>
    </row>
    <row r="1563" spans="1:25">
      <c r="A1563" t="s">
        <v>1676</v>
      </c>
      <c r="B1563" s="1">
        <v>44943</v>
      </c>
      <c r="C1563" s="2">
        <v>0.46875</v>
      </c>
      <c r="D1563" t="s">
        <v>34</v>
      </c>
      <c r="E1563" t="s">
        <v>93</v>
      </c>
      <c r="F1563" t="s">
        <v>37</v>
      </c>
      <c r="G1563" t="s">
        <v>154</v>
      </c>
      <c r="H1563" s="2">
        <v>0.46944444444444444</v>
      </c>
      <c r="I1563" s="2">
        <v>0.48333333333333334</v>
      </c>
      <c r="J1563">
        <v>19</v>
      </c>
      <c r="K1563">
        <v>23</v>
      </c>
      <c r="L1563" t="s">
        <v>38</v>
      </c>
      <c r="M1563">
        <v>-0.4</v>
      </c>
      <c r="N1563">
        <v>52</v>
      </c>
      <c r="O1563">
        <v>9</v>
      </c>
      <c r="P1563">
        <v>4.3</v>
      </c>
      <c r="Q1563" t="s">
        <v>31</v>
      </c>
      <c r="R1563">
        <v>50000</v>
      </c>
      <c r="S1563">
        <v>35</v>
      </c>
      <c r="T1563">
        <v>0</v>
      </c>
      <c r="U1563">
        <v>1</v>
      </c>
      <c r="V1563">
        <v>1</v>
      </c>
      <c r="W1563" t="s">
        <v>55</v>
      </c>
      <c r="X1563">
        <v>1</v>
      </c>
      <c r="Y1563" t="str">
        <f t="shared" si="24"/>
        <v>Medium</v>
      </c>
    </row>
    <row r="1564" spans="1:25">
      <c r="A1564" t="s">
        <v>1677</v>
      </c>
      <c r="B1564" s="1">
        <v>44943</v>
      </c>
      <c r="C1564" s="2">
        <v>0.47916666666666669</v>
      </c>
      <c r="D1564" t="s">
        <v>34</v>
      </c>
      <c r="E1564" t="s">
        <v>27</v>
      </c>
      <c r="F1564" t="s">
        <v>123</v>
      </c>
      <c r="G1564" t="s">
        <v>50</v>
      </c>
      <c r="H1564" s="2">
        <v>0.47916666666666669</v>
      </c>
      <c r="I1564" s="2">
        <v>0.50902777777777775</v>
      </c>
      <c r="J1564">
        <v>13</v>
      </c>
      <c r="K1564">
        <v>13</v>
      </c>
      <c r="L1564" t="s">
        <v>54</v>
      </c>
      <c r="M1564">
        <v>8.9</v>
      </c>
      <c r="N1564">
        <v>68</v>
      </c>
      <c r="O1564">
        <v>49</v>
      </c>
      <c r="P1564">
        <v>0.1</v>
      </c>
      <c r="Q1564" t="s">
        <v>101</v>
      </c>
      <c r="R1564">
        <v>2000</v>
      </c>
      <c r="S1564">
        <v>48</v>
      </c>
      <c r="T1564">
        <v>0</v>
      </c>
      <c r="U1564">
        <v>0</v>
      </c>
      <c r="V1564">
        <v>1</v>
      </c>
      <c r="W1564" t="s">
        <v>39</v>
      </c>
      <c r="X1564">
        <v>1</v>
      </c>
      <c r="Y1564" t="str">
        <f t="shared" si="24"/>
        <v>Medium</v>
      </c>
    </row>
    <row r="1565" spans="1:25">
      <c r="A1565" t="s">
        <v>1678</v>
      </c>
      <c r="B1565" s="1">
        <v>44943</v>
      </c>
      <c r="C1565" s="2">
        <v>0.48958333333333331</v>
      </c>
      <c r="D1565" t="s">
        <v>74</v>
      </c>
      <c r="E1565" t="s">
        <v>52</v>
      </c>
      <c r="F1565" t="s">
        <v>76</v>
      </c>
      <c r="G1565" t="s">
        <v>43</v>
      </c>
      <c r="H1565" s="2">
        <v>0.49027777777777776</v>
      </c>
      <c r="I1565" s="2">
        <v>0.52430555555555558</v>
      </c>
      <c r="J1565">
        <v>11</v>
      </c>
      <c r="K1565">
        <v>-2</v>
      </c>
      <c r="L1565" t="s">
        <v>45</v>
      </c>
      <c r="M1565">
        <v>31</v>
      </c>
      <c r="N1565">
        <v>38</v>
      </c>
      <c r="O1565">
        <v>38</v>
      </c>
      <c r="P1565">
        <v>12.6</v>
      </c>
      <c r="Q1565" t="s">
        <v>31</v>
      </c>
      <c r="R1565">
        <v>0</v>
      </c>
      <c r="S1565">
        <v>30</v>
      </c>
      <c r="T1565">
        <v>0</v>
      </c>
      <c r="U1565">
        <v>0</v>
      </c>
      <c r="V1565">
        <v>1</v>
      </c>
      <c r="W1565" t="s">
        <v>72</v>
      </c>
      <c r="X1565">
        <v>0</v>
      </c>
      <c r="Y1565" t="str">
        <f t="shared" si="24"/>
        <v>Low</v>
      </c>
    </row>
    <row r="1566" spans="1:25">
      <c r="A1566" t="s">
        <v>1679</v>
      </c>
      <c r="B1566" s="1">
        <v>44943</v>
      </c>
      <c r="C1566" s="2">
        <v>0.5</v>
      </c>
      <c r="D1566" t="s">
        <v>26</v>
      </c>
      <c r="E1566" t="s">
        <v>35</v>
      </c>
      <c r="F1566" t="s">
        <v>91</v>
      </c>
      <c r="G1566" t="s">
        <v>80</v>
      </c>
      <c r="H1566" s="2">
        <v>0.50208333333333333</v>
      </c>
      <c r="I1566" s="2">
        <v>0.53194444444444444</v>
      </c>
      <c r="J1566">
        <v>9</v>
      </c>
      <c r="K1566">
        <v>27</v>
      </c>
      <c r="L1566" t="s">
        <v>77</v>
      </c>
      <c r="M1566">
        <v>23.9</v>
      </c>
      <c r="N1566">
        <v>54</v>
      </c>
      <c r="O1566">
        <v>36</v>
      </c>
      <c r="P1566">
        <v>12.3</v>
      </c>
      <c r="Q1566" t="s">
        <v>31</v>
      </c>
      <c r="R1566">
        <v>0</v>
      </c>
      <c r="S1566">
        <v>43</v>
      </c>
      <c r="T1566">
        <v>0</v>
      </c>
      <c r="U1566">
        <v>1</v>
      </c>
      <c r="V1566">
        <v>1</v>
      </c>
      <c r="W1566" t="s">
        <v>39</v>
      </c>
      <c r="X1566">
        <v>1</v>
      </c>
      <c r="Y1566" t="str">
        <f t="shared" si="24"/>
        <v>Medium</v>
      </c>
    </row>
    <row r="1567" spans="1:25">
      <c r="A1567" t="s">
        <v>1680</v>
      </c>
      <c r="B1567" s="1">
        <v>44943</v>
      </c>
      <c r="C1567" s="2">
        <v>0.51041666666666663</v>
      </c>
      <c r="D1567" t="s">
        <v>26</v>
      </c>
      <c r="E1567" t="s">
        <v>35</v>
      </c>
      <c r="F1567" t="s">
        <v>135</v>
      </c>
      <c r="G1567" t="s">
        <v>76</v>
      </c>
      <c r="H1567" s="2">
        <v>0.51180555555555551</v>
      </c>
      <c r="I1567" s="2">
        <v>0.52500000000000002</v>
      </c>
      <c r="J1567">
        <v>14</v>
      </c>
      <c r="K1567">
        <v>-1</v>
      </c>
      <c r="L1567" t="s">
        <v>38</v>
      </c>
      <c r="M1567">
        <v>-3.8</v>
      </c>
      <c r="N1567">
        <v>46</v>
      </c>
      <c r="O1567">
        <v>38</v>
      </c>
      <c r="P1567">
        <v>3.8</v>
      </c>
      <c r="Q1567" t="s">
        <v>101</v>
      </c>
      <c r="R1567">
        <v>50000</v>
      </c>
      <c r="S1567">
        <v>58</v>
      </c>
      <c r="T1567">
        <v>0</v>
      </c>
      <c r="U1567">
        <v>1</v>
      </c>
      <c r="V1567">
        <v>1</v>
      </c>
      <c r="W1567" t="s">
        <v>72</v>
      </c>
      <c r="X1567">
        <v>0</v>
      </c>
      <c r="Y1567" t="str">
        <f t="shared" si="24"/>
        <v>Medium</v>
      </c>
    </row>
    <row r="1568" spans="1:25">
      <c r="A1568" t="s">
        <v>1681</v>
      </c>
      <c r="B1568" s="1">
        <v>44943</v>
      </c>
      <c r="C1568" s="2">
        <v>0.52083333333333337</v>
      </c>
      <c r="D1568" t="s">
        <v>41</v>
      </c>
      <c r="E1568" t="s">
        <v>111</v>
      </c>
      <c r="F1568" t="s">
        <v>36</v>
      </c>
      <c r="G1568" t="s">
        <v>168</v>
      </c>
      <c r="H1568" s="2">
        <v>0.52152777777777781</v>
      </c>
      <c r="I1568" s="2">
        <v>0.54374999999999996</v>
      </c>
      <c r="J1568">
        <v>2</v>
      </c>
      <c r="K1568">
        <v>13</v>
      </c>
      <c r="L1568" t="s">
        <v>38</v>
      </c>
      <c r="M1568">
        <v>-4.0999999999999996</v>
      </c>
      <c r="N1568">
        <v>71</v>
      </c>
      <c r="O1568">
        <v>20</v>
      </c>
      <c r="P1568">
        <v>18.899999999999999</v>
      </c>
      <c r="Q1568" t="s">
        <v>71</v>
      </c>
      <c r="R1568">
        <v>2000</v>
      </c>
      <c r="S1568">
        <v>22</v>
      </c>
      <c r="T1568">
        <v>0</v>
      </c>
      <c r="U1568">
        <v>1</v>
      </c>
      <c r="V1568">
        <v>1</v>
      </c>
      <c r="W1568" t="s">
        <v>55</v>
      </c>
      <c r="X1568">
        <v>1</v>
      </c>
      <c r="Y1568" t="str">
        <f t="shared" si="24"/>
        <v>Low</v>
      </c>
    </row>
    <row r="1569" spans="1:25">
      <c r="A1569" t="s">
        <v>1682</v>
      </c>
      <c r="B1569" s="1">
        <v>44943</v>
      </c>
      <c r="C1569" s="2">
        <v>0.53125</v>
      </c>
      <c r="D1569" t="s">
        <v>34</v>
      </c>
      <c r="E1569" t="s">
        <v>27</v>
      </c>
      <c r="F1569" t="s">
        <v>28</v>
      </c>
      <c r="G1569" t="s">
        <v>69</v>
      </c>
      <c r="H1569" s="2">
        <v>0.53125</v>
      </c>
      <c r="I1569" s="2">
        <v>0.54722222222222228</v>
      </c>
      <c r="J1569">
        <v>11</v>
      </c>
      <c r="K1569">
        <v>10</v>
      </c>
      <c r="L1569" t="s">
        <v>30</v>
      </c>
      <c r="M1569">
        <v>15.7</v>
      </c>
      <c r="N1569">
        <v>58</v>
      </c>
      <c r="O1569">
        <v>27</v>
      </c>
      <c r="P1569">
        <v>8.1999999999999993</v>
      </c>
      <c r="Q1569" t="s">
        <v>31</v>
      </c>
      <c r="R1569">
        <v>0</v>
      </c>
      <c r="S1569">
        <v>98</v>
      </c>
      <c r="T1569">
        <v>0</v>
      </c>
      <c r="U1569">
        <v>0</v>
      </c>
      <c r="V1569">
        <v>1</v>
      </c>
      <c r="W1569" t="s">
        <v>32</v>
      </c>
      <c r="X1569">
        <v>1</v>
      </c>
      <c r="Y1569" t="str">
        <f t="shared" si="24"/>
        <v>High</v>
      </c>
    </row>
    <row r="1570" spans="1:25">
      <c r="A1570" t="s">
        <v>1683</v>
      </c>
      <c r="B1570" s="1">
        <v>44943</v>
      </c>
      <c r="C1570" s="2">
        <v>0.54166666666666663</v>
      </c>
      <c r="D1570" t="s">
        <v>26</v>
      </c>
      <c r="E1570" t="s">
        <v>27</v>
      </c>
      <c r="F1570" t="s">
        <v>43</v>
      </c>
      <c r="G1570" t="s">
        <v>50</v>
      </c>
      <c r="H1570" s="2">
        <v>0.54374999999999996</v>
      </c>
      <c r="I1570" s="2">
        <v>0.56388888888888888</v>
      </c>
      <c r="J1570">
        <v>3</v>
      </c>
      <c r="K1570">
        <v>10</v>
      </c>
      <c r="L1570" t="s">
        <v>38</v>
      </c>
      <c r="M1570">
        <v>14.4</v>
      </c>
      <c r="N1570">
        <v>89</v>
      </c>
      <c r="O1570">
        <v>37</v>
      </c>
      <c r="P1570">
        <v>0.5</v>
      </c>
      <c r="Q1570" t="s">
        <v>63</v>
      </c>
      <c r="R1570">
        <v>500</v>
      </c>
      <c r="S1570">
        <v>67</v>
      </c>
      <c r="T1570">
        <v>0</v>
      </c>
      <c r="U1570">
        <v>0</v>
      </c>
      <c r="V1570">
        <v>1</v>
      </c>
      <c r="W1570" t="s">
        <v>72</v>
      </c>
      <c r="X1570">
        <v>1</v>
      </c>
      <c r="Y1570" t="str">
        <f t="shared" si="24"/>
        <v>High</v>
      </c>
    </row>
    <row r="1571" spans="1:25">
      <c r="A1571" t="s">
        <v>1684</v>
      </c>
      <c r="B1571" s="1">
        <v>44943</v>
      </c>
      <c r="C1571" s="2">
        <v>0.55208333333333337</v>
      </c>
      <c r="D1571" t="s">
        <v>74</v>
      </c>
      <c r="E1571" t="s">
        <v>89</v>
      </c>
      <c r="F1571" t="s">
        <v>95</v>
      </c>
      <c r="G1571" t="s">
        <v>44</v>
      </c>
      <c r="H1571" s="2">
        <v>0.55486111111111114</v>
      </c>
      <c r="I1571" s="2">
        <v>0.59027777777777779</v>
      </c>
      <c r="J1571">
        <v>12</v>
      </c>
      <c r="K1571">
        <v>-3</v>
      </c>
      <c r="L1571" t="s">
        <v>84</v>
      </c>
      <c r="M1571">
        <v>12.7</v>
      </c>
      <c r="N1571">
        <v>96</v>
      </c>
      <c r="O1571">
        <v>55</v>
      </c>
      <c r="P1571">
        <v>4.4000000000000004</v>
      </c>
      <c r="Q1571" t="s">
        <v>31</v>
      </c>
      <c r="R1571">
        <v>0</v>
      </c>
      <c r="S1571">
        <v>91</v>
      </c>
      <c r="T1571">
        <v>0</v>
      </c>
      <c r="U1571">
        <v>0</v>
      </c>
      <c r="V1571">
        <v>1</v>
      </c>
      <c r="W1571" t="s">
        <v>55</v>
      </c>
      <c r="X1571">
        <v>0</v>
      </c>
      <c r="Y1571" t="str">
        <f t="shared" si="24"/>
        <v>High</v>
      </c>
    </row>
    <row r="1572" spans="1:25">
      <c r="A1572" t="s">
        <v>1685</v>
      </c>
      <c r="B1572" s="1">
        <v>44943</v>
      </c>
      <c r="C1572" s="2">
        <v>0.5625</v>
      </c>
      <c r="D1572" t="s">
        <v>74</v>
      </c>
      <c r="E1572" t="s">
        <v>48</v>
      </c>
      <c r="F1572" t="s">
        <v>148</v>
      </c>
      <c r="G1572" t="s">
        <v>87</v>
      </c>
      <c r="H1572" s="2">
        <v>0.56458333333333333</v>
      </c>
      <c r="I1572" s="2">
        <v>0.6</v>
      </c>
      <c r="J1572">
        <v>4</v>
      </c>
      <c r="K1572">
        <v>25</v>
      </c>
      <c r="L1572" t="s">
        <v>45</v>
      </c>
      <c r="M1572">
        <v>7.1</v>
      </c>
      <c r="N1572">
        <v>86</v>
      </c>
      <c r="O1572">
        <v>32</v>
      </c>
      <c r="P1572">
        <v>13.8</v>
      </c>
      <c r="Q1572" t="s">
        <v>46</v>
      </c>
      <c r="R1572">
        <v>0</v>
      </c>
      <c r="S1572">
        <v>41</v>
      </c>
      <c r="T1572">
        <v>0</v>
      </c>
      <c r="U1572">
        <v>0</v>
      </c>
      <c r="V1572">
        <v>1</v>
      </c>
      <c r="W1572" t="s">
        <v>55</v>
      </c>
      <c r="X1572">
        <v>1</v>
      </c>
      <c r="Y1572" t="str">
        <f t="shared" si="24"/>
        <v>Medium</v>
      </c>
    </row>
    <row r="1573" spans="1:25">
      <c r="A1573" t="s">
        <v>1686</v>
      </c>
      <c r="B1573" s="1">
        <v>44943</v>
      </c>
      <c r="C1573" s="2">
        <v>0.57291666666666663</v>
      </c>
      <c r="D1573" t="s">
        <v>34</v>
      </c>
      <c r="E1573" t="s">
        <v>126</v>
      </c>
      <c r="F1573" t="s">
        <v>90</v>
      </c>
      <c r="G1573" t="s">
        <v>81</v>
      </c>
      <c r="H1573" s="2">
        <v>0.57430555555555551</v>
      </c>
      <c r="I1573" s="2">
        <v>0.59166666666666667</v>
      </c>
      <c r="J1573">
        <v>11</v>
      </c>
      <c r="K1573">
        <v>0</v>
      </c>
      <c r="L1573" t="s">
        <v>45</v>
      </c>
      <c r="M1573">
        <v>34.5</v>
      </c>
      <c r="N1573">
        <v>43</v>
      </c>
      <c r="O1573">
        <v>10</v>
      </c>
      <c r="P1573">
        <v>4</v>
      </c>
      <c r="Q1573" t="s">
        <v>31</v>
      </c>
      <c r="R1573">
        <v>500</v>
      </c>
      <c r="S1573">
        <v>41</v>
      </c>
      <c r="T1573">
        <v>0</v>
      </c>
      <c r="U1573">
        <v>0</v>
      </c>
      <c r="V1573">
        <v>1</v>
      </c>
      <c r="W1573" t="s">
        <v>55</v>
      </c>
      <c r="X1573">
        <v>0</v>
      </c>
      <c r="Y1573" t="str">
        <f t="shared" si="24"/>
        <v>Medium</v>
      </c>
    </row>
    <row r="1574" spans="1:25">
      <c r="A1574" t="s">
        <v>1687</v>
      </c>
      <c r="B1574" s="1">
        <v>44943</v>
      </c>
      <c r="C1574" s="2">
        <v>0.58333333333333337</v>
      </c>
      <c r="D1574" t="s">
        <v>74</v>
      </c>
      <c r="E1574" t="s">
        <v>52</v>
      </c>
      <c r="F1574" t="s">
        <v>28</v>
      </c>
      <c r="G1574" t="s">
        <v>70</v>
      </c>
      <c r="H1574" s="2">
        <v>0.5854166666666667</v>
      </c>
      <c r="I1574" s="2">
        <v>0.59791666666666665</v>
      </c>
      <c r="J1574">
        <v>15</v>
      </c>
      <c r="K1574">
        <v>29</v>
      </c>
      <c r="L1574" t="s">
        <v>45</v>
      </c>
      <c r="M1574">
        <v>5.9</v>
      </c>
      <c r="N1574">
        <v>68</v>
      </c>
      <c r="O1574">
        <v>44</v>
      </c>
      <c r="P1574">
        <v>1.1000000000000001</v>
      </c>
      <c r="Q1574" t="s">
        <v>71</v>
      </c>
      <c r="R1574">
        <v>0</v>
      </c>
      <c r="S1574">
        <v>12</v>
      </c>
      <c r="T1574">
        <v>0</v>
      </c>
      <c r="U1574">
        <v>1</v>
      </c>
      <c r="V1574">
        <v>1</v>
      </c>
      <c r="W1574" t="s">
        <v>32</v>
      </c>
      <c r="X1574">
        <v>1</v>
      </c>
      <c r="Y1574" t="str">
        <f t="shared" si="24"/>
        <v>Low</v>
      </c>
    </row>
    <row r="1575" spans="1:25">
      <c r="A1575" t="s">
        <v>1688</v>
      </c>
      <c r="B1575" s="1">
        <v>44943</v>
      </c>
      <c r="C1575" s="2">
        <v>0.59375</v>
      </c>
      <c r="D1575" t="s">
        <v>74</v>
      </c>
      <c r="E1575" t="s">
        <v>48</v>
      </c>
      <c r="F1575" t="s">
        <v>154</v>
      </c>
      <c r="G1575" t="s">
        <v>168</v>
      </c>
      <c r="H1575" s="2">
        <v>0.59652777777777777</v>
      </c>
      <c r="I1575" s="2">
        <v>0.61111111111111116</v>
      </c>
      <c r="J1575">
        <v>-2</v>
      </c>
      <c r="K1575">
        <v>13</v>
      </c>
      <c r="L1575" t="s">
        <v>77</v>
      </c>
      <c r="M1575">
        <v>14.6</v>
      </c>
      <c r="N1575">
        <v>45</v>
      </c>
      <c r="O1575">
        <v>43</v>
      </c>
      <c r="P1575">
        <v>12.4</v>
      </c>
      <c r="Q1575" t="s">
        <v>31</v>
      </c>
      <c r="R1575">
        <v>500</v>
      </c>
      <c r="S1575">
        <v>0</v>
      </c>
      <c r="T1575">
        <v>1</v>
      </c>
      <c r="U1575">
        <v>0</v>
      </c>
      <c r="V1575">
        <v>1</v>
      </c>
      <c r="W1575" t="s">
        <v>55</v>
      </c>
      <c r="X1575">
        <v>1</v>
      </c>
      <c r="Y1575" t="str">
        <f t="shared" si="24"/>
        <v>Low</v>
      </c>
    </row>
    <row r="1576" spans="1:25">
      <c r="A1576" t="s">
        <v>1689</v>
      </c>
      <c r="B1576" s="1">
        <v>44943</v>
      </c>
      <c r="C1576" s="2">
        <v>0.60416666666666663</v>
      </c>
      <c r="D1576" t="s">
        <v>34</v>
      </c>
      <c r="E1576" t="s">
        <v>68</v>
      </c>
      <c r="F1576" t="s">
        <v>81</v>
      </c>
      <c r="G1576" t="s">
        <v>50</v>
      </c>
      <c r="H1576" s="2">
        <v>0.60416666666666663</v>
      </c>
      <c r="I1576" s="2">
        <v>0.63888888888888884</v>
      </c>
      <c r="J1576">
        <v>3</v>
      </c>
      <c r="K1576">
        <v>24</v>
      </c>
      <c r="L1576" t="s">
        <v>54</v>
      </c>
      <c r="M1576">
        <v>11.2</v>
      </c>
      <c r="N1576">
        <v>47</v>
      </c>
      <c r="O1576">
        <v>0</v>
      </c>
      <c r="P1576">
        <v>10.4</v>
      </c>
      <c r="Q1576" t="s">
        <v>31</v>
      </c>
      <c r="R1576">
        <v>50000</v>
      </c>
      <c r="S1576">
        <v>75</v>
      </c>
      <c r="T1576">
        <v>0</v>
      </c>
      <c r="U1576">
        <v>0</v>
      </c>
      <c r="V1576">
        <v>1</v>
      </c>
      <c r="W1576" t="s">
        <v>39</v>
      </c>
      <c r="X1576">
        <v>1</v>
      </c>
      <c r="Y1576" t="str">
        <f t="shared" si="24"/>
        <v>High</v>
      </c>
    </row>
    <row r="1577" spans="1:25">
      <c r="A1577" t="s">
        <v>1690</v>
      </c>
      <c r="B1577" s="1">
        <v>44943</v>
      </c>
      <c r="C1577" s="2">
        <v>0.61458333333333337</v>
      </c>
      <c r="D1577" t="s">
        <v>26</v>
      </c>
      <c r="E1577" t="s">
        <v>126</v>
      </c>
      <c r="F1577" t="s">
        <v>185</v>
      </c>
      <c r="G1577" t="s">
        <v>69</v>
      </c>
      <c r="H1577" s="2">
        <v>0.61527777777777781</v>
      </c>
      <c r="I1577" s="2">
        <v>0.63472222222222219</v>
      </c>
      <c r="J1577">
        <v>0</v>
      </c>
      <c r="K1577">
        <v>22</v>
      </c>
      <c r="L1577" t="s">
        <v>77</v>
      </c>
      <c r="M1577">
        <v>1.8</v>
      </c>
      <c r="N1577">
        <v>49</v>
      </c>
      <c r="O1577">
        <v>52</v>
      </c>
      <c r="P1577">
        <v>15.2</v>
      </c>
      <c r="Q1577" t="s">
        <v>71</v>
      </c>
      <c r="R1577">
        <v>50000</v>
      </c>
      <c r="S1577">
        <v>52</v>
      </c>
      <c r="T1577">
        <v>0</v>
      </c>
      <c r="U1577">
        <v>0</v>
      </c>
      <c r="V1577">
        <v>1</v>
      </c>
      <c r="W1577" t="s">
        <v>55</v>
      </c>
      <c r="X1577">
        <v>1</v>
      </c>
      <c r="Y1577" t="str">
        <f t="shared" si="24"/>
        <v>Medium</v>
      </c>
    </row>
    <row r="1578" spans="1:25">
      <c r="A1578" t="s">
        <v>1691</v>
      </c>
      <c r="B1578" s="1">
        <v>44943</v>
      </c>
      <c r="C1578" s="2">
        <v>0.625</v>
      </c>
      <c r="D1578" t="s">
        <v>26</v>
      </c>
      <c r="E1578" t="s">
        <v>48</v>
      </c>
      <c r="F1578" t="s">
        <v>62</v>
      </c>
      <c r="G1578" t="s">
        <v>66</v>
      </c>
      <c r="H1578" s="2">
        <v>0.62638888888888888</v>
      </c>
      <c r="I1578" s="2">
        <v>0.65277777777777779</v>
      </c>
      <c r="J1578">
        <v>2</v>
      </c>
      <c r="K1578">
        <v>4</v>
      </c>
      <c r="L1578" t="s">
        <v>84</v>
      </c>
      <c r="M1578">
        <v>3.1</v>
      </c>
      <c r="N1578">
        <v>75</v>
      </c>
      <c r="O1578">
        <v>46</v>
      </c>
      <c r="P1578">
        <v>15.5</v>
      </c>
      <c r="Q1578" t="s">
        <v>71</v>
      </c>
      <c r="R1578">
        <v>2000</v>
      </c>
      <c r="S1578">
        <v>39</v>
      </c>
      <c r="T1578">
        <v>0</v>
      </c>
      <c r="U1578">
        <v>0</v>
      </c>
      <c r="V1578">
        <v>1</v>
      </c>
      <c r="W1578" t="s">
        <v>55</v>
      </c>
      <c r="X1578">
        <v>0</v>
      </c>
      <c r="Y1578" t="str">
        <f t="shared" si="24"/>
        <v>Medium</v>
      </c>
    </row>
    <row r="1579" spans="1:25">
      <c r="A1579" t="s">
        <v>1692</v>
      </c>
      <c r="B1579" s="1">
        <v>44943</v>
      </c>
      <c r="C1579" s="2">
        <v>0.63541666666666663</v>
      </c>
      <c r="D1579" t="s">
        <v>74</v>
      </c>
      <c r="E1579" t="s">
        <v>157</v>
      </c>
      <c r="F1579" t="s">
        <v>107</v>
      </c>
      <c r="G1579" t="s">
        <v>142</v>
      </c>
      <c r="H1579" s="2">
        <v>0.6381944444444444</v>
      </c>
      <c r="I1579" s="2">
        <v>0.65555555555555556</v>
      </c>
      <c r="J1579">
        <v>9</v>
      </c>
      <c r="K1579">
        <v>14</v>
      </c>
      <c r="L1579" t="s">
        <v>54</v>
      </c>
      <c r="M1579">
        <v>31.7</v>
      </c>
      <c r="N1579">
        <v>74</v>
      </c>
      <c r="O1579">
        <v>32</v>
      </c>
      <c r="P1579">
        <v>19.2</v>
      </c>
      <c r="Q1579" t="s">
        <v>46</v>
      </c>
      <c r="R1579">
        <v>50000</v>
      </c>
      <c r="S1579">
        <v>89</v>
      </c>
      <c r="T1579">
        <v>0</v>
      </c>
      <c r="U1579">
        <v>0</v>
      </c>
      <c r="V1579">
        <v>1</v>
      </c>
      <c r="W1579" t="s">
        <v>72</v>
      </c>
      <c r="X1579">
        <v>1</v>
      </c>
      <c r="Y1579" t="str">
        <f t="shared" si="24"/>
        <v>High</v>
      </c>
    </row>
    <row r="1580" spans="1:25">
      <c r="A1580" t="s">
        <v>1693</v>
      </c>
      <c r="B1580" s="1">
        <v>44943</v>
      </c>
      <c r="C1580" s="2">
        <v>0.64583333333333337</v>
      </c>
      <c r="D1580" t="s">
        <v>74</v>
      </c>
      <c r="E1580" t="s">
        <v>104</v>
      </c>
      <c r="F1580" t="s">
        <v>128</v>
      </c>
      <c r="G1580" t="s">
        <v>36</v>
      </c>
      <c r="H1580" s="2">
        <v>0.64722222222222225</v>
      </c>
      <c r="I1580" s="2">
        <v>0.67500000000000004</v>
      </c>
      <c r="J1580">
        <v>8</v>
      </c>
      <c r="K1580">
        <v>27</v>
      </c>
      <c r="L1580" t="s">
        <v>38</v>
      </c>
      <c r="M1580">
        <v>29.3</v>
      </c>
      <c r="N1580">
        <v>33</v>
      </c>
      <c r="O1580">
        <v>2</v>
      </c>
      <c r="P1580">
        <v>1.1000000000000001</v>
      </c>
      <c r="Q1580" t="s">
        <v>101</v>
      </c>
      <c r="R1580">
        <v>10000</v>
      </c>
      <c r="S1580">
        <v>45</v>
      </c>
      <c r="T1580">
        <v>0</v>
      </c>
      <c r="U1580">
        <v>1</v>
      </c>
      <c r="V1580">
        <v>1</v>
      </c>
      <c r="W1580" t="s">
        <v>72</v>
      </c>
      <c r="X1580">
        <v>1</v>
      </c>
      <c r="Y1580" t="str">
        <f t="shared" si="24"/>
        <v>Medium</v>
      </c>
    </row>
    <row r="1581" spans="1:25">
      <c r="A1581" t="s">
        <v>1694</v>
      </c>
      <c r="B1581" s="1">
        <v>44943</v>
      </c>
      <c r="C1581" s="2">
        <v>0.65625</v>
      </c>
      <c r="D1581" t="s">
        <v>26</v>
      </c>
      <c r="E1581" t="s">
        <v>157</v>
      </c>
      <c r="F1581" t="s">
        <v>168</v>
      </c>
      <c r="G1581" t="s">
        <v>43</v>
      </c>
      <c r="H1581" s="2">
        <v>0.65833333333333333</v>
      </c>
      <c r="I1581" s="2">
        <v>0.67152777777777772</v>
      </c>
      <c r="J1581">
        <v>10</v>
      </c>
      <c r="K1581">
        <v>23</v>
      </c>
      <c r="L1581" t="s">
        <v>77</v>
      </c>
      <c r="M1581">
        <v>3</v>
      </c>
      <c r="N1581">
        <v>49</v>
      </c>
      <c r="O1581">
        <v>25</v>
      </c>
      <c r="P1581">
        <v>0.8</v>
      </c>
      <c r="Q1581" t="s">
        <v>31</v>
      </c>
      <c r="R1581">
        <v>0</v>
      </c>
      <c r="S1581">
        <v>86</v>
      </c>
      <c r="T1581">
        <v>1</v>
      </c>
      <c r="U1581">
        <v>0</v>
      </c>
      <c r="V1581">
        <v>1</v>
      </c>
      <c r="W1581" t="s">
        <v>72</v>
      </c>
      <c r="X1581">
        <v>1</v>
      </c>
      <c r="Y1581" t="str">
        <f t="shared" si="24"/>
        <v>High</v>
      </c>
    </row>
    <row r="1582" spans="1:25">
      <c r="A1582" t="s">
        <v>1695</v>
      </c>
      <c r="B1582" s="1">
        <v>44943</v>
      </c>
      <c r="C1582" s="2">
        <v>0.66666666666666663</v>
      </c>
      <c r="D1582" t="s">
        <v>34</v>
      </c>
      <c r="E1582" t="s">
        <v>35</v>
      </c>
      <c r="F1582" t="s">
        <v>44</v>
      </c>
      <c r="G1582" t="s">
        <v>28</v>
      </c>
      <c r="H1582" s="2">
        <v>0.66805555555555551</v>
      </c>
      <c r="I1582" s="2">
        <v>0.70208333333333328</v>
      </c>
      <c r="J1582">
        <v>13</v>
      </c>
      <c r="K1582">
        <v>12</v>
      </c>
      <c r="L1582" t="s">
        <v>54</v>
      </c>
      <c r="M1582">
        <v>30</v>
      </c>
      <c r="N1582">
        <v>40</v>
      </c>
      <c r="O1582">
        <v>14</v>
      </c>
      <c r="P1582">
        <v>19.7</v>
      </c>
      <c r="Q1582" t="s">
        <v>31</v>
      </c>
      <c r="R1582">
        <v>50000</v>
      </c>
      <c r="S1582">
        <v>21</v>
      </c>
      <c r="T1582">
        <v>0</v>
      </c>
      <c r="U1582">
        <v>0</v>
      </c>
      <c r="V1582">
        <v>1</v>
      </c>
      <c r="W1582" t="s">
        <v>55</v>
      </c>
      <c r="X1582">
        <v>1</v>
      </c>
      <c r="Y1582" t="str">
        <f t="shared" si="24"/>
        <v>Low</v>
      </c>
    </row>
    <row r="1583" spans="1:25">
      <c r="A1583" t="s">
        <v>1696</v>
      </c>
      <c r="B1583" s="1">
        <v>44943</v>
      </c>
      <c r="C1583" s="2">
        <v>0.67708333333333337</v>
      </c>
      <c r="D1583" t="s">
        <v>74</v>
      </c>
      <c r="E1583" t="s">
        <v>93</v>
      </c>
      <c r="F1583" t="s">
        <v>83</v>
      </c>
      <c r="G1583" t="s">
        <v>107</v>
      </c>
      <c r="H1583" s="2">
        <v>0.67986111111111114</v>
      </c>
      <c r="I1583" s="2">
        <v>0.70416666666666672</v>
      </c>
      <c r="J1583">
        <v>15</v>
      </c>
      <c r="K1583">
        <v>6</v>
      </c>
      <c r="L1583" t="s">
        <v>38</v>
      </c>
      <c r="M1583">
        <v>3.4</v>
      </c>
      <c r="N1583">
        <v>94</v>
      </c>
      <c r="O1583">
        <v>40</v>
      </c>
      <c r="P1583">
        <v>12.9</v>
      </c>
      <c r="Q1583" t="s">
        <v>71</v>
      </c>
      <c r="R1583">
        <v>0</v>
      </c>
      <c r="S1583">
        <v>51</v>
      </c>
      <c r="T1583">
        <v>0</v>
      </c>
      <c r="U1583">
        <v>1</v>
      </c>
      <c r="V1583">
        <v>1</v>
      </c>
      <c r="W1583" t="s">
        <v>55</v>
      </c>
      <c r="X1583">
        <v>1</v>
      </c>
      <c r="Y1583" t="str">
        <f t="shared" si="24"/>
        <v>Medium</v>
      </c>
    </row>
    <row r="1584" spans="1:25">
      <c r="A1584" t="s">
        <v>1697</v>
      </c>
      <c r="B1584" s="1">
        <v>44943</v>
      </c>
      <c r="C1584" s="2">
        <v>0.6875</v>
      </c>
      <c r="D1584" t="s">
        <v>41</v>
      </c>
      <c r="E1584" t="s">
        <v>130</v>
      </c>
      <c r="F1584" t="s">
        <v>36</v>
      </c>
      <c r="G1584" t="s">
        <v>50</v>
      </c>
      <c r="H1584" s="2">
        <v>0.68819444444444444</v>
      </c>
      <c r="I1584" s="2">
        <v>0.70763888888888893</v>
      </c>
      <c r="J1584">
        <v>14</v>
      </c>
      <c r="K1584">
        <v>8</v>
      </c>
      <c r="L1584" t="s">
        <v>54</v>
      </c>
      <c r="M1584">
        <v>20.100000000000001</v>
      </c>
      <c r="N1584">
        <v>47</v>
      </c>
      <c r="O1584">
        <v>13</v>
      </c>
      <c r="P1584">
        <v>14.3</v>
      </c>
      <c r="Q1584" t="s">
        <v>46</v>
      </c>
      <c r="R1584">
        <v>0</v>
      </c>
      <c r="S1584">
        <v>27</v>
      </c>
      <c r="T1584">
        <v>1</v>
      </c>
      <c r="U1584">
        <v>0</v>
      </c>
      <c r="V1584">
        <v>1</v>
      </c>
      <c r="W1584" t="s">
        <v>39</v>
      </c>
      <c r="X1584">
        <v>1</v>
      </c>
      <c r="Y1584" t="str">
        <f t="shared" si="24"/>
        <v>Low</v>
      </c>
    </row>
    <row r="1585" spans="1:25">
      <c r="A1585" t="s">
        <v>1698</v>
      </c>
      <c r="B1585" s="1">
        <v>44943</v>
      </c>
      <c r="C1585" s="2">
        <v>0.69791666666666663</v>
      </c>
      <c r="D1585" t="s">
        <v>34</v>
      </c>
      <c r="E1585" t="s">
        <v>35</v>
      </c>
      <c r="F1585" t="s">
        <v>81</v>
      </c>
      <c r="G1585" t="s">
        <v>81</v>
      </c>
      <c r="H1585" s="2">
        <v>0.69861111111111107</v>
      </c>
      <c r="I1585" s="2">
        <v>0.73124999999999996</v>
      </c>
      <c r="J1585">
        <v>14</v>
      </c>
      <c r="K1585">
        <v>18</v>
      </c>
      <c r="L1585" t="s">
        <v>38</v>
      </c>
      <c r="M1585">
        <v>-1.7</v>
      </c>
      <c r="N1585">
        <v>68</v>
      </c>
      <c r="O1585">
        <v>22</v>
      </c>
      <c r="P1585">
        <v>1.9</v>
      </c>
      <c r="Q1585" t="s">
        <v>31</v>
      </c>
      <c r="R1585">
        <v>500</v>
      </c>
      <c r="S1585">
        <v>52</v>
      </c>
      <c r="T1585">
        <v>0</v>
      </c>
      <c r="U1585">
        <v>0</v>
      </c>
      <c r="V1585">
        <v>1</v>
      </c>
      <c r="W1585" t="s">
        <v>32</v>
      </c>
      <c r="X1585">
        <v>1</v>
      </c>
      <c r="Y1585" t="str">
        <f t="shared" si="24"/>
        <v>Medium</v>
      </c>
    </row>
    <row r="1586" spans="1:25">
      <c r="A1586" t="s">
        <v>1699</v>
      </c>
      <c r="B1586" s="1">
        <v>44943</v>
      </c>
      <c r="C1586" s="2">
        <v>0.70833333333333337</v>
      </c>
      <c r="D1586" t="s">
        <v>74</v>
      </c>
      <c r="E1586" t="s">
        <v>141</v>
      </c>
      <c r="F1586" t="s">
        <v>128</v>
      </c>
      <c r="G1586" t="s">
        <v>151</v>
      </c>
      <c r="H1586" s="2">
        <v>0.70972222222222225</v>
      </c>
      <c r="I1586" s="2">
        <v>0.74513888888888891</v>
      </c>
      <c r="J1586">
        <v>8</v>
      </c>
      <c r="K1586">
        <v>12</v>
      </c>
      <c r="L1586" t="s">
        <v>54</v>
      </c>
      <c r="M1586">
        <v>30.2</v>
      </c>
      <c r="N1586">
        <v>73</v>
      </c>
      <c r="O1586">
        <v>59</v>
      </c>
      <c r="P1586">
        <v>1.4</v>
      </c>
      <c r="Q1586" t="s">
        <v>31</v>
      </c>
      <c r="R1586">
        <v>0</v>
      </c>
      <c r="S1586">
        <v>62</v>
      </c>
      <c r="T1586">
        <v>0</v>
      </c>
      <c r="U1586">
        <v>0</v>
      </c>
      <c r="V1586">
        <v>1</v>
      </c>
      <c r="W1586" t="s">
        <v>55</v>
      </c>
      <c r="X1586">
        <v>1</v>
      </c>
      <c r="Y1586" t="str">
        <f t="shared" si="24"/>
        <v>Medium</v>
      </c>
    </row>
    <row r="1587" spans="1:25">
      <c r="A1587" t="s">
        <v>1700</v>
      </c>
      <c r="B1587" s="1">
        <v>44943</v>
      </c>
      <c r="C1587" s="2">
        <v>0.71875</v>
      </c>
      <c r="D1587" t="s">
        <v>74</v>
      </c>
      <c r="E1587" t="s">
        <v>141</v>
      </c>
      <c r="F1587" t="s">
        <v>69</v>
      </c>
      <c r="G1587" t="s">
        <v>100</v>
      </c>
      <c r="H1587" s="2">
        <v>0.71875</v>
      </c>
      <c r="I1587" s="2">
        <v>0.75763888888888886</v>
      </c>
      <c r="J1587">
        <v>17</v>
      </c>
      <c r="K1587">
        <v>8</v>
      </c>
      <c r="L1587" t="s">
        <v>77</v>
      </c>
      <c r="M1587">
        <v>-2.9</v>
      </c>
      <c r="N1587">
        <v>47</v>
      </c>
      <c r="O1587">
        <v>53</v>
      </c>
      <c r="P1587">
        <v>3.2</v>
      </c>
      <c r="Q1587" t="s">
        <v>31</v>
      </c>
      <c r="R1587">
        <v>0</v>
      </c>
      <c r="S1587">
        <v>16</v>
      </c>
      <c r="T1587">
        <v>0</v>
      </c>
      <c r="U1587">
        <v>0</v>
      </c>
      <c r="V1587">
        <v>1</v>
      </c>
      <c r="W1587" t="s">
        <v>32</v>
      </c>
      <c r="X1587">
        <v>1</v>
      </c>
      <c r="Y1587" t="str">
        <f t="shared" si="24"/>
        <v>Low</v>
      </c>
    </row>
    <row r="1588" spans="1:25">
      <c r="A1588" t="s">
        <v>1701</v>
      </c>
      <c r="B1588" s="1">
        <v>44943</v>
      </c>
      <c r="C1588" s="2">
        <v>0.72916666666666663</v>
      </c>
      <c r="D1588" t="s">
        <v>41</v>
      </c>
      <c r="E1588" t="s">
        <v>89</v>
      </c>
      <c r="F1588" t="s">
        <v>122</v>
      </c>
      <c r="G1588" t="s">
        <v>99</v>
      </c>
      <c r="H1588" s="2">
        <v>0.73055555555555551</v>
      </c>
      <c r="I1588" s="2">
        <v>0.75624999999999998</v>
      </c>
      <c r="J1588">
        <v>7</v>
      </c>
      <c r="K1588">
        <v>7</v>
      </c>
      <c r="L1588" t="s">
        <v>77</v>
      </c>
      <c r="M1588">
        <v>17.2</v>
      </c>
      <c r="N1588">
        <v>76</v>
      </c>
      <c r="O1588">
        <v>55</v>
      </c>
      <c r="P1588">
        <v>8.5</v>
      </c>
      <c r="Q1588" t="s">
        <v>63</v>
      </c>
      <c r="R1588">
        <v>2000</v>
      </c>
      <c r="S1588">
        <v>63</v>
      </c>
      <c r="T1588">
        <v>0</v>
      </c>
      <c r="U1588">
        <v>0</v>
      </c>
      <c r="V1588">
        <v>1</v>
      </c>
      <c r="W1588" t="s">
        <v>55</v>
      </c>
      <c r="X1588">
        <v>1</v>
      </c>
      <c r="Y1588" t="str">
        <f t="shared" si="24"/>
        <v>Medium</v>
      </c>
    </row>
    <row r="1589" spans="1:25">
      <c r="A1589" t="s">
        <v>1702</v>
      </c>
      <c r="B1589" s="1">
        <v>44943</v>
      </c>
      <c r="C1589" s="2">
        <v>0.73958333333333337</v>
      </c>
      <c r="D1589" t="s">
        <v>41</v>
      </c>
      <c r="E1589" t="s">
        <v>161</v>
      </c>
      <c r="F1589" t="s">
        <v>144</v>
      </c>
      <c r="G1589" t="s">
        <v>66</v>
      </c>
      <c r="H1589" s="2">
        <v>0.7416666666666667</v>
      </c>
      <c r="I1589" s="2">
        <v>0.7583333333333333</v>
      </c>
      <c r="J1589">
        <v>13</v>
      </c>
      <c r="K1589">
        <v>16</v>
      </c>
      <c r="L1589" t="s">
        <v>84</v>
      </c>
      <c r="M1589">
        <v>26.2</v>
      </c>
      <c r="N1589">
        <v>60</v>
      </c>
      <c r="O1589">
        <v>7</v>
      </c>
      <c r="P1589">
        <v>2.2000000000000002</v>
      </c>
      <c r="Q1589" t="s">
        <v>31</v>
      </c>
      <c r="R1589">
        <v>0</v>
      </c>
      <c r="S1589">
        <v>5</v>
      </c>
      <c r="T1589">
        <v>0</v>
      </c>
      <c r="U1589">
        <v>0</v>
      </c>
      <c r="V1589">
        <v>1</v>
      </c>
      <c r="W1589" t="s">
        <v>32</v>
      </c>
      <c r="X1589">
        <v>1</v>
      </c>
      <c r="Y1589" t="str">
        <f t="shared" si="24"/>
        <v>Low</v>
      </c>
    </row>
    <row r="1590" spans="1:25">
      <c r="A1590" t="s">
        <v>1703</v>
      </c>
      <c r="B1590" s="1">
        <v>44943</v>
      </c>
      <c r="C1590" s="2">
        <v>0.75</v>
      </c>
      <c r="D1590" t="s">
        <v>26</v>
      </c>
      <c r="E1590" t="s">
        <v>52</v>
      </c>
      <c r="F1590" t="s">
        <v>109</v>
      </c>
      <c r="G1590" t="s">
        <v>128</v>
      </c>
      <c r="H1590" s="2">
        <v>0.75069444444444444</v>
      </c>
      <c r="I1590" s="2">
        <v>0.7680555555555556</v>
      </c>
      <c r="J1590">
        <v>-1</v>
      </c>
      <c r="K1590">
        <v>-3</v>
      </c>
      <c r="L1590" t="s">
        <v>30</v>
      </c>
      <c r="M1590">
        <v>-0.3</v>
      </c>
      <c r="N1590">
        <v>68</v>
      </c>
      <c r="O1590">
        <v>53</v>
      </c>
      <c r="P1590">
        <v>8.9</v>
      </c>
      <c r="Q1590" t="s">
        <v>31</v>
      </c>
      <c r="R1590">
        <v>50000</v>
      </c>
      <c r="S1590">
        <v>13</v>
      </c>
      <c r="T1590">
        <v>0</v>
      </c>
      <c r="U1590">
        <v>1</v>
      </c>
      <c r="V1590">
        <v>1</v>
      </c>
      <c r="W1590" t="s">
        <v>72</v>
      </c>
      <c r="X1590">
        <v>0</v>
      </c>
      <c r="Y1590" t="str">
        <f t="shared" si="24"/>
        <v>Low</v>
      </c>
    </row>
    <row r="1591" spans="1:25">
      <c r="A1591" t="s">
        <v>1704</v>
      </c>
      <c r="B1591" s="1">
        <v>44943</v>
      </c>
      <c r="C1591" s="2">
        <v>0.76041666666666663</v>
      </c>
      <c r="D1591" t="s">
        <v>34</v>
      </c>
      <c r="E1591" t="s">
        <v>68</v>
      </c>
      <c r="F1591" t="s">
        <v>53</v>
      </c>
      <c r="G1591" t="s">
        <v>53</v>
      </c>
      <c r="H1591" s="2">
        <v>0.76111111111111107</v>
      </c>
      <c r="I1591" s="2">
        <v>0.77777777777777779</v>
      </c>
      <c r="J1591">
        <v>14</v>
      </c>
      <c r="K1591">
        <v>23</v>
      </c>
      <c r="L1591" t="s">
        <v>45</v>
      </c>
      <c r="M1591">
        <v>11.2</v>
      </c>
      <c r="N1591">
        <v>67</v>
      </c>
      <c r="O1591">
        <v>35</v>
      </c>
      <c r="P1591">
        <v>11.2</v>
      </c>
      <c r="Q1591" t="s">
        <v>31</v>
      </c>
      <c r="R1591">
        <v>0</v>
      </c>
      <c r="S1591">
        <v>16</v>
      </c>
      <c r="T1591">
        <v>0</v>
      </c>
      <c r="U1591">
        <v>0</v>
      </c>
      <c r="V1591">
        <v>1</v>
      </c>
      <c r="W1591" t="s">
        <v>55</v>
      </c>
      <c r="X1591">
        <v>1</v>
      </c>
      <c r="Y1591" t="str">
        <f t="shared" si="24"/>
        <v>Low</v>
      </c>
    </row>
    <row r="1592" spans="1:25">
      <c r="A1592" t="s">
        <v>1705</v>
      </c>
      <c r="B1592" s="1">
        <v>44943</v>
      </c>
      <c r="C1592" s="2">
        <v>0.77083333333333337</v>
      </c>
      <c r="D1592" t="s">
        <v>34</v>
      </c>
      <c r="E1592" t="s">
        <v>68</v>
      </c>
      <c r="F1592" t="s">
        <v>128</v>
      </c>
      <c r="G1592" t="s">
        <v>116</v>
      </c>
      <c r="H1592" s="2">
        <v>0.77152777777777781</v>
      </c>
      <c r="I1592" s="2">
        <v>0.79166666666666663</v>
      </c>
      <c r="J1592">
        <v>19</v>
      </c>
      <c r="K1592">
        <v>-1</v>
      </c>
      <c r="L1592" t="s">
        <v>77</v>
      </c>
      <c r="M1592">
        <v>-3.3</v>
      </c>
      <c r="N1592">
        <v>76</v>
      </c>
      <c r="O1592">
        <v>19</v>
      </c>
      <c r="P1592">
        <v>0</v>
      </c>
      <c r="Q1592" t="s">
        <v>59</v>
      </c>
      <c r="R1592">
        <v>50000</v>
      </c>
      <c r="S1592">
        <v>37</v>
      </c>
      <c r="T1592">
        <v>0</v>
      </c>
      <c r="U1592">
        <v>0</v>
      </c>
      <c r="V1592">
        <v>1</v>
      </c>
      <c r="W1592" t="s">
        <v>39</v>
      </c>
      <c r="X1592">
        <v>0</v>
      </c>
      <c r="Y1592" t="str">
        <f t="shared" si="24"/>
        <v>Medium</v>
      </c>
    </row>
    <row r="1593" spans="1:25">
      <c r="A1593" t="s">
        <v>1706</v>
      </c>
      <c r="B1593" s="1">
        <v>44943</v>
      </c>
      <c r="C1593" s="2">
        <v>0.78125</v>
      </c>
      <c r="D1593" t="s">
        <v>26</v>
      </c>
      <c r="E1593" t="s">
        <v>79</v>
      </c>
      <c r="F1593" t="s">
        <v>69</v>
      </c>
      <c r="G1593" t="s">
        <v>53</v>
      </c>
      <c r="H1593" s="2">
        <v>0.78125</v>
      </c>
      <c r="I1593" s="2">
        <v>0.80694444444444446</v>
      </c>
      <c r="J1593">
        <v>17</v>
      </c>
      <c r="K1593">
        <v>8</v>
      </c>
      <c r="L1593" t="s">
        <v>77</v>
      </c>
      <c r="M1593">
        <v>22.3</v>
      </c>
      <c r="N1593">
        <v>99</v>
      </c>
      <c r="O1593">
        <v>51</v>
      </c>
      <c r="P1593">
        <v>2.2999999999999998</v>
      </c>
      <c r="Q1593" t="s">
        <v>101</v>
      </c>
      <c r="R1593">
        <v>0</v>
      </c>
      <c r="S1593">
        <v>68</v>
      </c>
      <c r="T1593">
        <v>0</v>
      </c>
      <c r="U1593">
        <v>0</v>
      </c>
      <c r="V1593">
        <v>1</v>
      </c>
      <c r="W1593" t="s">
        <v>32</v>
      </c>
      <c r="X1593">
        <v>1</v>
      </c>
      <c r="Y1593" t="str">
        <f t="shared" si="24"/>
        <v>High</v>
      </c>
    </row>
    <row r="1594" spans="1:25">
      <c r="A1594" t="s">
        <v>1707</v>
      </c>
      <c r="B1594" s="1">
        <v>44943</v>
      </c>
      <c r="C1594" s="2">
        <v>0.79166666666666663</v>
      </c>
      <c r="D1594" t="s">
        <v>34</v>
      </c>
      <c r="E1594" t="s">
        <v>57</v>
      </c>
      <c r="F1594" t="s">
        <v>80</v>
      </c>
      <c r="G1594" t="s">
        <v>105</v>
      </c>
      <c r="H1594" s="2">
        <v>0.79166666666666663</v>
      </c>
      <c r="I1594" s="2">
        <v>0.82499999999999996</v>
      </c>
      <c r="J1594">
        <v>7</v>
      </c>
      <c r="K1594">
        <v>26</v>
      </c>
      <c r="L1594" t="s">
        <v>38</v>
      </c>
      <c r="M1594">
        <v>7.3</v>
      </c>
      <c r="N1594">
        <v>37</v>
      </c>
      <c r="O1594">
        <v>5</v>
      </c>
      <c r="P1594">
        <v>7.5</v>
      </c>
      <c r="Q1594" t="s">
        <v>59</v>
      </c>
      <c r="R1594">
        <v>500</v>
      </c>
      <c r="S1594">
        <v>12</v>
      </c>
      <c r="T1594">
        <v>0</v>
      </c>
      <c r="U1594">
        <v>0</v>
      </c>
      <c r="V1594">
        <v>1</v>
      </c>
      <c r="W1594" t="s">
        <v>72</v>
      </c>
      <c r="X1594">
        <v>1</v>
      </c>
      <c r="Y1594" t="str">
        <f t="shared" si="24"/>
        <v>Low</v>
      </c>
    </row>
    <row r="1595" spans="1:25">
      <c r="A1595" t="s">
        <v>1708</v>
      </c>
      <c r="B1595" s="1">
        <v>44943</v>
      </c>
      <c r="C1595" s="2">
        <v>0.80208333333333337</v>
      </c>
      <c r="D1595" t="s">
        <v>34</v>
      </c>
      <c r="E1595" t="s">
        <v>35</v>
      </c>
      <c r="F1595" t="s">
        <v>86</v>
      </c>
      <c r="G1595" t="s">
        <v>70</v>
      </c>
      <c r="H1595" s="2">
        <v>0.80486111111111114</v>
      </c>
      <c r="I1595" s="2">
        <v>0.83263888888888893</v>
      </c>
      <c r="J1595">
        <v>10</v>
      </c>
      <c r="K1595">
        <v>5</v>
      </c>
      <c r="L1595" t="s">
        <v>30</v>
      </c>
      <c r="M1595">
        <v>17.399999999999999</v>
      </c>
      <c r="N1595">
        <v>94</v>
      </c>
      <c r="O1595">
        <v>32</v>
      </c>
      <c r="P1595">
        <v>1.1000000000000001</v>
      </c>
      <c r="Q1595" t="s">
        <v>101</v>
      </c>
      <c r="R1595">
        <v>0</v>
      </c>
      <c r="S1595">
        <v>52</v>
      </c>
      <c r="T1595">
        <v>1</v>
      </c>
      <c r="U1595">
        <v>0</v>
      </c>
      <c r="V1595">
        <v>1</v>
      </c>
      <c r="W1595" t="s">
        <v>39</v>
      </c>
      <c r="X1595">
        <v>0</v>
      </c>
      <c r="Y1595" t="str">
        <f t="shared" si="24"/>
        <v>Medium</v>
      </c>
    </row>
    <row r="1596" spans="1:25">
      <c r="A1596" t="s">
        <v>1709</v>
      </c>
      <c r="B1596" s="1">
        <v>44943</v>
      </c>
      <c r="C1596" s="2">
        <v>0.8125</v>
      </c>
      <c r="D1596" t="s">
        <v>34</v>
      </c>
      <c r="E1596" t="s">
        <v>68</v>
      </c>
      <c r="F1596" t="s">
        <v>83</v>
      </c>
      <c r="G1596" t="s">
        <v>113</v>
      </c>
      <c r="H1596" s="2">
        <v>0.81388888888888888</v>
      </c>
      <c r="I1596" s="2">
        <v>0.84027777777777779</v>
      </c>
      <c r="J1596">
        <v>9</v>
      </c>
      <c r="K1596">
        <v>-3</v>
      </c>
      <c r="L1596" t="s">
        <v>77</v>
      </c>
      <c r="M1596">
        <v>32.299999999999997</v>
      </c>
      <c r="N1596">
        <v>42</v>
      </c>
      <c r="O1596">
        <v>27</v>
      </c>
      <c r="P1596">
        <v>2.7</v>
      </c>
      <c r="Q1596" t="s">
        <v>31</v>
      </c>
      <c r="R1596">
        <v>500</v>
      </c>
      <c r="S1596">
        <v>8</v>
      </c>
      <c r="T1596">
        <v>0</v>
      </c>
      <c r="U1596">
        <v>1</v>
      </c>
      <c r="V1596">
        <v>1</v>
      </c>
      <c r="W1596" t="s">
        <v>72</v>
      </c>
      <c r="X1596">
        <v>0</v>
      </c>
      <c r="Y1596" t="str">
        <f t="shared" si="24"/>
        <v>Low</v>
      </c>
    </row>
    <row r="1597" spans="1:25">
      <c r="A1597" t="s">
        <v>1710</v>
      </c>
      <c r="B1597" s="1">
        <v>44943</v>
      </c>
      <c r="C1597" s="2">
        <v>0.82291666666666663</v>
      </c>
      <c r="D1597" t="s">
        <v>34</v>
      </c>
      <c r="E1597" t="s">
        <v>52</v>
      </c>
      <c r="F1597" t="s">
        <v>116</v>
      </c>
      <c r="G1597" t="s">
        <v>49</v>
      </c>
      <c r="H1597" s="2">
        <v>0.82430555555555551</v>
      </c>
      <c r="I1597" s="2">
        <v>0.83819444444444446</v>
      </c>
      <c r="J1597">
        <v>12</v>
      </c>
      <c r="K1597">
        <v>0</v>
      </c>
      <c r="L1597" t="s">
        <v>54</v>
      </c>
      <c r="M1597">
        <v>7.2</v>
      </c>
      <c r="N1597">
        <v>84</v>
      </c>
      <c r="O1597">
        <v>49</v>
      </c>
      <c r="P1597">
        <v>4.5999999999999996</v>
      </c>
      <c r="Q1597" t="s">
        <v>31</v>
      </c>
      <c r="R1597">
        <v>0</v>
      </c>
      <c r="S1597">
        <v>43</v>
      </c>
      <c r="T1597">
        <v>0</v>
      </c>
      <c r="U1597">
        <v>0</v>
      </c>
      <c r="V1597">
        <v>1</v>
      </c>
      <c r="W1597" t="s">
        <v>55</v>
      </c>
      <c r="X1597">
        <v>0</v>
      </c>
      <c r="Y1597" t="str">
        <f t="shared" si="24"/>
        <v>Medium</v>
      </c>
    </row>
    <row r="1598" spans="1:25">
      <c r="A1598" t="s">
        <v>1711</v>
      </c>
      <c r="B1598" s="1">
        <v>44943</v>
      </c>
      <c r="C1598" s="2">
        <v>0.83333333333333337</v>
      </c>
      <c r="D1598" t="s">
        <v>34</v>
      </c>
      <c r="E1598" t="s">
        <v>48</v>
      </c>
      <c r="F1598" t="s">
        <v>168</v>
      </c>
      <c r="G1598" t="s">
        <v>49</v>
      </c>
      <c r="H1598" s="2">
        <v>0.8354166666666667</v>
      </c>
      <c r="I1598" s="2">
        <v>0.85902777777777772</v>
      </c>
      <c r="J1598">
        <v>4</v>
      </c>
      <c r="K1598">
        <v>11</v>
      </c>
      <c r="L1598" t="s">
        <v>30</v>
      </c>
      <c r="M1598">
        <v>-3.1</v>
      </c>
      <c r="N1598">
        <v>72</v>
      </c>
      <c r="O1598">
        <v>37</v>
      </c>
      <c r="P1598">
        <v>8.6</v>
      </c>
      <c r="Q1598" t="s">
        <v>46</v>
      </c>
      <c r="R1598">
        <v>0</v>
      </c>
      <c r="S1598">
        <v>25</v>
      </c>
      <c r="T1598">
        <v>0</v>
      </c>
      <c r="U1598">
        <v>0</v>
      </c>
      <c r="V1598">
        <v>1</v>
      </c>
      <c r="W1598" t="s">
        <v>39</v>
      </c>
      <c r="X1598">
        <v>1</v>
      </c>
      <c r="Y1598" t="str">
        <f t="shared" si="24"/>
        <v>Low</v>
      </c>
    </row>
    <row r="1599" spans="1:25">
      <c r="A1599" t="s">
        <v>1712</v>
      </c>
      <c r="B1599" s="1">
        <v>44943</v>
      </c>
      <c r="C1599" s="2">
        <v>0.84375</v>
      </c>
      <c r="D1599" t="s">
        <v>41</v>
      </c>
      <c r="E1599" t="s">
        <v>98</v>
      </c>
      <c r="F1599" t="s">
        <v>75</v>
      </c>
      <c r="G1599" t="s">
        <v>148</v>
      </c>
      <c r="H1599" s="2">
        <v>0.84444444444444444</v>
      </c>
      <c r="I1599" s="2">
        <v>0.87361111111111112</v>
      </c>
      <c r="J1599">
        <v>19</v>
      </c>
      <c r="K1599">
        <v>23</v>
      </c>
      <c r="L1599" t="s">
        <v>45</v>
      </c>
      <c r="M1599">
        <v>22</v>
      </c>
      <c r="N1599">
        <v>33</v>
      </c>
      <c r="O1599">
        <v>29</v>
      </c>
      <c r="P1599">
        <v>14.3</v>
      </c>
      <c r="Q1599" t="s">
        <v>31</v>
      </c>
      <c r="R1599">
        <v>0</v>
      </c>
      <c r="S1599">
        <v>76</v>
      </c>
      <c r="T1599">
        <v>0</v>
      </c>
      <c r="U1599">
        <v>1</v>
      </c>
      <c r="V1599">
        <v>1</v>
      </c>
      <c r="W1599" t="s">
        <v>32</v>
      </c>
      <c r="X1599">
        <v>1</v>
      </c>
      <c r="Y1599" t="str">
        <f t="shared" si="24"/>
        <v>High</v>
      </c>
    </row>
    <row r="1600" spans="1:25">
      <c r="A1600" t="s">
        <v>1713</v>
      </c>
      <c r="B1600" s="1">
        <v>44943</v>
      </c>
      <c r="C1600" s="2">
        <v>0.85416666666666663</v>
      </c>
      <c r="D1600" t="s">
        <v>34</v>
      </c>
      <c r="E1600" t="s">
        <v>161</v>
      </c>
      <c r="F1600" t="s">
        <v>176</v>
      </c>
      <c r="G1600" t="s">
        <v>49</v>
      </c>
      <c r="H1600" s="2">
        <v>0.85416666666666663</v>
      </c>
      <c r="I1600" s="2">
        <v>0.89375000000000004</v>
      </c>
      <c r="J1600">
        <v>18</v>
      </c>
      <c r="K1600">
        <v>4</v>
      </c>
      <c r="L1600" t="s">
        <v>54</v>
      </c>
      <c r="M1600">
        <v>26.5</v>
      </c>
      <c r="N1600">
        <v>89</v>
      </c>
      <c r="O1600">
        <v>45</v>
      </c>
      <c r="P1600">
        <v>2.7</v>
      </c>
      <c r="Q1600" t="s">
        <v>31</v>
      </c>
      <c r="R1600">
        <v>0</v>
      </c>
      <c r="S1600">
        <v>18</v>
      </c>
      <c r="T1600">
        <v>1</v>
      </c>
      <c r="U1600">
        <v>0</v>
      </c>
      <c r="V1600">
        <v>1</v>
      </c>
      <c r="W1600" t="s">
        <v>32</v>
      </c>
      <c r="X1600">
        <v>0</v>
      </c>
      <c r="Y1600" t="str">
        <f t="shared" si="24"/>
        <v>Low</v>
      </c>
    </row>
    <row r="1601" spans="1:25">
      <c r="A1601" t="s">
        <v>1714</v>
      </c>
      <c r="B1601" s="1">
        <v>44943</v>
      </c>
      <c r="C1601" s="2">
        <v>0.86458333333333337</v>
      </c>
      <c r="D1601" t="s">
        <v>41</v>
      </c>
      <c r="E1601" t="s">
        <v>93</v>
      </c>
      <c r="F1601" t="s">
        <v>86</v>
      </c>
      <c r="G1601" t="s">
        <v>49</v>
      </c>
      <c r="H1601" s="2">
        <v>0.8666666666666667</v>
      </c>
      <c r="I1601" s="2">
        <v>0.88472222222222219</v>
      </c>
      <c r="J1601">
        <v>10</v>
      </c>
      <c r="K1601">
        <v>19</v>
      </c>
      <c r="L1601" t="s">
        <v>38</v>
      </c>
      <c r="M1601">
        <v>33.299999999999997</v>
      </c>
      <c r="N1601">
        <v>41</v>
      </c>
      <c r="O1601">
        <v>42</v>
      </c>
      <c r="P1601">
        <v>14.8</v>
      </c>
      <c r="Q1601" t="s">
        <v>59</v>
      </c>
      <c r="R1601">
        <v>50000</v>
      </c>
      <c r="S1601">
        <v>47</v>
      </c>
      <c r="T1601">
        <v>0</v>
      </c>
      <c r="U1601">
        <v>0</v>
      </c>
      <c r="V1601">
        <v>1</v>
      </c>
      <c r="W1601" t="s">
        <v>39</v>
      </c>
      <c r="X1601">
        <v>1</v>
      </c>
      <c r="Y1601" t="str">
        <f t="shared" si="24"/>
        <v>Medium</v>
      </c>
    </row>
    <row r="1602" spans="1:25">
      <c r="A1602" t="s">
        <v>1715</v>
      </c>
      <c r="B1602" s="1">
        <v>44943</v>
      </c>
      <c r="C1602" s="2">
        <v>0.875</v>
      </c>
      <c r="D1602" t="s">
        <v>34</v>
      </c>
      <c r="E1602" t="s">
        <v>57</v>
      </c>
      <c r="F1602" t="s">
        <v>86</v>
      </c>
      <c r="G1602" t="s">
        <v>176</v>
      </c>
      <c r="H1602" s="2">
        <v>0.87708333333333333</v>
      </c>
      <c r="I1602" s="2">
        <v>0.90694444444444444</v>
      </c>
      <c r="J1602">
        <v>9</v>
      </c>
      <c r="K1602">
        <v>11</v>
      </c>
      <c r="L1602" t="s">
        <v>84</v>
      </c>
      <c r="M1602">
        <v>1.3</v>
      </c>
      <c r="N1602">
        <v>88</v>
      </c>
      <c r="O1602">
        <v>16</v>
      </c>
      <c r="P1602">
        <v>17.100000000000001</v>
      </c>
      <c r="Q1602" t="s">
        <v>46</v>
      </c>
      <c r="R1602">
        <v>0</v>
      </c>
      <c r="S1602">
        <v>80</v>
      </c>
      <c r="T1602">
        <v>0</v>
      </c>
      <c r="U1602">
        <v>0</v>
      </c>
      <c r="V1602">
        <v>1</v>
      </c>
      <c r="W1602" t="s">
        <v>32</v>
      </c>
      <c r="X1602">
        <v>1</v>
      </c>
      <c r="Y1602" t="str">
        <f t="shared" ref="Y1602:Y1665" si="25">IF(S1602&lt;=33,"Low",IF(S1602&lt;=66,"Medium","High"))</f>
        <v>High</v>
      </c>
    </row>
    <row r="1603" spans="1:25">
      <c r="A1603" t="s">
        <v>1716</v>
      </c>
      <c r="B1603" s="1">
        <v>44943</v>
      </c>
      <c r="C1603" s="2">
        <v>0.88541666666666663</v>
      </c>
      <c r="D1603" t="s">
        <v>26</v>
      </c>
      <c r="E1603" t="s">
        <v>130</v>
      </c>
      <c r="F1603" t="s">
        <v>49</v>
      </c>
      <c r="G1603" t="s">
        <v>105</v>
      </c>
      <c r="H1603" s="2">
        <v>0.88541666666666663</v>
      </c>
      <c r="I1603" s="2">
        <v>0.90694444444444444</v>
      </c>
      <c r="J1603">
        <v>9</v>
      </c>
      <c r="K1603">
        <v>23</v>
      </c>
      <c r="L1603" t="s">
        <v>54</v>
      </c>
      <c r="M1603">
        <v>10.7</v>
      </c>
      <c r="N1603">
        <v>83</v>
      </c>
      <c r="O1603">
        <v>8</v>
      </c>
      <c r="P1603">
        <v>13</v>
      </c>
      <c r="Q1603" t="s">
        <v>63</v>
      </c>
      <c r="R1603">
        <v>500</v>
      </c>
      <c r="S1603">
        <v>79</v>
      </c>
      <c r="T1603">
        <v>0</v>
      </c>
      <c r="U1603">
        <v>0</v>
      </c>
      <c r="V1603">
        <v>1</v>
      </c>
      <c r="W1603" t="s">
        <v>72</v>
      </c>
      <c r="X1603">
        <v>1</v>
      </c>
      <c r="Y1603" t="str">
        <f t="shared" si="25"/>
        <v>High</v>
      </c>
    </row>
    <row r="1604" spans="1:25">
      <c r="A1604" t="s">
        <v>1717</v>
      </c>
      <c r="B1604" s="1">
        <v>44943</v>
      </c>
      <c r="C1604" s="2">
        <v>0.89583333333333337</v>
      </c>
      <c r="D1604" t="s">
        <v>74</v>
      </c>
      <c r="E1604" t="s">
        <v>52</v>
      </c>
      <c r="F1604" t="s">
        <v>151</v>
      </c>
      <c r="G1604" t="s">
        <v>36</v>
      </c>
      <c r="H1604" s="2">
        <v>0.89722222222222225</v>
      </c>
      <c r="I1604" s="2">
        <v>0.91388888888888886</v>
      </c>
      <c r="J1604">
        <v>-1</v>
      </c>
      <c r="K1604">
        <v>27</v>
      </c>
      <c r="L1604" t="s">
        <v>45</v>
      </c>
      <c r="M1604">
        <v>28.8</v>
      </c>
      <c r="N1604">
        <v>73</v>
      </c>
      <c r="O1604">
        <v>27</v>
      </c>
      <c r="P1604">
        <v>0.9</v>
      </c>
      <c r="Q1604" t="s">
        <v>63</v>
      </c>
      <c r="R1604">
        <v>2000</v>
      </c>
      <c r="S1604">
        <v>29</v>
      </c>
      <c r="T1604">
        <v>0</v>
      </c>
      <c r="U1604">
        <v>0</v>
      </c>
      <c r="V1604">
        <v>1</v>
      </c>
      <c r="W1604" t="s">
        <v>39</v>
      </c>
      <c r="X1604">
        <v>1</v>
      </c>
      <c r="Y1604" t="str">
        <f t="shared" si="25"/>
        <v>Low</v>
      </c>
    </row>
    <row r="1605" spans="1:25">
      <c r="A1605" t="s">
        <v>1718</v>
      </c>
      <c r="B1605" s="1">
        <v>44943</v>
      </c>
      <c r="C1605" s="2">
        <v>0.90625</v>
      </c>
      <c r="D1605" t="s">
        <v>41</v>
      </c>
      <c r="E1605" t="s">
        <v>111</v>
      </c>
      <c r="F1605" t="s">
        <v>128</v>
      </c>
      <c r="G1605" t="s">
        <v>50</v>
      </c>
      <c r="H1605" s="2">
        <v>0.90694444444444444</v>
      </c>
      <c r="I1605" s="2">
        <v>0.93125000000000002</v>
      </c>
      <c r="J1605">
        <v>2</v>
      </c>
      <c r="K1605">
        <v>4</v>
      </c>
      <c r="L1605" t="s">
        <v>54</v>
      </c>
      <c r="M1605">
        <v>27.3</v>
      </c>
      <c r="N1605">
        <v>45</v>
      </c>
      <c r="O1605">
        <v>53</v>
      </c>
      <c r="P1605">
        <v>8.8000000000000007</v>
      </c>
      <c r="Q1605" t="s">
        <v>31</v>
      </c>
      <c r="R1605">
        <v>0</v>
      </c>
      <c r="S1605">
        <v>31</v>
      </c>
      <c r="T1605">
        <v>0</v>
      </c>
      <c r="U1605">
        <v>0</v>
      </c>
      <c r="V1605">
        <v>1</v>
      </c>
      <c r="W1605" t="s">
        <v>32</v>
      </c>
      <c r="X1605">
        <v>0</v>
      </c>
      <c r="Y1605" t="str">
        <f t="shared" si="25"/>
        <v>Low</v>
      </c>
    </row>
    <row r="1606" spans="1:25">
      <c r="A1606" t="s">
        <v>1719</v>
      </c>
      <c r="B1606" s="1">
        <v>44943</v>
      </c>
      <c r="C1606" s="2">
        <v>0.91666666666666663</v>
      </c>
      <c r="D1606" t="s">
        <v>34</v>
      </c>
      <c r="E1606" t="s">
        <v>130</v>
      </c>
      <c r="F1606" t="s">
        <v>185</v>
      </c>
      <c r="G1606" t="s">
        <v>37</v>
      </c>
      <c r="H1606" s="2">
        <v>0.91805555555555551</v>
      </c>
      <c r="I1606" s="2">
        <v>0.93055555555555558</v>
      </c>
      <c r="J1606">
        <v>-1</v>
      </c>
      <c r="K1606">
        <v>26</v>
      </c>
      <c r="L1606" t="s">
        <v>30</v>
      </c>
      <c r="M1606">
        <v>20</v>
      </c>
      <c r="N1606">
        <v>35</v>
      </c>
      <c r="O1606">
        <v>6</v>
      </c>
      <c r="P1606">
        <v>13.2</v>
      </c>
      <c r="Q1606" t="s">
        <v>101</v>
      </c>
      <c r="R1606">
        <v>0</v>
      </c>
      <c r="S1606">
        <v>77</v>
      </c>
      <c r="T1606">
        <v>0</v>
      </c>
      <c r="U1606">
        <v>0</v>
      </c>
      <c r="V1606">
        <v>1</v>
      </c>
      <c r="W1606" t="s">
        <v>72</v>
      </c>
      <c r="X1606">
        <v>1</v>
      </c>
      <c r="Y1606" t="str">
        <f t="shared" si="25"/>
        <v>High</v>
      </c>
    </row>
    <row r="1607" spans="1:25">
      <c r="A1607" t="s">
        <v>1720</v>
      </c>
      <c r="B1607" s="1">
        <v>44943</v>
      </c>
      <c r="C1607" s="2">
        <v>0.92708333333333337</v>
      </c>
      <c r="D1607" t="s">
        <v>26</v>
      </c>
      <c r="E1607" t="s">
        <v>42</v>
      </c>
      <c r="F1607" t="s">
        <v>70</v>
      </c>
      <c r="G1607" t="s">
        <v>91</v>
      </c>
      <c r="H1607" s="2">
        <v>0.9291666666666667</v>
      </c>
      <c r="I1607" s="2">
        <v>0.95833333333333337</v>
      </c>
      <c r="J1607">
        <v>17</v>
      </c>
      <c r="K1607">
        <v>14</v>
      </c>
      <c r="L1607" t="s">
        <v>30</v>
      </c>
      <c r="M1607">
        <v>5.8</v>
      </c>
      <c r="N1607">
        <v>43</v>
      </c>
      <c r="O1607">
        <v>45</v>
      </c>
      <c r="P1607">
        <v>19.600000000000001</v>
      </c>
      <c r="Q1607" t="s">
        <v>31</v>
      </c>
      <c r="R1607">
        <v>0</v>
      </c>
      <c r="S1607">
        <v>78</v>
      </c>
      <c r="T1607">
        <v>0</v>
      </c>
      <c r="U1607">
        <v>0</v>
      </c>
      <c r="V1607">
        <v>1</v>
      </c>
      <c r="W1607" t="s">
        <v>32</v>
      </c>
      <c r="X1607">
        <v>1</v>
      </c>
      <c r="Y1607" t="str">
        <f t="shared" si="25"/>
        <v>High</v>
      </c>
    </row>
    <row r="1608" spans="1:25">
      <c r="A1608" t="s">
        <v>1721</v>
      </c>
      <c r="B1608" s="1">
        <v>44943</v>
      </c>
      <c r="C1608" s="2">
        <v>0.9375</v>
      </c>
      <c r="D1608" t="s">
        <v>74</v>
      </c>
      <c r="E1608" t="s">
        <v>93</v>
      </c>
      <c r="F1608" t="s">
        <v>36</v>
      </c>
      <c r="G1608" t="s">
        <v>197</v>
      </c>
      <c r="H1608" s="2">
        <v>0.93819444444444444</v>
      </c>
      <c r="I1608" s="2">
        <v>0.96111111111111114</v>
      </c>
      <c r="J1608">
        <v>10</v>
      </c>
      <c r="K1608">
        <v>0</v>
      </c>
      <c r="L1608" t="s">
        <v>45</v>
      </c>
      <c r="M1608">
        <v>6.4</v>
      </c>
      <c r="N1608">
        <v>87</v>
      </c>
      <c r="O1608">
        <v>27</v>
      </c>
      <c r="P1608">
        <v>19</v>
      </c>
      <c r="Q1608" t="s">
        <v>46</v>
      </c>
      <c r="R1608">
        <v>0</v>
      </c>
      <c r="S1608">
        <v>75</v>
      </c>
      <c r="T1608">
        <v>0</v>
      </c>
      <c r="U1608">
        <v>1</v>
      </c>
      <c r="V1608">
        <v>1</v>
      </c>
      <c r="W1608" t="s">
        <v>72</v>
      </c>
      <c r="X1608">
        <v>0</v>
      </c>
      <c r="Y1608" t="str">
        <f t="shared" si="25"/>
        <v>High</v>
      </c>
    </row>
    <row r="1609" spans="1:25">
      <c r="A1609" t="s">
        <v>1722</v>
      </c>
      <c r="B1609" s="1">
        <v>44943</v>
      </c>
      <c r="C1609" s="2">
        <v>0.94791666666666663</v>
      </c>
      <c r="D1609" t="s">
        <v>41</v>
      </c>
      <c r="E1609" t="s">
        <v>126</v>
      </c>
      <c r="F1609" t="s">
        <v>105</v>
      </c>
      <c r="G1609" t="s">
        <v>144</v>
      </c>
      <c r="H1609" s="2">
        <v>0.9506944444444444</v>
      </c>
      <c r="I1609" s="2">
        <v>0.98402777777777772</v>
      </c>
      <c r="J1609">
        <v>0</v>
      </c>
      <c r="K1609">
        <v>18</v>
      </c>
      <c r="L1609" t="s">
        <v>30</v>
      </c>
      <c r="M1609">
        <v>0</v>
      </c>
      <c r="N1609">
        <v>60</v>
      </c>
      <c r="O1609">
        <v>16</v>
      </c>
      <c r="P1609">
        <v>7.9</v>
      </c>
      <c r="Q1609" t="s">
        <v>31</v>
      </c>
      <c r="R1609">
        <v>0</v>
      </c>
      <c r="S1609">
        <v>74</v>
      </c>
      <c r="T1609">
        <v>0</v>
      </c>
      <c r="U1609">
        <v>0</v>
      </c>
      <c r="V1609">
        <v>1</v>
      </c>
      <c r="W1609" t="s">
        <v>55</v>
      </c>
      <c r="X1609">
        <v>1</v>
      </c>
      <c r="Y1609" t="str">
        <f t="shared" si="25"/>
        <v>High</v>
      </c>
    </row>
    <row r="1610" spans="1:25">
      <c r="A1610" t="s">
        <v>1723</v>
      </c>
      <c r="B1610" s="1">
        <v>44943</v>
      </c>
      <c r="C1610" s="2">
        <v>0.95833333333333337</v>
      </c>
      <c r="D1610" t="s">
        <v>74</v>
      </c>
      <c r="E1610" t="s">
        <v>57</v>
      </c>
      <c r="F1610" t="s">
        <v>148</v>
      </c>
      <c r="G1610" t="s">
        <v>44</v>
      </c>
      <c r="H1610" s="2">
        <v>0.9604166666666667</v>
      </c>
      <c r="I1610" s="2">
        <v>0.99722222222222223</v>
      </c>
      <c r="J1610">
        <v>8</v>
      </c>
      <c r="K1610">
        <v>-1</v>
      </c>
      <c r="L1610" t="s">
        <v>54</v>
      </c>
      <c r="M1610">
        <v>31.9</v>
      </c>
      <c r="N1610">
        <v>70</v>
      </c>
      <c r="O1610">
        <v>39</v>
      </c>
      <c r="P1610">
        <v>12.3</v>
      </c>
      <c r="Q1610" t="s">
        <v>31</v>
      </c>
      <c r="R1610">
        <v>0</v>
      </c>
      <c r="S1610">
        <v>68</v>
      </c>
      <c r="T1610">
        <v>0</v>
      </c>
      <c r="U1610">
        <v>0</v>
      </c>
      <c r="V1610">
        <v>1</v>
      </c>
      <c r="W1610" t="s">
        <v>72</v>
      </c>
      <c r="X1610">
        <v>0</v>
      </c>
      <c r="Y1610" t="str">
        <f t="shared" si="25"/>
        <v>High</v>
      </c>
    </row>
    <row r="1611" spans="1:25">
      <c r="A1611" t="s">
        <v>1724</v>
      </c>
      <c r="B1611" s="1">
        <v>44943</v>
      </c>
      <c r="C1611" s="2">
        <v>0.96875</v>
      </c>
      <c r="D1611" t="s">
        <v>26</v>
      </c>
      <c r="E1611" t="s">
        <v>93</v>
      </c>
      <c r="F1611" t="s">
        <v>203</v>
      </c>
      <c r="G1611" t="s">
        <v>113</v>
      </c>
      <c r="H1611" s="2">
        <v>0.97013888888888888</v>
      </c>
      <c r="I1611" s="2">
        <v>3.472222222222222E-3</v>
      </c>
      <c r="J1611">
        <v>13</v>
      </c>
      <c r="K1611">
        <v>11</v>
      </c>
      <c r="L1611" t="s">
        <v>84</v>
      </c>
      <c r="M1611">
        <v>1.9</v>
      </c>
      <c r="N1611">
        <v>64</v>
      </c>
      <c r="O1611">
        <v>59</v>
      </c>
      <c r="P1611">
        <v>17.8</v>
      </c>
      <c r="Q1611" t="s">
        <v>101</v>
      </c>
      <c r="R1611">
        <v>0</v>
      </c>
      <c r="S1611">
        <v>10</v>
      </c>
      <c r="T1611">
        <v>0</v>
      </c>
      <c r="U1611">
        <v>0</v>
      </c>
      <c r="V1611">
        <v>1</v>
      </c>
      <c r="W1611" t="s">
        <v>32</v>
      </c>
      <c r="X1611">
        <v>1</v>
      </c>
      <c r="Y1611" t="str">
        <f t="shared" si="25"/>
        <v>Low</v>
      </c>
    </row>
    <row r="1612" spans="1:25">
      <c r="A1612" t="s">
        <v>1725</v>
      </c>
      <c r="B1612" s="1">
        <v>44943</v>
      </c>
      <c r="C1612" s="2">
        <v>0.97916666666666663</v>
      </c>
      <c r="D1612" t="s">
        <v>41</v>
      </c>
      <c r="E1612" t="s">
        <v>68</v>
      </c>
      <c r="F1612" t="s">
        <v>197</v>
      </c>
      <c r="G1612" t="s">
        <v>69</v>
      </c>
      <c r="H1612" s="2">
        <v>0.98055555555555551</v>
      </c>
      <c r="I1612" s="2">
        <v>1.6666666666666666E-2</v>
      </c>
      <c r="J1612">
        <v>-2</v>
      </c>
      <c r="K1612">
        <v>29</v>
      </c>
      <c r="L1612" t="s">
        <v>54</v>
      </c>
      <c r="M1612">
        <v>17.899999999999999</v>
      </c>
      <c r="N1612">
        <v>39</v>
      </c>
      <c r="O1612">
        <v>47</v>
      </c>
      <c r="P1612">
        <v>16.600000000000001</v>
      </c>
      <c r="Q1612" t="s">
        <v>31</v>
      </c>
      <c r="R1612">
        <v>10000</v>
      </c>
      <c r="S1612">
        <v>97</v>
      </c>
      <c r="T1612">
        <v>0</v>
      </c>
      <c r="U1612">
        <v>0</v>
      </c>
      <c r="V1612">
        <v>1</v>
      </c>
      <c r="W1612" t="s">
        <v>72</v>
      </c>
      <c r="X1612">
        <v>1</v>
      </c>
      <c r="Y1612" t="str">
        <f t="shared" si="25"/>
        <v>High</v>
      </c>
    </row>
    <row r="1613" spans="1:25">
      <c r="A1613" t="s">
        <v>1726</v>
      </c>
      <c r="B1613" s="1">
        <v>44943</v>
      </c>
      <c r="C1613" s="2">
        <v>0.98958333333333337</v>
      </c>
      <c r="D1613" t="s">
        <v>74</v>
      </c>
      <c r="E1613" t="s">
        <v>57</v>
      </c>
      <c r="F1613" t="s">
        <v>50</v>
      </c>
      <c r="G1613" t="s">
        <v>99</v>
      </c>
      <c r="H1613" s="2">
        <v>0.99097222222222225</v>
      </c>
      <c r="I1613" s="2">
        <v>3.472222222222222E-3</v>
      </c>
      <c r="J1613">
        <v>16</v>
      </c>
      <c r="K1613">
        <v>10</v>
      </c>
      <c r="L1613" t="s">
        <v>84</v>
      </c>
      <c r="M1613">
        <v>18.399999999999999</v>
      </c>
      <c r="N1613">
        <v>59</v>
      </c>
      <c r="O1613">
        <v>43</v>
      </c>
      <c r="P1613">
        <v>9.6</v>
      </c>
      <c r="Q1613" t="s">
        <v>71</v>
      </c>
      <c r="R1613">
        <v>10000</v>
      </c>
      <c r="S1613">
        <v>82</v>
      </c>
      <c r="T1613">
        <v>0</v>
      </c>
      <c r="U1613">
        <v>0</v>
      </c>
      <c r="V1613">
        <v>1</v>
      </c>
      <c r="W1613" t="s">
        <v>32</v>
      </c>
      <c r="X1613">
        <v>1</v>
      </c>
      <c r="Y1613" t="str">
        <f t="shared" si="25"/>
        <v>High</v>
      </c>
    </row>
    <row r="1614" spans="1:25">
      <c r="A1614" t="s">
        <v>1727</v>
      </c>
      <c r="B1614" s="1">
        <v>44944</v>
      </c>
      <c r="C1614" s="2">
        <v>0</v>
      </c>
      <c r="D1614" t="s">
        <v>34</v>
      </c>
      <c r="E1614" t="s">
        <v>111</v>
      </c>
      <c r="F1614" t="s">
        <v>69</v>
      </c>
      <c r="G1614" t="s">
        <v>144</v>
      </c>
      <c r="H1614" s="2">
        <v>0</v>
      </c>
      <c r="I1614" s="2">
        <v>1.8749999999999999E-2</v>
      </c>
      <c r="J1614">
        <v>8</v>
      </c>
      <c r="K1614">
        <v>-3</v>
      </c>
      <c r="L1614" t="s">
        <v>30</v>
      </c>
      <c r="M1614">
        <v>9.8000000000000007</v>
      </c>
      <c r="N1614">
        <v>73</v>
      </c>
      <c r="O1614">
        <v>43</v>
      </c>
      <c r="P1614">
        <v>5.2</v>
      </c>
      <c r="Q1614" t="s">
        <v>31</v>
      </c>
      <c r="R1614">
        <v>2000</v>
      </c>
      <c r="S1614">
        <v>25</v>
      </c>
      <c r="T1614">
        <v>0</v>
      </c>
      <c r="U1614">
        <v>0</v>
      </c>
      <c r="V1614">
        <v>2</v>
      </c>
      <c r="W1614" t="s">
        <v>39</v>
      </c>
      <c r="X1614">
        <v>0</v>
      </c>
      <c r="Y1614" t="str">
        <f t="shared" si="25"/>
        <v>Low</v>
      </c>
    </row>
    <row r="1615" spans="1:25">
      <c r="A1615" t="s">
        <v>1728</v>
      </c>
      <c r="B1615" s="1">
        <v>44944</v>
      </c>
      <c r="C1615" s="2">
        <v>1.0416666666666666E-2</v>
      </c>
      <c r="D1615" t="s">
        <v>41</v>
      </c>
      <c r="E1615" t="s">
        <v>57</v>
      </c>
      <c r="F1615" t="s">
        <v>163</v>
      </c>
      <c r="G1615" t="s">
        <v>135</v>
      </c>
      <c r="H1615" s="2">
        <v>1.2500000000000001E-2</v>
      </c>
      <c r="I1615" s="2">
        <v>3.1944444444444442E-2</v>
      </c>
      <c r="J1615">
        <v>6</v>
      </c>
      <c r="K1615">
        <v>22</v>
      </c>
      <c r="L1615" t="s">
        <v>54</v>
      </c>
      <c r="M1615">
        <v>9.1</v>
      </c>
      <c r="N1615">
        <v>84</v>
      </c>
      <c r="O1615">
        <v>59</v>
      </c>
      <c r="P1615">
        <v>2.7</v>
      </c>
      <c r="Q1615" t="s">
        <v>31</v>
      </c>
      <c r="R1615">
        <v>0</v>
      </c>
      <c r="S1615">
        <v>25</v>
      </c>
      <c r="T1615">
        <v>0</v>
      </c>
      <c r="U1615">
        <v>0</v>
      </c>
      <c r="V1615">
        <v>2</v>
      </c>
      <c r="W1615" t="s">
        <v>39</v>
      </c>
      <c r="X1615">
        <v>1</v>
      </c>
      <c r="Y1615" t="str">
        <f t="shared" si="25"/>
        <v>Low</v>
      </c>
    </row>
    <row r="1616" spans="1:25">
      <c r="A1616" t="s">
        <v>1729</v>
      </c>
      <c r="B1616" s="1">
        <v>44944</v>
      </c>
      <c r="C1616" s="2">
        <v>2.0833333333333332E-2</v>
      </c>
      <c r="D1616" t="s">
        <v>74</v>
      </c>
      <c r="E1616" t="s">
        <v>52</v>
      </c>
      <c r="F1616" t="s">
        <v>185</v>
      </c>
      <c r="G1616" t="s">
        <v>36</v>
      </c>
      <c r="H1616" s="2">
        <v>2.1527777777777778E-2</v>
      </c>
      <c r="I1616" s="2">
        <v>4.7222222222222221E-2</v>
      </c>
      <c r="J1616">
        <v>11</v>
      </c>
      <c r="K1616">
        <v>4</v>
      </c>
      <c r="L1616" t="s">
        <v>30</v>
      </c>
      <c r="M1616">
        <v>21.7</v>
      </c>
      <c r="N1616">
        <v>47</v>
      </c>
      <c r="O1616">
        <v>59</v>
      </c>
      <c r="P1616">
        <v>9.8000000000000007</v>
      </c>
      <c r="Q1616" t="s">
        <v>31</v>
      </c>
      <c r="R1616">
        <v>0</v>
      </c>
      <c r="S1616">
        <v>16</v>
      </c>
      <c r="T1616">
        <v>0</v>
      </c>
      <c r="U1616">
        <v>0</v>
      </c>
      <c r="V1616">
        <v>2</v>
      </c>
      <c r="W1616" t="s">
        <v>55</v>
      </c>
      <c r="X1616">
        <v>0</v>
      </c>
      <c r="Y1616" t="str">
        <f t="shared" si="25"/>
        <v>Low</v>
      </c>
    </row>
    <row r="1617" spans="1:25">
      <c r="A1617" t="s">
        <v>1730</v>
      </c>
      <c r="B1617" s="1">
        <v>44944</v>
      </c>
      <c r="C1617" s="2">
        <v>3.125E-2</v>
      </c>
      <c r="D1617" t="s">
        <v>26</v>
      </c>
      <c r="E1617" t="s">
        <v>147</v>
      </c>
      <c r="F1617" t="s">
        <v>128</v>
      </c>
      <c r="G1617" t="s">
        <v>91</v>
      </c>
      <c r="H1617" s="2">
        <v>3.2638888888888891E-2</v>
      </c>
      <c r="I1617" s="2">
        <v>6.1805555555555558E-2</v>
      </c>
      <c r="J1617">
        <v>6</v>
      </c>
      <c r="K1617">
        <v>12</v>
      </c>
      <c r="L1617" t="s">
        <v>84</v>
      </c>
      <c r="M1617">
        <v>10.5</v>
      </c>
      <c r="N1617">
        <v>68</v>
      </c>
      <c r="O1617">
        <v>4</v>
      </c>
      <c r="P1617">
        <v>14.5</v>
      </c>
      <c r="Q1617" t="s">
        <v>71</v>
      </c>
      <c r="R1617">
        <v>0</v>
      </c>
      <c r="S1617">
        <v>94</v>
      </c>
      <c r="T1617">
        <v>0</v>
      </c>
      <c r="U1617">
        <v>0</v>
      </c>
      <c r="V1617">
        <v>2</v>
      </c>
      <c r="W1617" t="s">
        <v>72</v>
      </c>
      <c r="X1617">
        <v>1</v>
      </c>
      <c r="Y1617" t="str">
        <f t="shared" si="25"/>
        <v>High</v>
      </c>
    </row>
    <row r="1618" spans="1:25">
      <c r="A1618" t="s">
        <v>1731</v>
      </c>
      <c r="B1618" s="1">
        <v>44944</v>
      </c>
      <c r="C1618" s="2">
        <v>4.1666666666666664E-2</v>
      </c>
      <c r="D1618" t="s">
        <v>26</v>
      </c>
      <c r="E1618" t="s">
        <v>126</v>
      </c>
      <c r="F1618" t="s">
        <v>37</v>
      </c>
      <c r="G1618" t="s">
        <v>100</v>
      </c>
      <c r="H1618" s="2">
        <v>4.3055555555555555E-2</v>
      </c>
      <c r="I1618" s="2">
        <v>7.7083333333333337E-2</v>
      </c>
      <c r="J1618">
        <v>4</v>
      </c>
      <c r="K1618">
        <v>6</v>
      </c>
      <c r="L1618" t="s">
        <v>30</v>
      </c>
      <c r="M1618">
        <v>5.2</v>
      </c>
      <c r="N1618">
        <v>71</v>
      </c>
      <c r="O1618">
        <v>4</v>
      </c>
      <c r="P1618">
        <v>19.399999999999999</v>
      </c>
      <c r="Q1618" t="s">
        <v>31</v>
      </c>
      <c r="R1618">
        <v>0</v>
      </c>
      <c r="S1618">
        <v>82</v>
      </c>
      <c r="T1618">
        <v>0</v>
      </c>
      <c r="U1618">
        <v>1</v>
      </c>
      <c r="V1618">
        <v>2</v>
      </c>
      <c r="W1618" t="s">
        <v>55</v>
      </c>
      <c r="X1618">
        <v>1</v>
      </c>
      <c r="Y1618" t="str">
        <f t="shared" si="25"/>
        <v>High</v>
      </c>
    </row>
    <row r="1619" spans="1:25">
      <c r="A1619" t="s">
        <v>1732</v>
      </c>
      <c r="B1619" s="1">
        <v>44944</v>
      </c>
      <c r="C1619" s="2">
        <v>5.2083333333333336E-2</v>
      </c>
      <c r="D1619" t="s">
        <v>41</v>
      </c>
      <c r="E1619" t="s">
        <v>161</v>
      </c>
      <c r="F1619" t="s">
        <v>83</v>
      </c>
      <c r="G1619" t="s">
        <v>36</v>
      </c>
      <c r="H1619" s="2">
        <v>5.2083333333333336E-2</v>
      </c>
      <c r="I1619" s="2">
        <v>7.3611111111111113E-2</v>
      </c>
      <c r="J1619">
        <v>13</v>
      </c>
      <c r="K1619">
        <v>22</v>
      </c>
      <c r="L1619" t="s">
        <v>77</v>
      </c>
      <c r="M1619">
        <v>11</v>
      </c>
      <c r="N1619">
        <v>83</v>
      </c>
      <c r="O1619">
        <v>13</v>
      </c>
      <c r="P1619">
        <v>17.2</v>
      </c>
      <c r="Q1619" t="s">
        <v>31</v>
      </c>
      <c r="R1619">
        <v>0</v>
      </c>
      <c r="S1619">
        <v>43</v>
      </c>
      <c r="T1619">
        <v>0</v>
      </c>
      <c r="U1619">
        <v>0</v>
      </c>
      <c r="V1619">
        <v>2</v>
      </c>
      <c r="W1619" t="s">
        <v>39</v>
      </c>
      <c r="X1619">
        <v>1</v>
      </c>
      <c r="Y1619" t="str">
        <f t="shared" si="25"/>
        <v>Medium</v>
      </c>
    </row>
    <row r="1620" spans="1:25">
      <c r="A1620" t="s">
        <v>1733</v>
      </c>
      <c r="B1620" s="1">
        <v>44944</v>
      </c>
      <c r="C1620" s="2">
        <v>6.25E-2</v>
      </c>
      <c r="D1620" t="s">
        <v>74</v>
      </c>
      <c r="E1620" t="s">
        <v>104</v>
      </c>
      <c r="F1620" t="s">
        <v>43</v>
      </c>
      <c r="G1620" t="s">
        <v>49</v>
      </c>
      <c r="H1620" s="2">
        <v>6.3194444444444442E-2</v>
      </c>
      <c r="I1620" s="2">
        <v>8.4722222222222227E-2</v>
      </c>
      <c r="J1620">
        <v>0</v>
      </c>
      <c r="K1620">
        <v>24</v>
      </c>
      <c r="L1620" t="s">
        <v>38</v>
      </c>
      <c r="M1620">
        <v>27.3</v>
      </c>
      <c r="N1620">
        <v>59</v>
      </c>
      <c r="O1620">
        <v>5</v>
      </c>
      <c r="P1620">
        <v>4.0999999999999996</v>
      </c>
      <c r="Q1620" t="s">
        <v>46</v>
      </c>
      <c r="R1620">
        <v>50000</v>
      </c>
      <c r="S1620">
        <v>83</v>
      </c>
      <c r="T1620">
        <v>0</v>
      </c>
      <c r="U1620">
        <v>1</v>
      </c>
      <c r="V1620">
        <v>2</v>
      </c>
      <c r="W1620" t="s">
        <v>72</v>
      </c>
      <c r="X1620">
        <v>1</v>
      </c>
      <c r="Y1620" t="str">
        <f t="shared" si="25"/>
        <v>High</v>
      </c>
    </row>
    <row r="1621" spans="1:25">
      <c r="A1621" t="s">
        <v>1734</v>
      </c>
      <c r="B1621" s="1">
        <v>44944</v>
      </c>
      <c r="C1621" s="2">
        <v>7.2916666666666671E-2</v>
      </c>
      <c r="D1621" t="s">
        <v>41</v>
      </c>
      <c r="E1621" t="s">
        <v>57</v>
      </c>
      <c r="F1621" t="s">
        <v>176</v>
      </c>
      <c r="G1621" t="s">
        <v>123</v>
      </c>
      <c r="H1621" s="2">
        <v>7.4999999999999997E-2</v>
      </c>
      <c r="I1621" s="2">
        <v>0.10555555555555556</v>
      </c>
      <c r="J1621">
        <v>16</v>
      </c>
      <c r="K1621">
        <v>8</v>
      </c>
      <c r="L1621" t="s">
        <v>54</v>
      </c>
      <c r="M1621">
        <v>33.700000000000003</v>
      </c>
      <c r="N1621">
        <v>49</v>
      </c>
      <c r="O1621">
        <v>6</v>
      </c>
      <c r="P1621">
        <v>14.4</v>
      </c>
      <c r="Q1621" t="s">
        <v>31</v>
      </c>
      <c r="R1621">
        <v>0</v>
      </c>
      <c r="S1621">
        <v>22</v>
      </c>
      <c r="T1621">
        <v>0</v>
      </c>
      <c r="U1621">
        <v>1</v>
      </c>
      <c r="V1621">
        <v>2</v>
      </c>
      <c r="W1621" t="s">
        <v>72</v>
      </c>
      <c r="X1621">
        <v>1</v>
      </c>
      <c r="Y1621" t="str">
        <f t="shared" si="25"/>
        <v>Low</v>
      </c>
    </row>
    <row r="1622" spans="1:25">
      <c r="A1622" t="s">
        <v>1735</v>
      </c>
      <c r="B1622" s="1">
        <v>44944</v>
      </c>
      <c r="C1622" s="2">
        <v>8.3333333333333329E-2</v>
      </c>
      <c r="D1622" t="s">
        <v>41</v>
      </c>
      <c r="E1622" t="s">
        <v>98</v>
      </c>
      <c r="F1622" t="s">
        <v>163</v>
      </c>
      <c r="G1622" t="s">
        <v>86</v>
      </c>
      <c r="H1622" s="2">
        <v>8.611111111111111E-2</v>
      </c>
      <c r="I1622" s="2">
        <v>9.7222222222222224E-2</v>
      </c>
      <c r="J1622">
        <v>1</v>
      </c>
      <c r="K1622">
        <v>16</v>
      </c>
      <c r="L1622" t="s">
        <v>77</v>
      </c>
      <c r="M1622">
        <v>20.399999999999999</v>
      </c>
      <c r="N1622">
        <v>71</v>
      </c>
      <c r="O1622">
        <v>54</v>
      </c>
      <c r="P1622">
        <v>5.8</v>
      </c>
      <c r="Q1622" t="s">
        <v>31</v>
      </c>
      <c r="R1622">
        <v>0</v>
      </c>
      <c r="S1622">
        <v>24</v>
      </c>
      <c r="T1622">
        <v>0</v>
      </c>
      <c r="U1622">
        <v>1</v>
      </c>
      <c r="V1622">
        <v>2</v>
      </c>
      <c r="W1622" t="s">
        <v>55</v>
      </c>
      <c r="X1622">
        <v>1</v>
      </c>
      <c r="Y1622" t="str">
        <f t="shared" si="25"/>
        <v>Low</v>
      </c>
    </row>
    <row r="1623" spans="1:25">
      <c r="A1623" t="s">
        <v>1736</v>
      </c>
      <c r="B1623" s="1">
        <v>44944</v>
      </c>
      <c r="C1623" s="2">
        <v>9.375E-2</v>
      </c>
      <c r="D1623" t="s">
        <v>74</v>
      </c>
      <c r="E1623" t="s">
        <v>147</v>
      </c>
      <c r="F1623" t="s">
        <v>50</v>
      </c>
      <c r="G1623" t="s">
        <v>122</v>
      </c>
      <c r="H1623" s="2">
        <v>9.375E-2</v>
      </c>
      <c r="I1623" s="2">
        <v>0.1111111111111111</v>
      </c>
      <c r="J1623">
        <v>4</v>
      </c>
      <c r="K1623">
        <v>10</v>
      </c>
      <c r="L1623" t="s">
        <v>30</v>
      </c>
      <c r="M1623">
        <v>26.3</v>
      </c>
      <c r="N1623">
        <v>34</v>
      </c>
      <c r="O1623">
        <v>52</v>
      </c>
      <c r="P1623">
        <v>13.7</v>
      </c>
      <c r="Q1623" t="s">
        <v>101</v>
      </c>
      <c r="R1623">
        <v>500</v>
      </c>
      <c r="S1623">
        <v>91</v>
      </c>
      <c r="T1623">
        <v>0</v>
      </c>
      <c r="U1623">
        <v>1</v>
      </c>
      <c r="V1623">
        <v>2</v>
      </c>
      <c r="W1623" t="s">
        <v>55</v>
      </c>
      <c r="X1623">
        <v>1</v>
      </c>
      <c r="Y1623" t="str">
        <f t="shared" si="25"/>
        <v>High</v>
      </c>
    </row>
    <row r="1624" spans="1:25">
      <c r="A1624" t="s">
        <v>1737</v>
      </c>
      <c r="B1624" s="1">
        <v>44944</v>
      </c>
      <c r="C1624" s="2">
        <v>0.10416666666666667</v>
      </c>
      <c r="D1624" t="s">
        <v>74</v>
      </c>
      <c r="E1624" t="s">
        <v>89</v>
      </c>
      <c r="F1624" t="s">
        <v>128</v>
      </c>
      <c r="G1624" t="s">
        <v>194</v>
      </c>
      <c r="H1624" s="2">
        <v>0.10625</v>
      </c>
      <c r="I1624" s="2">
        <v>0.12291666666666666</v>
      </c>
      <c r="J1624">
        <v>9</v>
      </c>
      <c r="K1624">
        <v>25</v>
      </c>
      <c r="L1624" t="s">
        <v>30</v>
      </c>
      <c r="M1624">
        <v>16.3</v>
      </c>
      <c r="N1624">
        <v>79</v>
      </c>
      <c r="O1624">
        <v>16</v>
      </c>
      <c r="P1624">
        <v>13.3</v>
      </c>
      <c r="Q1624" t="s">
        <v>31</v>
      </c>
      <c r="R1624">
        <v>10000</v>
      </c>
      <c r="S1624">
        <v>36</v>
      </c>
      <c r="T1624">
        <v>0</v>
      </c>
      <c r="U1624">
        <v>0</v>
      </c>
      <c r="V1624">
        <v>2</v>
      </c>
      <c r="W1624" t="s">
        <v>72</v>
      </c>
      <c r="X1624">
        <v>1</v>
      </c>
      <c r="Y1624" t="str">
        <f t="shared" si="25"/>
        <v>Medium</v>
      </c>
    </row>
    <row r="1625" spans="1:25">
      <c r="A1625" t="s">
        <v>1738</v>
      </c>
      <c r="B1625" s="1">
        <v>44944</v>
      </c>
      <c r="C1625" s="2">
        <v>0.11458333333333333</v>
      </c>
      <c r="D1625" t="s">
        <v>34</v>
      </c>
      <c r="E1625" t="s">
        <v>89</v>
      </c>
      <c r="F1625" t="s">
        <v>100</v>
      </c>
      <c r="G1625" t="s">
        <v>176</v>
      </c>
      <c r="H1625" s="2">
        <v>0.11736111111111111</v>
      </c>
      <c r="I1625" s="2">
        <v>0.13055555555555556</v>
      </c>
      <c r="J1625">
        <v>15</v>
      </c>
      <c r="K1625">
        <v>8</v>
      </c>
      <c r="L1625" t="s">
        <v>38</v>
      </c>
      <c r="M1625">
        <v>20</v>
      </c>
      <c r="N1625">
        <v>70</v>
      </c>
      <c r="O1625">
        <v>58</v>
      </c>
      <c r="P1625">
        <v>5.4</v>
      </c>
      <c r="Q1625" t="s">
        <v>31</v>
      </c>
      <c r="R1625">
        <v>0</v>
      </c>
      <c r="S1625">
        <v>75</v>
      </c>
      <c r="T1625">
        <v>0</v>
      </c>
      <c r="U1625">
        <v>0</v>
      </c>
      <c r="V1625">
        <v>2</v>
      </c>
      <c r="W1625" t="s">
        <v>72</v>
      </c>
      <c r="X1625">
        <v>1</v>
      </c>
      <c r="Y1625" t="str">
        <f t="shared" si="25"/>
        <v>High</v>
      </c>
    </row>
    <row r="1626" spans="1:25">
      <c r="A1626" t="s">
        <v>1739</v>
      </c>
      <c r="B1626" s="1">
        <v>44944</v>
      </c>
      <c r="C1626" s="2">
        <v>0.125</v>
      </c>
      <c r="D1626" t="s">
        <v>74</v>
      </c>
      <c r="E1626" t="s">
        <v>61</v>
      </c>
      <c r="F1626" t="s">
        <v>154</v>
      </c>
      <c r="G1626" t="s">
        <v>176</v>
      </c>
      <c r="H1626" s="2">
        <v>0.12638888888888888</v>
      </c>
      <c r="I1626" s="2">
        <v>0.14166666666666666</v>
      </c>
      <c r="J1626">
        <v>2</v>
      </c>
      <c r="K1626">
        <v>14</v>
      </c>
      <c r="L1626" t="s">
        <v>30</v>
      </c>
      <c r="M1626">
        <v>34.5</v>
      </c>
      <c r="N1626">
        <v>68</v>
      </c>
      <c r="O1626">
        <v>8</v>
      </c>
      <c r="P1626">
        <v>4.7</v>
      </c>
      <c r="Q1626" t="s">
        <v>46</v>
      </c>
      <c r="R1626">
        <v>0</v>
      </c>
      <c r="S1626">
        <v>64</v>
      </c>
      <c r="T1626">
        <v>0</v>
      </c>
      <c r="U1626">
        <v>0</v>
      </c>
      <c r="V1626">
        <v>2</v>
      </c>
      <c r="W1626" t="s">
        <v>72</v>
      </c>
      <c r="X1626">
        <v>1</v>
      </c>
      <c r="Y1626" t="str">
        <f t="shared" si="25"/>
        <v>Medium</v>
      </c>
    </row>
    <row r="1627" spans="1:25">
      <c r="A1627" t="s">
        <v>1740</v>
      </c>
      <c r="B1627" s="1">
        <v>44944</v>
      </c>
      <c r="C1627" s="2">
        <v>0.13541666666666666</v>
      </c>
      <c r="D1627" t="s">
        <v>26</v>
      </c>
      <c r="E1627" t="s">
        <v>57</v>
      </c>
      <c r="F1627" t="s">
        <v>163</v>
      </c>
      <c r="G1627" t="s">
        <v>122</v>
      </c>
      <c r="H1627" s="2">
        <v>0.13680555555555557</v>
      </c>
      <c r="I1627" s="2">
        <v>0.16597222222222222</v>
      </c>
      <c r="J1627">
        <v>19</v>
      </c>
      <c r="K1627">
        <v>-2</v>
      </c>
      <c r="L1627" t="s">
        <v>38</v>
      </c>
      <c r="M1627">
        <v>12.5</v>
      </c>
      <c r="N1627">
        <v>86</v>
      </c>
      <c r="O1627">
        <v>30</v>
      </c>
      <c r="P1627">
        <v>2.1</v>
      </c>
      <c r="Q1627" t="s">
        <v>46</v>
      </c>
      <c r="R1627">
        <v>10000</v>
      </c>
      <c r="S1627">
        <v>1</v>
      </c>
      <c r="T1627">
        <v>0</v>
      </c>
      <c r="U1627">
        <v>1</v>
      </c>
      <c r="V1627">
        <v>2</v>
      </c>
      <c r="W1627" t="s">
        <v>55</v>
      </c>
      <c r="X1627">
        <v>0</v>
      </c>
      <c r="Y1627" t="str">
        <f t="shared" si="25"/>
        <v>Low</v>
      </c>
    </row>
    <row r="1628" spans="1:25">
      <c r="A1628" t="s">
        <v>1741</v>
      </c>
      <c r="B1628" s="1">
        <v>44944</v>
      </c>
      <c r="C1628" s="2">
        <v>0.14583333333333334</v>
      </c>
      <c r="D1628" t="s">
        <v>41</v>
      </c>
      <c r="E1628" t="s">
        <v>89</v>
      </c>
      <c r="F1628" t="s">
        <v>154</v>
      </c>
      <c r="G1628" t="s">
        <v>203</v>
      </c>
      <c r="H1628" s="2">
        <v>0.14652777777777778</v>
      </c>
      <c r="I1628" s="2">
        <v>0.17430555555555555</v>
      </c>
      <c r="J1628">
        <v>7</v>
      </c>
      <c r="K1628">
        <v>-2</v>
      </c>
      <c r="L1628" t="s">
        <v>54</v>
      </c>
      <c r="M1628">
        <v>-2.2999999999999998</v>
      </c>
      <c r="N1628">
        <v>86</v>
      </c>
      <c r="O1628">
        <v>21</v>
      </c>
      <c r="P1628">
        <v>1</v>
      </c>
      <c r="Q1628" t="s">
        <v>46</v>
      </c>
      <c r="R1628">
        <v>0</v>
      </c>
      <c r="S1628">
        <v>73</v>
      </c>
      <c r="T1628">
        <v>0</v>
      </c>
      <c r="U1628">
        <v>0</v>
      </c>
      <c r="V1628">
        <v>2</v>
      </c>
      <c r="W1628" t="s">
        <v>32</v>
      </c>
      <c r="X1628">
        <v>0</v>
      </c>
      <c r="Y1628" t="str">
        <f t="shared" si="25"/>
        <v>High</v>
      </c>
    </row>
    <row r="1629" spans="1:25">
      <c r="A1629" t="s">
        <v>1742</v>
      </c>
      <c r="B1629" s="1">
        <v>44944</v>
      </c>
      <c r="C1629" s="2">
        <v>0.15625</v>
      </c>
      <c r="D1629" t="s">
        <v>41</v>
      </c>
      <c r="E1629" t="s">
        <v>57</v>
      </c>
      <c r="F1629" t="s">
        <v>87</v>
      </c>
      <c r="G1629" t="s">
        <v>80</v>
      </c>
      <c r="H1629" s="2">
        <v>0.15902777777777777</v>
      </c>
      <c r="I1629" s="2">
        <v>0.18888888888888888</v>
      </c>
      <c r="J1629">
        <v>9</v>
      </c>
      <c r="K1629">
        <v>13</v>
      </c>
      <c r="L1629" t="s">
        <v>84</v>
      </c>
      <c r="M1629">
        <v>33.299999999999997</v>
      </c>
      <c r="N1629">
        <v>66</v>
      </c>
      <c r="O1629">
        <v>44</v>
      </c>
      <c r="P1629">
        <v>17.2</v>
      </c>
      <c r="Q1629" t="s">
        <v>63</v>
      </c>
      <c r="R1629">
        <v>500</v>
      </c>
      <c r="S1629">
        <v>97</v>
      </c>
      <c r="T1629">
        <v>0</v>
      </c>
      <c r="U1629">
        <v>0</v>
      </c>
      <c r="V1629">
        <v>2</v>
      </c>
      <c r="W1629" t="s">
        <v>39</v>
      </c>
      <c r="X1629">
        <v>1</v>
      </c>
      <c r="Y1629" t="str">
        <f t="shared" si="25"/>
        <v>High</v>
      </c>
    </row>
    <row r="1630" spans="1:25">
      <c r="A1630" t="s">
        <v>1743</v>
      </c>
      <c r="B1630" s="1">
        <v>44944</v>
      </c>
      <c r="C1630" s="2">
        <v>0.16666666666666666</v>
      </c>
      <c r="D1630" t="s">
        <v>26</v>
      </c>
      <c r="E1630" t="s">
        <v>48</v>
      </c>
      <c r="F1630" t="s">
        <v>69</v>
      </c>
      <c r="G1630" t="s">
        <v>109</v>
      </c>
      <c r="H1630" s="2">
        <v>0.16805555555555557</v>
      </c>
      <c r="I1630" s="2">
        <v>0.20694444444444443</v>
      </c>
      <c r="J1630">
        <v>5</v>
      </c>
      <c r="K1630">
        <v>6</v>
      </c>
      <c r="L1630" t="s">
        <v>38</v>
      </c>
      <c r="M1630">
        <v>26.7</v>
      </c>
      <c r="N1630">
        <v>36</v>
      </c>
      <c r="O1630">
        <v>8</v>
      </c>
      <c r="P1630">
        <v>1</v>
      </c>
      <c r="Q1630" t="s">
        <v>31</v>
      </c>
      <c r="R1630">
        <v>10000</v>
      </c>
      <c r="S1630">
        <v>31</v>
      </c>
      <c r="T1630">
        <v>0</v>
      </c>
      <c r="U1630">
        <v>0</v>
      </c>
      <c r="V1630">
        <v>2</v>
      </c>
      <c r="W1630" t="s">
        <v>39</v>
      </c>
      <c r="X1630">
        <v>1</v>
      </c>
      <c r="Y1630" t="str">
        <f t="shared" si="25"/>
        <v>Low</v>
      </c>
    </row>
    <row r="1631" spans="1:25">
      <c r="A1631" t="s">
        <v>1744</v>
      </c>
      <c r="B1631" s="1">
        <v>44944</v>
      </c>
      <c r="C1631" s="2">
        <v>0.17708333333333334</v>
      </c>
      <c r="D1631" t="s">
        <v>74</v>
      </c>
      <c r="E1631" t="s">
        <v>104</v>
      </c>
      <c r="F1631" t="s">
        <v>58</v>
      </c>
      <c r="G1631" t="s">
        <v>36</v>
      </c>
      <c r="H1631" s="2">
        <v>0.17847222222222223</v>
      </c>
      <c r="I1631" s="2">
        <v>0.20624999999999999</v>
      </c>
      <c r="J1631">
        <v>16</v>
      </c>
      <c r="K1631">
        <v>14</v>
      </c>
      <c r="L1631" t="s">
        <v>38</v>
      </c>
      <c r="M1631">
        <v>10.9</v>
      </c>
      <c r="N1631">
        <v>34</v>
      </c>
      <c r="O1631">
        <v>58</v>
      </c>
      <c r="P1631">
        <v>1.8</v>
      </c>
      <c r="Q1631" t="s">
        <v>63</v>
      </c>
      <c r="R1631">
        <v>50000</v>
      </c>
      <c r="S1631">
        <v>88</v>
      </c>
      <c r="T1631">
        <v>0</v>
      </c>
      <c r="U1631">
        <v>0</v>
      </c>
      <c r="V1631">
        <v>2</v>
      </c>
      <c r="W1631" t="s">
        <v>55</v>
      </c>
      <c r="X1631">
        <v>1</v>
      </c>
      <c r="Y1631" t="str">
        <f t="shared" si="25"/>
        <v>High</v>
      </c>
    </row>
    <row r="1632" spans="1:25">
      <c r="A1632" t="s">
        <v>1745</v>
      </c>
      <c r="B1632" s="1">
        <v>44944</v>
      </c>
      <c r="C1632" s="2">
        <v>0.1875</v>
      </c>
      <c r="D1632" t="s">
        <v>26</v>
      </c>
      <c r="E1632" t="s">
        <v>89</v>
      </c>
      <c r="F1632" t="s">
        <v>113</v>
      </c>
      <c r="G1632" t="s">
        <v>148</v>
      </c>
      <c r="H1632" s="2">
        <v>0.18819444444444444</v>
      </c>
      <c r="I1632" s="2">
        <v>0.20347222222222222</v>
      </c>
      <c r="J1632">
        <v>12</v>
      </c>
      <c r="K1632">
        <v>18</v>
      </c>
      <c r="L1632" t="s">
        <v>77</v>
      </c>
      <c r="M1632">
        <v>34.299999999999997</v>
      </c>
      <c r="N1632">
        <v>80</v>
      </c>
      <c r="O1632">
        <v>15</v>
      </c>
      <c r="P1632">
        <v>4.8</v>
      </c>
      <c r="Q1632" t="s">
        <v>63</v>
      </c>
      <c r="R1632">
        <v>0</v>
      </c>
      <c r="S1632">
        <v>73</v>
      </c>
      <c r="T1632">
        <v>0</v>
      </c>
      <c r="U1632">
        <v>0</v>
      </c>
      <c r="V1632">
        <v>2</v>
      </c>
      <c r="W1632" t="s">
        <v>72</v>
      </c>
      <c r="X1632">
        <v>1</v>
      </c>
      <c r="Y1632" t="str">
        <f t="shared" si="25"/>
        <v>High</v>
      </c>
    </row>
    <row r="1633" spans="1:25">
      <c r="A1633" t="s">
        <v>1746</v>
      </c>
      <c r="B1633" s="1">
        <v>44944</v>
      </c>
      <c r="C1633" s="2">
        <v>0.19791666666666666</v>
      </c>
      <c r="D1633" t="s">
        <v>26</v>
      </c>
      <c r="E1633" t="s">
        <v>104</v>
      </c>
      <c r="F1633" t="s">
        <v>53</v>
      </c>
      <c r="G1633" t="s">
        <v>76</v>
      </c>
      <c r="H1633" s="2">
        <v>0.2</v>
      </c>
      <c r="I1633" s="2">
        <v>0.21388888888888888</v>
      </c>
      <c r="J1633">
        <v>-2</v>
      </c>
      <c r="K1633">
        <v>15</v>
      </c>
      <c r="L1633" t="s">
        <v>30</v>
      </c>
      <c r="M1633">
        <v>8.8000000000000007</v>
      </c>
      <c r="N1633">
        <v>37</v>
      </c>
      <c r="O1633">
        <v>35</v>
      </c>
      <c r="P1633">
        <v>17.8</v>
      </c>
      <c r="Q1633" t="s">
        <v>101</v>
      </c>
      <c r="R1633">
        <v>0</v>
      </c>
      <c r="S1633">
        <v>54</v>
      </c>
      <c r="T1633">
        <v>0</v>
      </c>
      <c r="U1633">
        <v>0</v>
      </c>
      <c r="V1633">
        <v>2</v>
      </c>
      <c r="W1633" t="s">
        <v>39</v>
      </c>
      <c r="X1633">
        <v>1</v>
      </c>
      <c r="Y1633" t="str">
        <f t="shared" si="25"/>
        <v>Medium</v>
      </c>
    </row>
    <row r="1634" spans="1:25">
      <c r="A1634" t="s">
        <v>1747</v>
      </c>
      <c r="B1634" s="1">
        <v>44944</v>
      </c>
      <c r="C1634" s="2">
        <v>0.20833333333333334</v>
      </c>
      <c r="D1634" t="s">
        <v>34</v>
      </c>
      <c r="E1634" t="s">
        <v>93</v>
      </c>
      <c r="F1634" t="s">
        <v>66</v>
      </c>
      <c r="G1634" t="s">
        <v>203</v>
      </c>
      <c r="H1634" s="2">
        <v>0.20972222222222223</v>
      </c>
      <c r="I1634" s="2">
        <v>0.2361111111111111</v>
      </c>
      <c r="J1634">
        <v>0</v>
      </c>
      <c r="K1634">
        <v>-3</v>
      </c>
      <c r="L1634" t="s">
        <v>54</v>
      </c>
      <c r="M1634">
        <v>9.9</v>
      </c>
      <c r="N1634">
        <v>85</v>
      </c>
      <c r="O1634">
        <v>33</v>
      </c>
      <c r="P1634">
        <v>6.7</v>
      </c>
      <c r="Q1634" t="s">
        <v>31</v>
      </c>
      <c r="R1634">
        <v>0</v>
      </c>
      <c r="S1634">
        <v>49</v>
      </c>
      <c r="T1634">
        <v>0</v>
      </c>
      <c r="U1634">
        <v>1</v>
      </c>
      <c r="V1634">
        <v>2</v>
      </c>
      <c r="W1634" t="s">
        <v>39</v>
      </c>
      <c r="X1634">
        <v>0</v>
      </c>
      <c r="Y1634" t="str">
        <f t="shared" si="25"/>
        <v>Medium</v>
      </c>
    </row>
    <row r="1635" spans="1:25">
      <c r="A1635" t="s">
        <v>1748</v>
      </c>
      <c r="B1635" s="1">
        <v>44944</v>
      </c>
      <c r="C1635" s="2">
        <v>0.21875</v>
      </c>
      <c r="D1635" t="s">
        <v>26</v>
      </c>
      <c r="E1635" t="s">
        <v>147</v>
      </c>
      <c r="F1635" t="s">
        <v>76</v>
      </c>
      <c r="G1635" t="s">
        <v>203</v>
      </c>
      <c r="H1635" s="2">
        <v>0.21875</v>
      </c>
      <c r="I1635" s="2">
        <v>0.25763888888888886</v>
      </c>
      <c r="J1635">
        <v>15</v>
      </c>
      <c r="K1635">
        <v>20</v>
      </c>
      <c r="L1635" t="s">
        <v>84</v>
      </c>
      <c r="M1635">
        <v>19.399999999999999</v>
      </c>
      <c r="N1635">
        <v>40</v>
      </c>
      <c r="O1635">
        <v>44</v>
      </c>
      <c r="P1635">
        <v>3.8</v>
      </c>
      <c r="Q1635" t="s">
        <v>101</v>
      </c>
      <c r="R1635">
        <v>0</v>
      </c>
      <c r="S1635">
        <v>64</v>
      </c>
      <c r="T1635">
        <v>0</v>
      </c>
      <c r="U1635">
        <v>1</v>
      </c>
      <c r="V1635">
        <v>2</v>
      </c>
      <c r="W1635" t="s">
        <v>39</v>
      </c>
      <c r="X1635">
        <v>1</v>
      </c>
      <c r="Y1635" t="str">
        <f t="shared" si="25"/>
        <v>Medium</v>
      </c>
    </row>
    <row r="1636" spans="1:25">
      <c r="A1636" t="s">
        <v>1749</v>
      </c>
      <c r="B1636" s="1">
        <v>44944</v>
      </c>
      <c r="C1636" s="2">
        <v>0.22916666666666666</v>
      </c>
      <c r="D1636" t="s">
        <v>41</v>
      </c>
      <c r="E1636" t="s">
        <v>111</v>
      </c>
      <c r="F1636" t="s">
        <v>99</v>
      </c>
      <c r="G1636" t="s">
        <v>86</v>
      </c>
      <c r="H1636" s="2">
        <v>0.22916666666666666</v>
      </c>
      <c r="I1636" s="2">
        <v>0.24374999999999999</v>
      </c>
      <c r="J1636">
        <v>15</v>
      </c>
      <c r="K1636">
        <v>21</v>
      </c>
      <c r="L1636" t="s">
        <v>45</v>
      </c>
      <c r="M1636">
        <v>6</v>
      </c>
      <c r="N1636">
        <v>51</v>
      </c>
      <c r="O1636">
        <v>12</v>
      </c>
      <c r="P1636">
        <v>14.3</v>
      </c>
      <c r="Q1636" t="s">
        <v>31</v>
      </c>
      <c r="R1636">
        <v>500</v>
      </c>
      <c r="S1636">
        <v>31</v>
      </c>
      <c r="T1636">
        <v>0</v>
      </c>
      <c r="U1636">
        <v>1</v>
      </c>
      <c r="V1636">
        <v>2</v>
      </c>
      <c r="W1636" t="s">
        <v>39</v>
      </c>
      <c r="X1636">
        <v>1</v>
      </c>
      <c r="Y1636" t="str">
        <f t="shared" si="25"/>
        <v>Low</v>
      </c>
    </row>
    <row r="1637" spans="1:25">
      <c r="A1637" t="s">
        <v>1750</v>
      </c>
      <c r="B1637" s="1">
        <v>44944</v>
      </c>
      <c r="C1637" s="2">
        <v>0.23958333333333334</v>
      </c>
      <c r="D1637" t="s">
        <v>26</v>
      </c>
      <c r="E1637" t="s">
        <v>48</v>
      </c>
      <c r="F1637" t="s">
        <v>28</v>
      </c>
      <c r="G1637" t="s">
        <v>43</v>
      </c>
      <c r="H1637" s="2">
        <v>0.24166666666666667</v>
      </c>
      <c r="I1637" s="2">
        <v>0.25763888888888886</v>
      </c>
      <c r="J1637">
        <v>-1</v>
      </c>
      <c r="K1637">
        <v>27</v>
      </c>
      <c r="L1637" t="s">
        <v>38</v>
      </c>
      <c r="M1637">
        <v>22.9</v>
      </c>
      <c r="N1637">
        <v>40</v>
      </c>
      <c r="O1637">
        <v>18</v>
      </c>
      <c r="P1637">
        <v>6.4</v>
      </c>
      <c r="Q1637" t="s">
        <v>46</v>
      </c>
      <c r="R1637">
        <v>50000</v>
      </c>
      <c r="S1637">
        <v>36</v>
      </c>
      <c r="T1637">
        <v>0</v>
      </c>
      <c r="U1637">
        <v>1</v>
      </c>
      <c r="V1637">
        <v>2</v>
      </c>
      <c r="W1637" t="s">
        <v>72</v>
      </c>
      <c r="X1637">
        <v>1</v>
      </c>
      <c r="Y1637" t="str">
        <f t="shared" si="25"/>
        <v>Medium</v>
      </c>
    </row>
    <row r="1638" spans="1:25">
      <c r="A1638" t="s">
        <v>1751</v>
      </c>
      <c r="B1638" s="1">
        <v>44944</v>
      </c>
      <c r="C1638" s="2">
        <v>0.25</v>
      </c>
      <c r="D1638" t="s">
        <v>41</v>
      </c>
      <c r="E1638" t="s">
        <v>147</v>
      </c>
      <c r="F1638" t="s">
        <v>75</v>
      </c>
      <c r="G1638" t="s">
        <v>185</v>
      </c>
      <c r="H1638" s="2">
        <v>0.25277777777777777</v>
      </c>
      <c r="I1638" s="2">
        <v>0.27430555555555558</v>
      </c>
      <c r="J1638">
        <v>2</v>
      </c>
      <c r="K1638">
        <v>27</v>
      </c>
      <c r="L1638" t="s">
        <v>45</v>
      </c>
      <c r="M1638">
        <v>1.1000000000000001</v>
      </c>
      <c r="N1638">
        <v>89</v>
      </c>
      <c r="O1638">
        <v>11</v>
      </c>
      <c r="P1638">
        <v>6.7</v>
      </c>
      <c r="Q1638" t="s">
        <v>31</v>
      </c>
      <c r="R1638">
        <v>0</v>
      </c>
      <c r="S1638">
        <v>75</v>
      </c>
      <c r="T1638">
        <v>0</v>
      </c>
      <c r="U1638">
        <v>0</v>
      </c>
      <c r="V1638">
        <v>2</v>
      </c>
      <c r="W1638" t="s">
        <v>55</v>
      </c>
      <c r="X1638">
        <v>1</v>
      </c>
      <c r="Y1638" t="str">
        <f t="shared" si="25"/>
        <v>High</v>
      </c>
    </row>
    <row r="1639" spans="1:25">
      <c r="A1639" t="s">
        <v>1752</v>
      </c>
      <c r="B1639" s="1">
        <v>44944</v>
      </c>
      <c r="C1639" s="2">
        <v>0.26041666666666669</v>
      </c>
      <c r="D1639" t="s">
        <v>41</v>
      </c>
      <c r="E1639" t="s">
        <v>93</v>
      </c>
      <c r="F1639" t="s">
        <v>163</v>
      </c>
      <c r="G1639" t="s">
        <v>105</v>
      </c>
      <c r="H1639" s="2">
        <v>0.26111111111111113</v>
      </c>
      <c r="I1639" s="2">
        <v>0.28541666666666665</v>
      </c>
      <c r="J1639">
        <v>-2</v>
      </c>
      <c r="K1639">
        <v>-2</v>
      </c>
      <c r="L1639" t="s">
        <v>30</v>
      </c>
      <c r="M1639">
        <v>-0.7</v>
      </c>
      <c r="N1639">
        <v>44</v>
      </c>
      <c r="O1639">
        <v>35</v>
      </c>
      <c r="P1639">
        <v>14.8</v>
      </c>
      <c r="Q1639" t="s">
        <v>59</v>
      </c>
      <c r="R1639">
        <v>0</v>
      </c>
      <c r="S1639">
        <v>81</v>
      </c>
      <c r="T1639">
        <v>0</v>
      </c>
      <c r="U1639">
        <v>1</v>
      </c>
      <c r="V1639">
        <v>2</v>
      </c>
      <c r="W1639" t="s">
        <v>72</v>
      </c>
      <c r="X1639">
        <v>0</v>
      </c>
      <c r="Y1639" t="str">
        <f t="shared" si="25"/>
        <v>High</v>
      </c>
    </row>
    <row r="1640" spans="1:25">
      <c r="A1640" t="s">
        <v>1753</v>
      </c>
      <c r="B1640" s="1">
        <v>44944</v>
      </c>
      <c r="C1640" s="2">
        <v>0.27083333333333331</v>
      </c>
      <c r="D1640" t="s">
        <v>41</v>
      </c>
      <c r="E1640" t="s">
        <v>111</v>
      </c>
      <c r="F1640" t="s">
        <v>144</v>
      </c>
      <c r="G1640" t="s">
        <v>29</v>
      </c>
      <c r="H1640" s="2">
        <v>0.27083333333333331</v>
      </c>
      <c r="I1640" s="2">
        <v>0.29791666666666666</v>
      </c>
      <c r="J1640">
        <v>7</v>
      </c>
      <c r="K1640">
        <v>15</v>
      </c>
      <c r="L1640" t="s">
        <v>38</v>
      </c>
      <c r="M1640">
        <v>16.399999999999999</v>
      </c>
      <c r="N1640">
        <v>67</v>
      </c>
      <c r="O1640">
        <v>9</v>
      </c>
      <c r="P1640">
        <v>5</v>
      </c>
      <c r="Q1640" t="s">
        <v>71</v>
      </c>
      <c r="R1640">
        <v>0</v>
      </c>
      <c r="S1640">
        <v>93</v>
      </c>
      <c r="T1640">
        <v>0</v>
      </c>
      <c r="U1640">
        <v>0</v>
      </c>
      <c r="V1640">
        <v>2</v>
      </c>
      <c r="W1640" t="s">
        <v>72</v>
      </c>
      <c r="X1640">
        <v>1</v>
      </c>
      <c r="Y1640" t="str">
        <f t="shared" si="25"/>
        <v>High</v>
      </c>
    </row>
    <row r="1641" spans="1:25">
      <c r="A1641" t="s">
        <v>1754</v>
      </c>
      <c r="B1641" s="1">
        <v>44944</v>
      </c>
      <c r="C1641" s="2">
        <v>0.28125</v>
      </c>
      <c r="D1641" t="s">
        <v>74</v>
      </c>
      <c r="E1641" t="s">
        <v>93</v>
      </c>
      <c r="F1641" t="s">
        <v>66</v>
      </c>
      <c r="G1641" t="s">
        <v>203</v>
      </c>
      <c r="H1641" s="2">
        <v>0.28125</v>
      </c>
      <c r="I1641" s="2">
        <v>0.31041666666666667</v>
      </c>
      <c r="J1641">
        <v>17</v>
      </c>
      <c r="K1641">
        <v>8</v>
      </c>
      <c r="L1641" t="s">
        <v>45</v>
      </c>
      <c r="M1641">
        <v>17.2</v>
      </c>
      <c r="N1641">
        <v>30</v>
      </c>
      <c r="O1641">
        <v>15</v>
      </c>
      <c r="P1641">
        <v>17.899999999999999</v>
      </c>
      <c r="Q1641" t="s">
        <v>31</v>
      </c>
      <c r="R1641">
        <v>0</v>
      </c>
      <c r="S1641">
        <v>12</v>
      </c>
      <c r="T1641">
        <v>0</v>
      </c>
      <c r="U1641">
        <v>1</v>
      </c>
      <c r="V1641">
        <v>2</v>
      </c>
      <c r="W1641" t="s">
        <v>39</v>
      </c>
      <c r="X1641">
        <v>1</v>
      </c>
      <c r="Y1641" t="str">
        <f t="shared" si="25"/>
        <v>Low</v>
      </c>
    </row>
    <row r="1642" spans="1:25">
      <c r="A1642" t="s">
        <v>1755</v>
      </c>
      <c r="B1642" s="1">
        <v>44944</v>
      </c>
      <c r="C1642" s="2">
        <v>0.29166666666666669</v>
      </c>
      <c r="D1642" t="s">
        <v>34</v>
      </c>
      <c r="E1642" t="s">
        <v>161</v>
      </c>
      <c r="F1642" t="s">
        <v>151</v>
      </c>
      <c r="G1642" t="s">
        <v>81</v>
      </c>
      <c r="H1642" s="2">
        <v>0.29375000000000001</v>
      </c>
      <c r="I1642" s="2">
        <v>0.32847222222222222</v>
      </c>
      <c r="J1642">
        <v>7</v>
      </c>
      <c r="K1642">
        <v>6</v>
      </c>
      <c r="L1642" t="s">
        <v>77</v>
      </c>
      <c r="M1642">
        <v>-0.7</v>
      </c>
      <c r="N1642">
        <v>75</v>
      </c>
      <c r="O1642">
        <v>27</v>
      </c>
      <c r="P1642">
        <v>11.2</v>
      </c>
      <c r="Q1642" t="s">
        <v>101</v>
      </c>
      <c r="R1642">
        <v>0</v>
      </c>
      <c r="S1642">
        <v>53</v>
      </c>
      <c r="T1642">
        <v>0</v>
      </c>
      <c r="U1642">
        <v>0</v>
      </c>
      <c r="V1642">
        <v>2</v>
      </c>
      <c r="W1642" t="s">
        <v>39</v>
      </c>
      <c r="X1642">
        <v>1</v>
      </c>
      <c r="Y1642" t="str">
        <f t="shared" si="25"/>
        <v>Medium</v>
      </c>
    </row>
    <row r="1643" spans="1:25">
      <c r="A1643" t="s">
        <v>1756</v>
      </c>
      <c r="B1643" s="1">
        <v>44944</v>
      </c>
      <c r="C1643" s="2">
        <v>0.30208333333333331</v>
      </c>
      <c r="D1643" t="s">
        <v>41</v>
      </c>
      <c r="E1643" t="s">
        <v>52</v>
      </c>
      <c r="F1643" t="s">
        <v>109</v>
      </c>
      <c r="G1643" t="s">
        <v>203</v>
      </c>
      <c r="H1643" s="2">
        <v>0.30486111111111114</v>
      </c>
      <c r="I1643" s="2">
        <v>0.32291666666666669</v>
      </c>
      <c r="J1643">
        <v>2</v>
      </c>
      <c r="K1643">
        <v>27</v>
      </c>
      <c r="L1643" t="s">
        <v>45</v>
      </c>
      <c r="M1643">
        <v>33.6</v>
      </c>
      <c r="N1643">
        <v>72</v>
      </c>
      <c r="O1643">
        <v>55</v>
      </c>
      <c r="P1643">
        <v>10.8</v>
      </c>
      <c r="Q1643" t="s">
        <v>31</v>
      </c>
      <c r="R1643">
        <v>0</v>
      </c>
      <c r="S1643">
        <v>2</v>
      </c>
      <c r="T1643">
        <v>0</v>
      </c>
      <c r="U1643">
        <v>0</v>
      </c>
      <c r="V1643">
        <v>2</v>
      </c>
      <c r="W1643" t="s">
        <v>72</v>
      </c>
      <c r="X1643">
        <v>1</v>
      </c>
      <c r="Y1643" t="str">
        <f t="shared" si="25"/>
        <v>Low</v>
      </c>
    </row>
    <row r="1644" spans="1:25">
      <c r="A1644" t="s">
        <v>1757</v>
      </c>
      <c r="B1644" s="1">
        <v>44944</v>
      </c>
      <c r="C1644" s="2">
        <v>0.3125</v>
      </c>
      <c r="D1644" t="s">
        <v>41</v>
      </c>
      <c r="E1644" t="s">
        <v>35</v>
      </c>
      <c r="F1644" t="s">
        <v>99</v>
      </c>
      <c r="G1644" t="s">
        <v>194</v>
      </c>
      <c r="H1644" s="2">
        <v>0.31527777777777777</v>
      </c>
      <c r="I1644" s="2">
        <v>0.34930555555555554</v>
      </c>
      <c r="J1644">
        <v>15</v>
      </c>
      <c r="K1644">
        <v>18</v>
      </c>
      <c r="L1644" t="s">
        <v>77</v>
      </c>
      <c r="M1644">
        <v>17.899999999999999</v>
      </c>
      <c r="N1644">
        <v>51</v>
      </c>
      <c r="O1644">
        <v>18</v>
      </c>
      <c r="P1644">
        <v>5.3</v>
      </c>
      <c r="Q1644" t="s">
        <v>71</v>
      </c>
      <c r="R1644">
        <v>10000</v>
      </c>
      <c r="S1644">
        <v>84</v>
      </c>
      <c r="T1644">
        <v>1</v>
      </c>
      <c r="U1644">
        <v>1</v>
      </c>
      <c r="V1644">
        <v>2</v>
      </c>
      <c r="W1644" t="s">
        <v>72</v>
      </c>
      <c r="X1644">
        <v>1</v>
      </c>
      <c r="Y1644" t="str">
        <f t="shared" si="25"/>
        <v>High</v>
      </c>
    </row>
    <row r="1645" spans="1:25">
      <c r="A1645" t="s">
        <v>1758</v>
      </c>
      <c r="B1645" s="1">
        <v>44944</v>
      </c>
      <c r="C1645" s="2">
        <v>0.32291666666666669</v>
      </c>
      <c r="D1645" t="s">
        <v>74</v>
      </c>
      <c r="E1645" t="s">
        <v>48</v>
      </c>
      <c r="F1645" t="s">
        <v>123</v>
      </c>
      <c r="G1645" t="s">
        <v>90</v>
      </c>
      <c r="H1645" s="2">
        <v>0.32500000000000001</v>
      </c>
      <c r="I1645" s="2">
        <v>0.35902777777777778</v>
      </c>
      <c r="J1645">
        <v>18</v>
      </c>
      <c r="K1645">
        <v>19</v>
      </c>
      <c r="L1645" t="s">
        <v>84</v>
      </c>
      <c r="M1645">
        <v>1</v>
      </c>
      <c r="N1645">
        <v>32</v>
      </c>
      <c r="O1645">
        <v>39</v>
      </c>
      <c r="P1645">
        <v>16.7</v>
      </c>
      <c r="Q1645" t="s">
        <v>31</v>
      </c>
      <c r="R1645">
        <v>0</v>
      </c>
      <c r="S1645">
        <v>41</v>
      </c>
      <c r="T1645">
        <v>0</v>
      </c>
      <c r="U1645">
        <v>0</v>
      </c>
      <c r="V1645">
        <v>2</v>
      </c>
      <c r="W1645" t="s">
        <v>72</v>
      </c>
      <c r="X1645">
        <v>1</v>
      </c>
      <c r="Y1645" t="str">
        <f t="shared" si="25"/>
        <v>Medium</v>
      </c>
    </row>
    <row r="1646" spans="1:25">
      <c r="A1646" t="s">
        <v>1759</v>
      </c>
      <c r="B1646" s="1">
        <v>44944</v>
      </c>
      <c r="C1646" s="2">
        <v>0.33333333333333331</v>
      </c>
      <c r="D1646" t="s">
        <v>41</v>
      </c>
      <c r="E1646" t="s">
        <v>35</v>
      </c>
      <c r="F1646" t="s">
        <v>96</v>
      </c>
      <c r="G1646" t="s">
        <v>142</v>
      </c>
      <c r="H1646" s="2">
        <v>0.33333333333333331</v>
      </c>
      <c r="I1646" s="2">
        <v>0.36458333333333331</v>
      </c>
      <c r="J1646">
        <v>12</v>
      </c>
      <c r="K1646">
        <v>19</v>
      </c>
      <c r="L1646" t="s">
        <v>30</v>
      </c>
      <c r="M1646">
        <v>7.5</v>
      </c>
      <c r="N1646">
        <v>43</v>
      </c>
      <c r="O1646">
        <v>5</v>
      </c>
      <c r="P1646">
        <v>11.5</v>
      </c>
      <c r="Q1646" t="s">
        <v>101</v>
      </c>
      <c r="R1646">
        <v>0</v>
      </c>
      <c r="S1646">
        <v>77</v>
      </c>
      <c r="T1646">
        <v>0</v>
      </c>
      <c r="U1646">
        <v>0</v>
      </c>
      <c r="V1646">
        <v>2</v>
      </c>
      <c r="W1646" t="s">
        <v>32</v>
      </c>
      <c r="X1646">
        <v>1</v>
      </c>
      <c r="Y1646" t="str">
        <f t="shared" si="25"/>
        <v>High</v>
      </c>
    </row>
    <row r="1647" spans="1:25">
      <c r="A1647" t="s">
        <v>1760</v>
      </c>
      <c r="B1647" s="1">
        <v>44944</v>
      </c>
      <c r="C1647" s="2">
        <v>0.34375</v>
      </c>
      <c r="D1647" t="s">
        <v>26</v>
      </c>
      <c r="E1647" t="s">
        <v>52</v>
      </c>
      <c r="F1647" t="s">
        <v>118</v>
      </c>
      <c r="G1647" t="s">
        <v>100</v>
      </c>
      <c r="H1647" s="2">
        <v>0.34444444444444444</v>
      </c>
      <c r="I1647" s="2">
        <v>0.35833333333333334</v>
      </c>
      <c r="J1647">
        <v>17</v>
      </c>
      <c r="K1647">
        <v>11</v>
      </c>
      <c r="L1647" t="s">
        <v>54</v>
      </c>
      <c r="M1647">
        <v>27</v>
      </c>
      <c r="N1647">
        <v>31</v>
      </c>
      <c r="O1647">
        <v>3</v>
      </c>
      <c r="P1647">
        <v>3.1</v>
      </c>
      <c r="Q1647" t="s">
        <v>31</v>
      </c>
      <c r="R1647">
        <v>0</v>
      </c>
      <c r="S1647">
        <v>39</v>
      </c>
      <c r="T1647">
        <v>0</v>
      </c>
      <c r="U1647">
        <v>0</v>
      </c>
      <c r="V1647">
        <v>2</v>
      </c>
      <c r="W1647" t="s">
        <v>39</v>
      </c>
      <c r="X1647">
        <v>1</v>
      </c>
      <c r="Y1647" t="str">
        <f t="shared" si="25"/>
        <v>Medium</v>
      </c>
    </row>
    <row r="1648" spans="1:25">
      <c r="A1648" t="s">
        <v>1761</v>
      </c>
      <c r="B1648" s="1">
        <v>44944</v>
      </c>
      <c r="C1648" s="2">
        <v>0.35416666666666669</v>
      </c>
      <c r="D1648" t="s">
        <v>26</v>
      </c>
      <c r="E1648" t="s">
        <v>52</v>
      </c>
      <c r="F1648" t="s">
        <v>203</v>
      </c>
      <c r="G1648" t="s">
        <v>49</v>
      </c>
      <c r="H1648" s="2">
        <v>0.35416666666666669</v>
      </c>
      <c r="I1648" s="2">
        <v>0.38333333333333336</v>
      </c>
      <c r="J1648">
        <v>5</v>
      </c>
      <c r="K1648">
        <v>22</v>
      </c>
      <c r="L1648" t="s">
        <v>45</v>
      </c>
      <c r="M1648">
        <v>15.9</v>
      </c>
      <c r="N1648">
        <v>90</v>
      </c>
      <c r="O1648">
        <v>29</v>
      </c>
      <c r="P1648">
        <v>4.0999999999999996</v>
      </c>
      <c r="Q1648" t="s">
        <v>31</v>
      </c>
      <c r="R1648">
        <v>0</v>
      </c>
      <c r="S1648">
        <v>73</v>
      </c>
      <c r="T1648">
        <v>0</v>
      </c>
      <c r="U1648">
        <v>0</v>
      </c>
      <c r="V1648">
        <v>2</v>
      </c>
      <c r="W1648" t="s">
        <v>55</v>
      </c>
      <c r="X1648">
        <v>1</v>
      </c>
      <c r="Y1648" t="str">
        <f t="shared" si="25"/>
        <v>High</v>
      </c>
    </row>
    <row r="1649" spans="1:25">
      <c r="A1649" t="s">
        <v>1762</v>
      </c>
      <c r="B1649" s="1">
        <v>44944</v>
      </c>
      <c r="C1649" s="2">
        <v>0.36458333333333331</v>
      </c>
      <c r="D1649" t="s">
        <v>34</v>
      </c>
      <c r="E1649" t="s">
        <v>93</v>
      </c>
      <c r="F1649" t="s">
        <v>66</v>
      </c>
      <c r="G1649" t="s">
        <v>49</v>
      </c>
      <c r="H1649" s="2">
        <v>0.36736111111111114</v>
      </c>
      <c r="I1649" s="2">
        <v>0.39305555555555555</v>
      </c>
      <c r="J1649">
        <v>14</v>
      </c>
      <c r="K1649">
        <v>-1</v>
      </c>
      <c r="L1649" t="s">
        <v>38</v>
      </c>
      <c r="M1649">
        <v>2.5</v>
      </c>
      <c r="N1649">
        <v>61</v>
      </c>
      <c r="O1649">
        <v>38</v>
      </c>
      <c r="P1649">
        <v>9.4</v>
      </c>
      <c r="Q1649" t="s">
        <v>31</v>
      </c>
      <c r="R1649">
        <v>0</v>
      </c>
      <c r="S1649">
        <v>65</v>
      </c>
      <c r="T1649">
        <v>0</v>
      </c>
      <c r="U1649">
        <v>0</v>
      </c>
      <c r="V1649">
        <v>2</v>
      </c>
      <c r="W1649" t="s">
        <v>55</v>
      </c>
      <c r="X1649">
        <v>0</v>
      </c>
      <c r="Y1649" t="str">
        <f t="shared" si="25"/>
        <v>Medium</v>
      </c>
    </row>
    <row r="1650" spans="1:25">
      <c r="A1650" t="s">
        <v>1763</v>
      </c>
      <c r="B1650" s="1">
        <v>44944</v>
      </c>
      <c r="C1650" s="2">
        <v>0.375</v>
      </c>
      <c r="D1650" t="s">
        <v>41</v>
      </c>
      <c r="E1650" t="s">
        <v>35</v>
      </c>
      <c r="F1650" t="s">
        <v>37</v>
      </c>
      <c r="G1650" t="s">
        <v>142</v>
      </c>
      <c r="H1650" s="2">
        <v>0.375</v>
      </c>
      <c r="I1650" s="2">
        <v>0.41180555555555554</v>
      </c>
      <c r="J1650">
        <v>9</v>
      </c>
      <c r="K1650">
        <v>19</v>
      </c>
      <c r="L1650" t="s">
        <v>30</v>
      </c>
      <c r="M1650">
        <v>-0.9</v>
      </c>
      <c r="N1650">
        <v>67</v>
      </c>
      <c r="O1650">
        <v>30</v>
      </c>
      <c r="P1650">
        <v>15.6</v>
      </c>
      <c r="Q1650" t="s">
        <v>46</v>
      </c>
      <c r="R1650">
        <v>10000</v>
      </c>
      <c r="S1650">
        <v>59</v>
      </c>
      <c r="T1650">
        <v>0</v>
      </c>
      <c r="U1650">
        <v>0</v>
      </c>
      <c r="V1650">
        <v>2</v>
      </c>
      <c r="W1650" t="s">
        <v>55</v>
      </c>
      <c r="X1650">
        <v>1</v>
      </c>
      <c r="Y1650" t="str">
        <f t="shared" si="25"/>
        <v>Medium</v>
      </c>
    </row>
    <row r="1651" spans="1:25">
      <c r="A1651" t="s">
        <v>1764</v>
      </c>
      <c r="B1651" s="1">
        <v>44944</v>
      </c>
      <c r="C1651" s="2">
        <v>0.38541666666666669</v>
      </c>
      <c r="D1651" t="s">
        <v>74</v>
      </c>
      <c r="E1651" t="s">
        <v>42</v>
      </c>
      <c r="F1651" t="s">
        <v>53</v>
      </c>
      <c r="G1651" t="s">
        <v>194</v>
      </c>
      <c r="H1651" s="2">
        <v>0.38611111111111113</v>
      </c>
      <c r="I1651" s="2">
        <v>0.40902777777777777</v>
      </c>
      <c r="J1651">
        <v>18</v>
      </c>
      <c r="K1651">
        <v>16</v>
      </c>
      <c r="L1651" t="s">
        <v>45</v>
      </c>
      <c r="M1651">
        <v>12.2</v>
      </c>
      <c r="N1651">
        <v>75</v>
      </c>
      <c r="O1651">
        <v>45</v>
      </c>
      <c r="P1651">
        <v>18.8</v>
      </c>
      <c r="Q1651" t="s">
        <v>71</v>
      </c>
      <c r="R1651">
        <v>50000</v>
      </c>
      <c r="S1651">
        <v>10</v>
      </c>
      <c r="T1651">
        <v>0</v>
      </c>
      <c r="U1651">
        <v>0</v>
      </c>
      <c r="V1651">
        <v>2</v>
      </c>
      <c r="W1651" t="s">
        <v>32</v>
      </c>
      <c r="X1651">
        <v>1</v>
      </c>
      <c r="Y1651" t="str">
        <f t="shared" si="25"/>
        <v>Low</v>
      </c>
    </row>
    <row r="1652" spans="1:25">
      <c r="A1652" t="s">
        <v>1765</v>
      </c>
      <c r="B1652" s="1">
        <v>44944</v>
      </c>
      <c r="C1652" s="2">
        <v>0.39583333333333331</v>
      </c>
      <c r="D1652" t="s">
        <v>26</v>
      </c>
      <c r="E1652" t="s">
        <v>161</v>
      </c>
      <c r="F1652" t="s">
        <v>135</v>
      </c>
      <c r="G1652" t="s">
        <v>144</v>
      </c>
      <c r="H1652" s="2">
        <v>0.3972222222222222</v>
      </c>
      <c r="I1652" s="2">
        <v>0.41597222222222224</v>
      </c>
      <c r="J1652">
        <v>9</v>
      </c>
      <c r="K1652">
        <v>4</v>
      </c>
      <c r="L1652" t="s">
        <v>38</v>
      </c>
      <c r="M1652">
        <v>8.5</v>
      </c>
      <c r="N1652">
        <v>71</v>
      </c>
      <c r="O1652">
        <v>26</v>
      </c>
      <c r="P1652">
        <v>13.3</v>
      </c>
      <c r="Q1652" t="s">
        <v>31</v>
      </c>
      <c r="R1652">
        <v>0</v>
      </c>
      <c r="S1652">
        <v>0</v>
      </c>
      <c r="T1652">
        <v>0</v>
      </c>
      <c r="U1652">
        <v>0</v>
      </c>
      <c r="V1652">
        <v>2</v>
      </c>
      <c r="W1652" t="s">
        <v>32</v>
      </c>
      <c r="X1652">
        <v>0</v>
      </c>
      <c r="Y1652" t="str">
        <f t="shared" si="25"/>
        <v>Low</v>
      </c>
    </row>
    <row r="1653" spans="1:25">
      <c r="A1653" t="s">
        <v>1766</v>
      </c>
      <c r="B1653" s="1">
        <v>44944</v>
      </c>
      <c r="C1653" s="2">
        <v>0.40625</v>
      </c>
      <c r="D1653" t="s">
        <v>74</v>
      </c>
      <c r="E1653" t="s">
        <v>93</v>
      </c>
      <c r="F1653" t="s">
        <v>144</v>
      </c>
      <c r="G1653" t="s">
        <v>49</v>
      </c>
      <c r="H1653" s="2">
        <v>0.40625</v>
      </c>
      <c r="I1653" s="2">
        <v>0.42986111111111114</v>
      </c>
      <c r="J1653">
        <v>-2</v>
      </c>
      <c r="K1653">
        <v>14</v>
      </c>
      <c r="L1653" t="s">
        <v>38</v>
      </c>
      <c r="M1653">
        <v>21.2</v>
      </c>
      <c r="N1653">
        <v>35</v>
      </c>
      <c r="O1653">
        <v>44</v>
      </c>
      <c r="P1653">
        <v>10.1</v>
      </c>
      <c r="Q1653" t="s">
        <v>31</v>
      </c>
      <c r="R1653">
        <v>2000</v>
      </c>
      <c r="S1653">
        <v>25</v>
      </c>
      <c r="T1653">
        <v>0</v>
      </c>
      <c r="U1653">
        <v>0</v>
      </c>
      <c r="V1653">
        <v>2</v>
      </c>
      <c r="W1653" t="s">
        <v>55</v>
      </c>
      <c r="X1653">
        <v>1</v>
      </c>
      <c r="Y1653" t="str">
        <f t="shared" si="25"/>
        <v>Low</v>
      </c>
    </row>
    <row r="1654" spans="1:25">
      <c r="A1654" t="s">
        <v>1767</v>
      </c>
      <c r="B1654" s="1">
        <v>44944</v>
      </c>
      <c r="C1654" s="2">
        <v>0.41666666666666669</v>
      </c>
      <c r="D1654" t="s">
        <v>74</v>
      </c>
      <c r="E1654" t="s">
        <v>104</v>
      </c>
      <c r="F1654" t="s">
        <v>168</v>
      </c>
      <c r="G1654" t="s">
        <v>168</v>
      </c>
      <c r="H1654" s="2">
        <v>0.41875000000000001</v>
      </c>
      <c r="I1654" s="2">
        <v>0.45</v>
      </c>
      <c r="J1654">
        <v>1</v>
      </c>
      <c r="K1654">
        <v>2</v>
      </c>
      <c r="L1654" t="s">
        <v>54</v>
      </c>
      <c r="M1654">
        <v>32</v>
      </c>
      <c r="N1654">
        <v>70</v>
      </c>
      <c r="O1654">
        <v>20</v>
      </c>
      <c r="P1654">
        <v>5</v>
      </c>
      <c r="Q1654" t="s">
        <v>31</v>
      </c>
      <c r="R1654">
        <v>0</v>
      </c>
      <c r="S1654">
        <v>41</v>
      </c>
      <c r="T1654">
        <v>0</v>
      </c>
      <c r="U1654">
        <v>0</v>
      </c>
      <c r="V1654">
        <v>2</v>
      </c>
      <c r="W1654" t="s">
        <v>55</v>
      </c>
      <c r="X1654">
        <v>0</v>
      </c>
      <c r="Y1654" t="str">
        <f t="shared" si="25"/>
        <v>Medium</v>
      </c>
    </row>
    <row r="1655" spans="1:25">
      <c r="A1655" t="s">
        <v>1768</v>
      </c>
      <c r="B1655" s="1">
        <v>44944</v>
      </c>
      <c r="C1655" s="2">
        <v>0.42708333333333331</v>
      </c>
      <c r="D1655" t="s">
        <v>26</v>
      </c>
      <c r="E1655" t="s">
        <v>61</v>
      </c>
      <c r="F1655" t="s">
        <v>142</v>
      </c>
      <c r="G1655" t="s">
        <v>81</v>
      </c>
      <c r="H1655" s="2">
        <v>0.4284722222222222</v>
      </c>
      <c r="I1655" s="2">
        <v>0.45624999999999999</v>
      </c>
      <c r="J1655">
        <v>5</v>
      </c>
      <c r="K1655">
        <v>23</v>
      </c>
      <c r="L1655" t="s">
        <v>54</v>
      </c>
      <c r="M1655">
        <v>4.9000000000000004</v>
      </c>
      <c r="N1655">
        <v>54</v>
      </c>
      <c r="O1655">
        <v>36</v>
      </c>
      <c r="P1655">
        <v>13.5</v>
      </c>
      <c r="Q1655" t="s">
        <v>101</v>
      </c>
      <c r="R1655">
        <v>0</v>
      </c>
      <c r="S1655">
        <v>61</v>
      </c>
      <c r="T1655">
        <v>0</v>
      </c>
      <c r="U1655">
        <v>0</v>
      </c>
      <c r="V1655">
        <v>2</v>
      </c>
      <c r="W1655" t="s">
        <v>55</v>
      </c>
      <c r="X1655">
        <v>1</v>
      </c>
      <c r="Y1655" t="str">
        <f t="shared" si="25"/>
        <v>Medium</v>
      </c>
    </row>
    <row r="1656" spans="1:25">
      <c r="A1656" t="s">
        <v>1769</v>
      </c>
      <c r="B1656" s="1">
        <v>44944</v>
      </c>
      <c r="C1656" s="2">
        <v>0.4375</v>
      </c>
      <c r="D1656" t="s">
        <v>74</v>
      </c>
      <c r="E1656" t="s">
        <v>52</v>
      </c>
      <c r="F1656" t="s">
        <v>86</v>
      </c>
      <c r="G1656" t="s">
        <v>91</v>
      </c>
      <c r="H1656" s="2">
        <v>0.43958333333333333</v>
      </c>
      <c r="I1656" s="2">
        <v>0.46250000000000002</v>
      </c>
      <c r="J1656">
        <v>-2</v>
      </c>
      <c r="K1656">
        <v>11</v>
      </c>
      <c r="L1656" t="s">
        <v>38</v>
      </c>
      <c r="M1656">
        <v>29.2</v>
      </c>
      <c r="N1656">
        <v>40</v>
      </c>
      <c r="O1656">
        <v>8</v>
      </c>
      <c r="P1656">
        <v>19.600000000000001</v>
      </c>
      <c r="Q1656" t="s">
        <v>46</v>
      </c>
      <c r="R1656">
        <v>500</v>
      </c>
      <c r="S1656">
        <v>60</v>
      </c>
      <c r="T1656">
        <v>0</v>
      </c>
      <c r="U1656">
        <v>0</v>
      </c>
      <c r="V1656">
        <v>2</v>
      </c>
      <c r="W1656" t="s">
        <v>72</v>
      </c>
      <c r="X1656">
        <v>1</v>
      </c>
      <c r="Y1656" t="str">
        <f t="shared" si="25"/>
        <v>Medium</v>
      </c>
    </row>
    <row r="1657" spans="1:25">
      <c r="A1657" t="s">
        <v>1770</v>
      </c>
      <c r="B1657" s="1">
        <v>44944</v>
      </c>
      <c r="C1657" s="2">
        <v>0.44791666666666669</v>
      </c>
      <c r="D1657" t="s">
        <v>26</v>
      </c>
      <c r="E1657" t="s">
        <v>111</v>
      </c>
      <c r="F1657" t="s">
        <v>86</v>
      </c>
      <c r="G1657" t="s">
        <v>107</v>
      </c>
      <c r="H1657" s="2">
        <v>0.45</v>
      </c>
      <c r="I1657" s="2">
        <v>0.46736111111111112</v>
      </c>
      <c r="J1657">
        <v>12</v>
      </c>
      <c r="K1657">
        <v>1</v>
      </c>
      <c r="L1657" t="s">
        <v>54</v>
      </c>
      <c r="M1657">
        <v>31.8</v>
      </c>
      <c r="N1657">
        <v>70</v>
      </c>
      <c r="O1657">
        <v>34</v>
      </c>
      <c r="P1657">
        <v>9.5</v>
      </c>
      <c r="Q1657" t="s">
        <v>31</v>
      </c>
      <c r="R1657">
        <v>0</v>
      </c>
      <c r="S1657">
        <v>76</v>
      </c>
      <c r="T1657">
        <v>0</v>
      </c>
      <c r="U1657">
        <v>0</v>
      </c>
      <c r="V1657">
        <v>2</v>
      </c>
      <c r="W1657" t="s">
        <v>39</v>
      </c>
      <c r="X1657">
        <v>0</v>
      </c>
      <c r="Y1657" t="str">
        <f t="shared" si="25"/>
        <v>High</v>
      </c>
    </row>
    <row r="1658" spans="1:25">
      <c r="A1658" t="s">
        <v>1771</v>
      </c>
      <c r="B1658" s="1">
        <v>44944</v>
      </c>
      <c r="C1658" s="2">
        <v>0.45833333333333331</v>
      </c>
      <c r="D1658" t="s">
        <v>74</v>
      </c>
      <c r="E1658" t="s">
        <v>93</v>
      </c>
      <c r="F1658" t="s">
        <v>116</v>
      </c>
      <c r="G1658" t="s">
        <v>49</v>
      </c>
      <c r="H1658" s="2">
        <v>0.46041666666666664</v>
      </c>
      <c r="I1658" s="2">
        <v>0.49652777777777779</v>
      </c>
      <c r="J1658">
        <v>15</v>
      </c>
      <c r="K1658">
        <v>5</v>
      </c>
      <c r="L1658" t="s">
        <v>38</v>
      </c>
      <c r="M1658">
        <v>31.1</v>
      </c>
      <c r="N1658">
        <v>86</v>
      </c>
      <c r="O1658">
        <v>41</v>
      </c>
      <c r="P1658">
        <v>3.2</v>
      </c>
      <c r="Q1658" t="s">
        <v>31</v>
      </c>
      <c r="R1658">
        <v>0</v>
      </c>
      <c r="S1658">
        <v>91</v>
      </c>
      <c r="T1658">
        <v>0</v>
      </c>
      <c r="U1658">
        <v>0</v>
      </c>
      <c r="V1658">
        <v>2</v>
      </c>
      <c r="W1658" t="s">
        <v>32</v>
      </c>
      <c r="X1658">
        <v>0</v>
      </c>
      <c r="Y1658" t="str">
        <f t="shared" si="25"/>
        <v>High</v>
      </c>
    </row>
    <row r="1659" spans="1:25">
      <c r="A1659" t="s">
        <v>1772</v>
      </c>
      <c r="B1659" s="1">
        <v>44944</v>
      </c>
      <c r="C1659" s="2">
        <v>0.46875</v>
      </c>
      <c r="D1659" t="s">
        <v>26</v>
      </c>
      <c r="E1659" t="s">
        <v>27</v>
      </c>
      <c r="F1659" t="s">
        <v>135</v>
      </c>
      <c r="G1659" t="s">
        <v>96</v>
      </c>
      <c r="H1659" s="2">
        <v>0.46875</v>
      </c>
      <c r="I1659" s="2">
        <v>0.48819444444444443</v>
      </c>
      <c r="J1659">
        <v>-2</v>
      </c>
      <c r="K1659">
        <v>3</v>
      </c>
      <c r="L1659" t="s">
        <v>45</v>
      </c>
      <c r="M1659">
        <v>33.1</v>
      </c>
      <c r="N1659">
        <v>75</v>
      </c>
      <c r="O1659">
        <v>46</v>
      </c>
      <c r="P1659">
        <v>2.1</v>
      </c>
      <c r="Q1659" t="s">
        <v>31</v>
      </c>
      <c r="R1659">
        <v>0</v>
      </c>
      <c r="S1659">
        <v>99</v>
      </c>
      <c r="T1659">
        <v>0</v>
      </c>
      <c r="U1659">
        <v>1</v>
      </c>
      <c r="V1659">
        <v>2</v>
      </c>
      <c r="W1659" t="s">
        <v>32</v>
      </c>
      <c r="X1659">
        <v>0</v>
      </c>
      <c r="Y1659" t="str">
        <f t="shared" si="25"/>
        <v>High</v>
      </c>
    </row>
    <row r="1660" spans="1:25">
      <c r="A1660" t="s">
        <v>1773</v>
      </c>
      <c r="B1660" s="1">
        <v>44944</v>
      </c>
      <c r="C1660" s="2">
        <v>0.47916666666666669</v>
      </c>
      <c r="D1660" t="s">
        <v>41</v>
      </c>
      <c r="E1660" t="s">
        <v>57</v>
      </c>
      <c r="F1660" t="s">
        <v>109</v>
      </c>
      <c r="G1660" t="s">
        <v>197</v>
      </c>
      <c r="H1660" s="2">
        <v>0.48194444444444445</v>
      </c>
      <c r="I1660" s="2">
        <v>0.50347222222222221</v>
      </c>
      <c r="J1660">
        <v>8</v>
      </c>
      <c r="K1660">
        <v>16</v>
      </c>
      <c r="L1660" t="s">
        <v>84</v>
      </c>
      <c r="M1660">
        <v>28.7</v>
      </c>
      <c r="N1660">
        <v>77</v>
      </c>
      <c r="O1660">
        <v>51</v>
      </c>
      <c r="P1660">
        <v>5.4</v>
      </c>
      <c r="Q1660" t="s">
        <v>101</v>
      </c>
      <c r="R1660">
        <v>0</v>
      </c>
      <c r="S1660">
        <v>84</v>
      </c>
      <c r="T1660">
        <v>0</v>
      </c>
      <c r="U1660">
        <v>1</v>
      </c>
      <c r="V1660">
        <v>2</v>
      </c>
      <c r="W1660" t="s">
        <v>72</v>
      </c>
      <c r="X1660">
        <v>1</v>
      </c>
      <c r="Y1660" t="str">
        <f t="shared" si="25"/>
        <v>High</v>
      </c>
    </row>
    <row r="1661" spans="1:25">
      <c r="A1661" t="s">
        <v>1774</v>
      </c>
      <c r="B1661" s="1">
        <v>44944</v>
      </c>
      <c r="C1661" s="2">
        <v>0.48958333333333331</v>
      </c>
      <c r="D1661" t="s">
        <v>34</v>
      </c>
      <c r="E1661" t="s">
        <v>27</v>
      </c>
      <c r="F1661" t="s">
        <v>100</v>
      </c>
      <c r="G1661" t="s">
        <v>142</v>
      </c>
      <c r="H1661" s="2">
        <v>0.4909722222222222</v>
      </c>
      <c r="I1661" s="2">
        <v>0.52777777777777779</v>
      </c>
      <c r="J1661">
        <v>-1</v>
      </c>
      <c r="K1661">
        <v>6</v>
      </c>
      <c r="L1661" t="s">
        <v>54</v>
      </c>
      <c r="M1661">
        <v>18.7</v>
      </c>
      <c r="N1661">
        <v>92</v>
      </c>
      <c r="O1661">
        <v>20</v>
      </c>
      <c r="P1661">
        <v>11.4</v>
      </c>
      <c r="Q1661" t="s">
        <v>31</v>
      </c>
      <c r="R1661">
        <v>0</v>
      </c>
      <c r="S1661">
        <v>61</v>
      </c>
      <c r="T1661">
        <v>0</v>
      </c>
      <c r="U1661">
        <v>1</v>
      </c>
      <c r="V1661">
        <v>2</v>
      </c>
      <c r="W1661" t="s">
        <v>32</v>
      </c>
      <c r="X1661">
        <v>1</v>
      </c>
      <c r="Y1661" t="str">
        <f t="shared" si="25"/>
        <v>Medium</v>
      </c>
    </row>
    <row r="1662" spans="1:25">
      <c r="A1662" t="s">
        <v>1775</v>
      </c>
      <c r="B1662" s="1">
        <v>44944</v>
      </c>
      <c r="C1662" s="2">
        <v>0.5</v>
      </c>
      <c r="D1662" t="s">
        <v>26</v>
      </c>
      <c r="E1662" t="s">
        <v>126</v>
      </c>
      <c r="F1662" t="s">
        <v>58</v>
      </c>
      <c r="G1662" t="s">
        <v>99</v>
      </c>
      <c r="H1662" s="2">
        <v>0.50069444444444444</v>
      </c>
      <c r="I1662" s="2">
        <v>0.53611111111111109</v>
      </c>
      <c r="J1662">
        <v>-2</v>
      </c>
      <c r="K1662">
        <v>22</v>
      </c>
      <c r="L1662" t="s">
        <v>77</v>
      </c>
      <c r="M1662">
        <v>11.4</v>
      </c>
      <c r="N1662">
        <v>68</v>
      </c>
      <c r="O1662">
        <v>16</v>
      </c>
      <c r="P1662">
        <v>18.899999999999999</v>
      </c>
      <c r="Q1662" t="s">
        <v>46</v>
      </c>
      <c r="R1662">
        <v>0</v>
      </c>
      <c r="S1662">
        <v>73</v>
      </c>
      <c r="T1662">
        <v>0</v>
      </c>
      <c r="U1662">
        <v>0</v>
      </c>
      <c r="V1662">
        <v>2</v>
      </c>
      <c r="W1662" t="s">
        <v>55</v>
      </c>
      <c r="X1662">
        <v>1</v>
      </c>
      <c r="Y1662" t="str">
        <f t="shared" si="25"/>
        <v>High</v>
      </c>
    </row>
    <row r="1663" spans="1:25">
      <c r="A1663" t="s">
        <v>1776</v>
      </c>
      <c r="B1663" s="1">
        <v>44944</v>
      </c>
      <c r="C1663" s="2">
        <v>0.51041666666666663</v>
      </c>
      <c r="D1663" t="s">
        <v>26</v>
      </c>
      <c r="E1663" t="s">
        <v>79</v>
      </c>
      <c r="F1663" t="s">
        <v>44</v>
      </c>
      <c r="G1663" t="s">
        <v>163</v>
      </c>
      <c r="H1663" s="2">
        <v>0.5131944444444444</v>
      </c>
      <c r="I1663" s="2">
        <v>0.54513888888888884</v>
      </c>
      <c r="J1663">
        <v>9</v>
      </c>
      <c r="K1663">
        <v>0</v>
      </c>
      <c r="L1663" t="s">
        <v>77</v>
      </c>
      <c r="M1663">
        <v>14.7</v>
      </c>
      <c r="N1663">
        <v>39</v>
      </c>
      <c r="O1663">
        <v>54</v>
      </c>
      <c r="P1663">
        <v>6</v>
      </c>
      <c r="Q1663" t="s">
        <v>31</v>
      </c>
      <c r="R1663">
        <v>0</v>
      </c>
      <c r="S1663">
        <v>11</v>
      </c>
      <c r="T1663">
        <v>0</v>
      </c>
      <c r="U1663">
        <v>0</v>
      </c>
      <c r="V1663">
        <v>2</v>
      </c>
      <c r="W1663" t="s">
        <v>32</v>
      </c>
      <c r="X1663">
        <v>0</v>
      </c>
      <c r="Y1663" t="str">
        <f t="shared" si="25"/>
        <v>Low</v>
      </c>
    </row>
    <row r="1664" spans="1:25">
      <c r="A1664" t="s">
        <v>1777</v>
      </c>
      <c r="B1664" s="1">
        <v>44944</v>
      </c>
      <c r="C1664" s="2">
        <v>0.52083333333333337</v>
      </c>
      <c r="D1664" t="s">
        <v>34</v>
      </c>
      <c r="E1664" t="s">
        <v>79</v>
      </c>
      <c r="F1664" t="s">
        <v>96</v>
      </c>
      <c r="G1664" t="s">
        <v>36</v>
      </c>
      <c r="H1664" s="2">
        <v>0.52083333333333337</v>
      </c>
      <c r="I1664" s="2">
        <v>0.53819444444444442</v>
      </c>
      <c r="J1664">
        <v>13</v>
      </c>
      <c r="K1664">
        <v>20</v>
      </c>
      <c r="L1664" t="s">
        <v>77</v>
      </c>
      <c r="M1664">
        <v>29.9</v>
      </c>
      <c r="N1664">
        <v>99</v>
      </c>
      <c r="O1664">
        <v>23</v>
      </c>
      <c r="P1664">
        <v>6.1</v>
      </c>
      <c r="Q1664" t="s">
        <v>31</v>
      </c>
      <c r="R1664">
        <v>2000</v>
      </c>
      <c r="S1664">
        <v>26</v>
      </c>
      <c r="T1664">
        <v>0</v>
      </c>
      <c r="U1664">
        <v>0</v>
      </c>
      <c r="V1664">
        <v>2</v>
      </c>
      <c r="W1664" t="s">
        <v>72</v>
      </c>
      <c r="X1664">
        <v>1</v>
      </c>
      <c r="Y1664" t="str">
        <f t="shared" si="25"/>
        <v>Low</v>
      </c>
    </row>
    <row r="1665" spans="1:25">
      <c r="A1665" t="s">
        <v>1778</v>
      </c>
      <c r="B1665" s="1">
        <v>44944</v>
      </c>
      <c r="C1665" s="2">
        <v>0.53125</v>
      </c>
      <c r="D1665" t="s">
        <v>26</v>
      </c>
      <c r="E1665" t="s">
        <v>141</v>
      </c>
      <c r="F1665" t="s">
        <v>185</v>
      </c>
      <c r="G1665" t="s">
        <v>135</v>
      </c>
      <c r="H1665" s="2">
        <v>0.53333333333333333</v>
      </c>
      <c r="I1665" s="2">
        <v>0.55138888888888893</v>
      </c>
      <c r="J1665">
        <v>19</v>
      </c>
      <c r="K1665">
        <v>10</v>
      </c>
      <c r="L1665" t="s">
        <v>84</v>
      </c>
      <c r="M1665">
        <v>7.1</v>
      </c>
      <c r="N1665">
        <v>94</v>
      </c>
      <c r="O1665">
        <v>30</v>
      </c>
      <c r="P1665">
        <v>9.6</v>
      </c>
      <c r="Q1665" t="s">
        <v>31</v>
      </c>
      <c r="R1665">
        <v>0</v>
      </c>
      <c r="S1665">
        <v>66</v>
      </c>
      <c r="T1665">
        <v>0</v>
      </c>
      <c r="U1665">
        <v>0</v>
      </c>
      <c r="V1665">
        <v>2</v>
      </c>
      <c r="W1665" t="s">
        <v>39</v>
      </c>
      <c r="X1665">
        <v>1</v>
      </c>
      <c r="Y1665" t="str">
        <f t="shared" si="25"/>
        <v>Medium</v>
      </c>
    </row>
    <row r="1666" spans="1:25">
      <c r="A1666" t="s">
        <v>1779</v>
      </c>
      <c r="B1666" s="1">
        <v>44944</v>
      </c>
      <c r="C1666" s="2">
        <v>0.54166666666666663</v>
      </c>
      <c r="D1666" t="s">
        <v>26</v>
      </c>
      <c r="E1666" t="s">
        <v>157</v>
      </c>
      <c r="F1666" t="s">
        <v>100</v>
      </c>
      <c r="G1666" t="s">
        <v>49</v>
      </c>
      <c r="H1666" s="2">
        <v>0.54236111111111107</v>
      </c>
      <c r="I1666" s="2">
        <v>0.56597222222222221</v>
      </c>
      <c r="J1666">
        <v>19</v>
      </c>
      <c r="K1666">
        <v>-3</v>
      </c>
      <c r="L1666" t="s">
        <v>38</v>
      </c>
      <c r="M1666">
        <v>1.4</v>
      </c>
      <c r="N1666">
        <v>88</v>
      </c>
      <c r="O1666">
        <v>5</v>
      </c>
      <c r="P1666">
        <v>18.399999999999999</v>
      </c>
      <c r="Q1666" t="s">
        <v>101</v>
      </c>
      <c r="R1666">
        <v>0</v>
      </c>
      <c r="S1666">
        <v>27</v>
      </c>
      <c r="T1666">
        <v>0</v>
      </c>
      <c r="U1666">
        <v>1</v>
      </c>
      <c r="V1666">
        <v>2</v>
      </c>
      <c r="W1666" t="s">
        <v>55</v>
      </c>
      <c r="X1666">
        <v>0</v>
      </c>
      <c r="Y1666" t="str">
        <f t="shared" ref="Y1666:Y1729" si="26">IF(S1666&lt;=33,"Low",IF(S1666&lt;=66,"Medium","High"))</f>
        <v>Low</v>
      </c>
    </row>
    <row r="1667" spans="1:25">
      <c r="A1667" t="s">
        <v>1780</v>
      </c>
      <c r="B1667" s="1">
        <v>44944</v>
      </c>
      <c r="C1667" s="2">
        <v>0.55208333333333337</v>
      </c>
      <c r="D1667" t="s">
        <v>74</v>
      </c>
      <c r="E1667" t="s">
        <v>161</v>
      </c>
      <c r="F1667" t="s">
        <v>28</v>
      </c>
      <c r="G1667" t="s">
        <v>99</v>
      </c>
      <c r="H1667" s="2">
        <v>0.55347222222222225</v>
      </c>
      <c r="I1667" s="2">
        <v>0.56805555555555554</v>
      </c>
      <c r="J1667">
        <v>7</v>
      </c>
      <c r="K1667">
        <v>13</v>
      </c>
      <c r="L1667" t="s">
        <v>38</v>
      </c>
      <c r="M1667">
        <v>0.6</v>
      </c>
      <c r="N1667">
        <v>65</v>
      </c>
      <c r="O1667">
        <v>56</v>
      </c>
      <c r="P1667">
        <v>8.4</v>
      </c>
      <c r="Q1667" t="s">
        <v>101</v>
      </c>
      <c r="R1667">
        <v>0</v>
      </c>
      <c r="S1667">
        <v>65</v>
      </c>
      <c r="T1667">
        <v>0</v>
      </c>
      <c r="U1667">
        <v>0</v>
      </c>
      <c r="V1667">
        <v>2</v>
      </c>
      <c r="W1667" t="s">
        <v>32</v>
      </c>
      <c r="X1667">
        <v>1</v>
      </c>
      <c r="Y1667" t="str">
        <f t="shared" si="26"/>
        <v>Medium</v>
      </c>
    </row>
    <row r="1668" spans="1:25">
      <c r="A1668" t="s">
        <v>1781</v>
      </c>
      <c r="B1668" s="1">
        <v>44944</v>
      </c>
      <c r="C1668" s="2">
        <v>0.5625</v>
      </c>
      <c r="D1668" t="s">
        <v>34</v>
      </c>
      <c r="E1668" t="s">
        <v>157</v>
      </c>
      <c r="F1668" t="s">
        <v>69</v>
      </c>
      <c r="G1668" t="s">
        <v>144</v>
      </c>
      <c r="H1668" s="2">
        <v>0.56527777777777777</v>
      </c>
      <c r="I1668" s="2">
        <v>0.59097222222222223</v>
      </c>
      <c r="J1668">
        <v>15</v>
      </c>
      <c r="K1668">
        <v>20</v>
      </c>
      <c r="L1668" t="s">
        <v>30</v>
      </c>
      <c r="M1668">
        <v>28.1</v>
      </c>
      <c r="N1668">
        <v>56</v>
      </c>
      <c r="O1668">
        <v>34</v>
      </c>
      <c r="P1668">
        <v>4.5</v>
      </c>
      <c r="Q1668" t="s">
        <v>31</v>
      </c>
      <c r="R1668">
        <v>10000</v>
      </c>
      <c r="S1668">
        <v>27</v>
      </c>
      <c r="T1668">
        <v>0</v>
      </c>
      <c r="U1668">
        <v>0</v>
      </c>
      <c r="V1668">
        <v>2</v>
      </c>
      <c r="W1668" t="s">
        <v>55</v>
      </c>
      <c r="X1668">
        <v>1</v>
      </c>
      <c r="Y1668" t="str">
        <f t="shared" si="26"/>
        <v>Low</v>
      </c>
    </row>
    <row r="1669" spans="1:25">
      <c r="A1669" t="s">
        <v>1782</v>
      </c>
      <c r="B1669" s="1">
        <v>44944</v>
      </c>
      <c r="C1669" s="2">
        <v>0.57291666666666663</v>
      </c>
      <c r="D1669" t="s">
        <v>41</v>
      </c>
      <c r="E1669" t="s">
        <v>79</v>
      </c>
      <c r="F1669" t="s">
        <v>144</v>
      </c>
      <c r="G1669" t="s">
        <v>128</v>
      </c>
      <c r="H1669" s="2">
        <v>0.5756944444444444</v>
      </c>
      <c r="I1669" s="2">
        <v>0.59513888888888888</v>
      </c>
      <c r="J1669">
        <v>12</v>
      </c>
      <c r="K1669">
        <v>23</v>
      </c>
      <c r="L1669" t="s">
        <v>77</v>
      </c>
      <c r="M1669">
        <v>25.5</v>
      </c>
      <c r="N1669">
        <v>84</v>
      </c>
      <c r="O1669">
        <v>49</v>
      </c>
      <c r="P1669">
        <v>3.3</v>
      </c>
      <c r="Q1669" t="s">
        <v>31</v>
      </c>
      <c r="R1669">
        <v>0</v>
      </c>
      <c r="S1669">
        <v>94</v>
      </c>
      <c r="T1669">
        <v>0</v>
      </c>
      <c r="U1669">
        <v>0</v>
      </c>
      <c r="V1669">
        <v>2</v>
      </c>
      <c r="W1669" t="s">
        <v>39</v>
      </c>
      <c r="X1669">
        <v>1</v>
      </c>
      <c r="Y1669" t="str">
        <f t="shared" si="26"/>
        <v>High</v>
      </c>
    </row>
    <row r="1670" spans="1:25">
      <c r="A1670" t="s">
        <v>1783</v>
      </c>
      <c r="B1670" s="1">
        <v>44944</v>
      </c>
      <c r="C1670" s="2">
        <v>0.58333333333333337</v>
      </c>
      <c r="D1670" t="s">
        <v>26</v>
      </c>
      <c r="E1670" t="s">
        <v>61</v>
      </c>
      <c r="F1670" t="s">
        <v>37</v>
      </c>
      <c r="G1670" t="s">
        <v>142</v>
      </c>
      <c r="H1670" s="2">
        <v>0.58402777777777781</v>
      </c>
      <c r="I1670" s="2">
        <v>0.60763888888888884</v>
      </c>
      <c r="J1670">
        <v>14</v>
      </c>
      <c r="K1670">
        <v>3</v>
      </c>
      <c r="L1670" t="s">
        <v>77</v>
      </c>
      <c r="M1670">
        <v>14.9</v>
      </c>
      <c r="N1670">
        <v>99</v>
      </c>
      <c r="O1670">
        <v>36</v>
      </c>
      <c r="P1670">
        <v>9.1</v>
      </c>
      <c r="Q1670" t="s">
        <v>31</v>
      </c>
      <c r="R1670">
        <v>10000</v>
      </c>
      <c r="S1670">
        <v>20</v>
      </c>
      <c r="T1670">
        <v>0</v>
      </c>
      <c r="U1670">
        <v>0</v>
      </c>
      <c r="V1670">
        <v>2</v>
      </c>
      <c r="W1670" t="s">
        <v>32</v>
      </c>
      <c r="X1670">
        <v>0</v>
      </c>
      <c r="Y1670" t="str">
        <f t="shared" si="26"/>
        <v>Low</v>
      </c>
    </row>
    <row r="1671" spans="1:25">
      <c r="A1671" t="s">
        <v>1784</v>
      </c>
      <c r="B1671" s="1">
        <v>44944</v>
      </c>
      <c r="C1671" s="2">
        <v>0.59375</v>
      </c>
      <c r="D1671" t="s">
        <v>34</v>
      </c>
      <c r="E1671" t="s">
        <v>48</v>
      </c>
      <c r="F1671" t="s">
        <v>43</v>
      </c>
      <c r="G1671" t="s">
        <v>80</v>
      </c>
      <c r="H1671" s="2">
        <v>0.59375</v>
      </c>
      <c r="I1671" s="2">
        <v>0.62708333333333333</v>
      </c>
      <c r="J1671">
        <v>7</v>
      </c>
      <c r="K1671">
        <v>5</v>
      </c>
      <c r="L1671" t="s">
        <v>38</v>
      </c>
      <c r="M1671">
        <v>6</v>
      </c>
      <c r="N1671">
        <v>82</v>
      </c>
      <c r="O1671">
        <v>12</v>
      </c>
      <c r="P1671">
        <v>16</v>
      </c>
      <c r="Q1671" t="s">
        <v>46</v>
      </c>
      <c r="R1671">
        <v>0</v>
      </c>
      <c r="S1671">
        <v>6</v>
      </c>
      <c r="T1671">
        <v>0</v>
      </c>
      <c r="U1671">
        <v>0</v>
      </c>
      <c r="V1671">
        <v>2</v>
      </c>
      <c r="W1671" t="s">
        <v>55</v>
      </c>
      <c r="X1671">
        <v>0</v>
      </c>
      <c r="Y1671" t="str">
        <f t="shared" si="26"/>
        <v>Low</v>
      </c>
    </row>
    <row r="1672" spans="1:25">
      <c r="A1672" t="s">
        <v>1785</v>
      </c>
      <c r="B1672" s="1">
        <v>44944</v>
      </c>
      <c r="C1672" s="2">
        <v>0.60416666666666663</v>
      </c>
      <c r="D1672" t="s">
        <v>74</v>
      </c>
      <c r="E1672" t="s">
        <v>27</v>
      </c>
      <c r="F1672" t="s">
        <v>154</v>
      </c>
      <c r="G1672" t="s">
        <v>118</v>
      </c>
      <c r="H1672" s="2">
        <v>0.60555555555555551</v>
      </c>
      <c r="I1672" s="2">
        <v>0.62152777777777779</v>
      </c>
      <c r="J1672">
        <v>0</v>
      </c>
      <c r="K1672">
        <v>8</v>
      </c>
      <c r="L1672" t="s">
        <v>77</v>
      </c>
      <c r="M1672">
        <v>22.1</v>
      </c>
      <c r="N1672">
        <v>89</v>
      </c>
      <c r="O1672">
        <v>24</v>
      </c>
      <c r="P1672">
        <v>5.8</v>
      </c>
      <c r="Q1672" t="s">
        <v>71</v>
      </c>
      <c r="R1672">
        <v>50000</v>
      </c>
      <c r="S1672">
        <v>94</v>
      </c>
      <c r="T1672">
        <v>0</v>
      </c>
      <c r="U1672">
        <v>0</v>
      </c>
      <c r="V1672">
        <v>2</v>
      </c>
      <c r="W1672" t="s">
        <v>72</v>
      </c>
      <c r="X1672">
        <v>1</v>
      </c>
      <c r="Y1672" t="str">
        <f t="shared" si="26"/>
        <v>High</v>
      </c>
    </row>
    <row r="1673" spans="1:25">
      <c r="A1673" t="s">
        <v>1786</v>
      </c>
      <c r="B1673" s="1">
        <v>44944</v>
      </c>
      <c r="C1673" s="2">
        <v>0.61458333333333337</v>
      </c>
      <c r="D1673" t="s">
        <v>41</v>
      </c>
      <c r="E1673" t="s">
        <v>52</v>
      </c>
      <c r="F1673" t="s">
        <v>154</v>
      </c>
      <c r="G1673" t="s">
        <v>99</v>
      </c>
      <c r="H1673" s="2">
        <v>0.61527777777777781</v>
      </c>
      <c r="I1673" s="2">
        <v>0.64583333333333337</v>
      </c>
      <c r="J1673">
        <v>18</v>
      </c>
      <c r="K1673">
        <v>17</v>
      </c>
      <c r="L1673" t="s">
        <v>38</v>
      </c>
      <c r="M1673">
        <v>-3.5</v>
      </c>
      <c r="N1673">
        <v>90</v>
      </c>
      <c r="O1673">
        <v>31</v>
      </c>
      <c r="P1673">
        <v>10.3</v>
      </c>
      <c r="Q1673" t="s">
        <v>31</v>
      </c>
      <c r="R1673">
        <v>0</v>
      </c>
      <c r="S1673">
        <v>13</v>
      </c>
      <c r="T1673">
        <v>0</v>
      </c>
      <c r="U1673">
        <v>0</v>
      </c>
      <c r="V1673">
        <v>2</v>
      </c>
      <c r="W1673" t="s">
        <v>72</v>
      </c>
      <c r="X1673">
        <v>1</v>
      </c>
      <c r="Y1673" t="str">
        <f t="shared" si="26"/>
        <v>Low</v>
      </c>
    </row>
    <row r="1674" spans="1:25">
      <c r="A1674" t="s">
        <v>1787</v>
      </c>
      <c r="B1674" s="1">
        <v>44944</v>
      </c>
      <c r="C1674" s="2">
        <v>0.625</v>
      </c>
      <c r="D1674" t="s">
        <v>34</v>
      </c>
      <c r="E1674" t="s">
        <v>126</v>
      </c>
      <c r="F1674" t="s">
        <v>58</v>
      </c>
      <c r="G1674" t="s">
        <v>49</v>
      </c>
      <c r="H1674" s="2">
        <v>0.62708333333333333</v>
      </c>
      <c r="I1674" s="2">
        <v>0.64583333333333337</v>
      </c>
      <c r="J1674">
        <v>13</v>
      </c>
      <c r="K1674">
        <v>-1</v>
      </c>
      <c r="L1674" t="s">
        <v>38</v>
      </c>
      <c r="M1674">
        <v>17.7</v>
      </c>
      <c r="N1674">
        <v>65</v>
      </c>
      <c r="O1674">
        <v>58</v>
      </c>
      <c r="P1674">
        <v>12.1</v>
      </c>
      <c r="Q1674" t="s">
        <v>31</v>
      </c>
      <c r="R1674">
        <v>0</v>
      </c>
      <c r="S1674">
        <v>38</v>
      </c>
      <c r="T1674">
        <v>0</v>
      </c>
      <c r="U1674">
        <v>0</v>
      </c>
      <c r="V1674">
        <v>2</v>
      </c>
      <c r="W1674" t="s">
        <v>39</v>
      </c>
      <c r="X1674">
        <v>0</v>
      </c>
      <c r="Y1674" t="str">
        <f t="shared" si="26"/>
        <v>Medium</v>
      </c>
    </row>
    <row r="1675" spans="1:25">
      <c r="A1675" t="s">
        <v>1788</v>
      </c>
      <c r="B1675" s="1">
        <v>44944</v>
      </c>
      <c r="C1675" s="2">
        <v>0.63541666666666663</v>
      </c>
      <c r="D1675" t="s">
        <v>41</v>
      </c>
      <c r="E1675" t="s">
        <v>57</v>
      </c>
      <c r="F1675" t="s">
        <v>75</v>
      </c>
      <c r="G1675" t="s">
        <v>154</v>
      </c>
      <c r="H1675" s="2">
        <v>0.63680555555555551</v>
      </c>
      <c r="I1675" s="2">
        <v>0.66527777777777775</v>
      </c>
      <c r="J1675">
        <v>3</v>
      </c>
      <c r="K1675">
        <v>11</v>
      </c>
      <c r="L1675" t="s">
        <v>54</v>
      </c>
      <c r="M1675">
        <v>10.9</v>
      </c>
      <c r="N1675">
        <v>56</v>
      </c>
      <c r="O1675">
        <v>0</v>
      </c>
      <c r="P1675">
        <v>9</v>
      </c>
      <c r="Q1675" t="s">
        <v>59</v>
      </c>
      <c r="R1675">
        <v>0</v>
      </c>
      <c r="S1675">
        <v>72</v>
      </c>
      <c r="T1675">
        <v>0</v>
      </c>
      <c r="U1675">
        <v>0</v>
      </c>
      <c r="V1675">
        <v>2</v>
      </c>
      <c r="W1675" t="s">
        <v>39</v>
      </c>
      <c r="X1675">
        <v>1</v>
      </c>
      <c r="Y1675" t="str">
        <f t="shared" si="26"/>
        <v>High</v>
      </c>
    </row>
    <row r="1676" spans="1:25">
      <c r="A1676" t="s">
        <v>1789</v>
      </c>
      <c r="B1676" s="1">
        <v>44944</v>
      </c>
      <c r="C1676" s="2">
        <v>0.64583333333333337</v>
      </c>
      <c r="D1676" t="s">
        <v>41</v>
      </c>
      <c r="E1676" t="s">
        <v>161</v>
      </c>
      <c r="F1676" t="s">
        <v>29</v>
      </c>
      <c r="G1676" t="s">
        <v>105</v>
      </c>
      <c r="H1676" s="2">
        <v>0.64861111111111114</v>
      </c>
      <c r="I1676" s="2">
        <v>0.6791666666666667</v>
      </c>
      <c r="J1676">
        <v>0</v>
      </c>
      <c r="K1676">
        <v>17</v>
      </c>
      <c r="L1676" t="s">
        <v>38</v>
      </c>
      <c r="M1676">
        <v>34.1</v>
      </c>
      <c r="N1676">
        <v>70</v>
      </c>
      <c r="O1676">
        <v>48</v>
      </c>
      <c r="P1676">
        <v>3.8</v>
      </c>
      <c r="Q1676" t="s">
        <v>71</v>
      </c>
      <c r="R1676">
        <v>0</v>
      </c>
      <c r="S1676">
        <v>86</v>
      </c>
      <c r="T1676">
        <v>0</v>
      </c>
      <c r="U1676">
        <v>1</v>
      </c>
      <c r="V1676">
        <v>2</v>
      </c>
      <c r="W1676" t="s">
        <v>39</v>
      </c>
      <c r="X1676">
        <v>1</v>
      </c>
      <c r="Y1676" t="str">
        <f t="shared" si="26"/>
        <v>High</v>
      </c>
    </row>
    <row r="1677" spans="1:25">
      <c r="A1677" t="s">
        <v>1790</v>
      </c>
      <c r="B1677" s="1">
        <v>44944</v>
      </c>
      <c r="C1677" s="2">
        <v>0.65625</v>
      </c>
      <c r="D1677" t="s">
        <v>41</v>
      </c>
      <c r="E1677" t="s">
        <v>35</v>
      </c>
      <c r="F1677" t="s">
        <v>62</v>
      </c>
      <c r="G1677" t="s">
        <v>87</v>
      </c>
      <c r="H1677" s="2">
        <v>0.65694444444444444</v>
      </c>
      <c r="I1677" s="2">
        <v>0.67152777777777772</v>
      </c>
      <c r="J1677">
        <v>6</v>
      </c>
      <c r="K1677">
        <v>6</v>
      </c>
      <c r="L1677" t="s">
        <v>45</v>
      </c>
      <c r="M1677">
        <v>15.3</v>
      </c>
      <c r="N1677">
        <v>57</v>
      </c>
      <c r="O1677">
        <v>57</v>
      </c>
      <c r="P1677">
        <v>18.399999999999999</v>
      </c>
      <c r="Q1677" t="s">
        <v>31</v>
      </c>
      <c r="R1677">
        <v>500</v>
      </c>
      <c r="S1677">
        <v>61</v>
      </c>
      <c r="T1677">
        <v>0</v>
      </c>
      <c r="U1677">
        <v>1</v>
      </c>
      <c r="V1677">
        <v>2</v>
      </c>
      <c r="W1677" t="s">
        <v>32</v>
      </c>
      <c r="X1677">
        <v>1</v>
      </c>
      <c r="Y1677" t="str">
        <f t="shared" si="26"/>
        <v>Medium</v>
      </c>
    </row>
    <row r="1678" spans="1:25">
      <c r="A1678" t="s">
        <v>1791</v>
      </c>
      <c r="B1678" s="1">
        <v>44944</v>
      </c>
      <c r="C1678" s="2">
        <v>0.66666666666666663</v>
      </c>
      <c r="D1678" t="s">
        <v>26</v>
      </c>
      <c r="E1678" t="s">
        <v>48</v>
      </c>
      <c r="F1678" t="s">
        <v>83</v>
      </c>
      <c r="G1678" t="s">
        <v>122</v>
      </c>
      <c r="H1678" s="2">
        <v>0.6694444444444444</v>
      </c>
      <c r="I1678" s="2">
        <v>0.68680555555555556</v>
      </c>
      <c r="J1678">
        <v>8</v>
      </c>
      <c r="K1678">
        <v>29</v>
      </c>
      <c r="L1678" t="s">
        <v>45</v>
      </c>
      <c r="M1678">
        <v>17.100000000000001</v>
      </c>
      <c r="N1678">
        <v>45</v>
      </c>
      <c r="O1678">
        <v>34</v>
      </c>
      <c r="P1678">
        <v>11.3</v>
      </c>
      <c r="Q1678" t="s">
        <v>71</v>
      </c>
      <c r="R1678">
        <v>0</v>
      </c>
      <c r="S1678">
        <v>11</v>
      </c>
      <c r="T1678">
        <v>0</v>
      </c>
      <c r="U1678">
        <v>1</v>
      </c>
      <c r="V1678">
        <v>2</v>
      </c>
      <c r="W1678" t="s">
        <v>39</v>
      </c>
      <c r="X1678">
        <v>1</v>
      </c>
      <c r="Y1678" t="str">
        <f t="shared" si="26"/>
        <v>Low</v>
      </c>
    </row>
    <row r="1679" spans="1:25">
      <c r="A1679" t="s">
        <v>1792</v>
      </c>
      <c r="B1679" s="1">
        <v>44944</v>
      </c>
      <c r="C1679" s="2">
        <v>0.67708333333333337</v>
      </c>
      <c r="D1679" t="s">
        <v>26</v>
      </c>
      <c r="E1679" t="s">
        <v>27</v>
      </c>
      <c r="F1679" t="s">
        <v>65</v>
      </c>
      <c r="G1679" t="s">
        <v>58</v>
      </c>
      <c r="H1679" s="2">
        <v>0.67986111111111114</v>
      </c>
      <c r="I1679" s="2">
        <v>0.69097222222222221</v>
      </c>
      <c r="J1679">
        <v>18</v>
      </c>
      <c r="K1679">
        <v>2</v>
      </c>
      <c r="L1679" t="s">
        <v>45</v>
      </c>
      <c r="M1679">
        <v>23.5</v>
      </c>
      <c r="N1679">
        <v>64</v>
      </c>
      <c r="O1679">
        <v>57</v>
      </c>
      <c r="P1679">
        <v>14.6</v>
      </c>
      <c r="Q1679" t="s">
        <v>59</v>
      </c>
      <c r="R1679">
        <v>0</v>
      </c>
      <c r="S1679">
        <v>92</v>
      </c>
      <c r="T1679">
        <v>0</v>
      </c>
      <c r="U1679">
        <v>0</v>
      </c>
      <c r="V1679">
        <v>2</v>
      </c>
      <c r="W1679" t="s">
        <v>32</v>
      </c>
      <c r="X1679">
        <v>0</v>
      </c>
      <c r="Y1679" t="str">
        <f t="shared" si="26"/>
        <v>High</v>
      </c>
    </row>
    <row r="1680" spans="1:25">
      <c r="A1680" t="s">
        <v>1793</v>
      </c>
      <c r="B1680" s="1">
        <v>44944</v>
      </c>
      <c r="C1680" s="2">
        <v>0.6875</v>
      </c>
      <c r="D1680" t="s">
        <v>74</v>
      </c>
      <c r="E1680" t="s">
        <v>89</v>
      </c>
      <c r="F1680" t="s">
        <v>70</v>
      </c>
      <c r="G1680" t="s">
        <v>197</v>
      </c>
      <c r="H1680" s="2">
        <v>0.69027777777777777</v>
      </c>
      <c r="I1680" s="2">
        <v>0.71875</v>
      </c>
      <c r="J1680">
        <v>10</v>
      </c>
      <c r="K1680">
        <v>-2</v>
      </c>
      <c r="L1680" t="s">
        <v>45</v>
      </c>
      <c r="M1680">
        <v>14.4</v>
      </c>
      <c r="N1680">
        <v>65</v>
      </c>
      <c r="O1680">
        <v>18</v>
      </c>
      <c r="P1680">
        <v>12.7</v>
      </c>
      <c r="Q1680" t="s">
        <v>31</v>
      </c>
      <c r="R1680">
        <v>500</v>
      </c>
      <c r="S1680">
        <v>37</v>
      </c>
      <c r="T1680">
        <v>0</v>
      </c>
      <c r="U1680">
        <v>0</v>
      </c>
      <c r="V1680">
        <v>2</v>
      </c>
      <c r="W1680" t="s">
        <v>55</v>
      </c>
      <c r="X1680">
        <v>0</v>
      </c>
      <c r="Y1680" t="str">
        <f t="shared" si="26"/>
        <v>Medium</v>
      </c>
    </row>
    <row r="1681" spans="1:25">
      <c r="A1681" t="s">
        <v>1794</v>
      </c>
      <c r="B1681" s="1">
        <v>44944</v>
      </c>
      <c r="C1681" s="2">
        <v>0.69791666666666663</v>
      </c>
      <c r="D1681" t="s">
        <v>74</v>
      </c>
      <c r="E1681" t="s">
        <v>104</v>
      </c>
      <c r="F1681" t="s">
        <v>168</v>
      </c>
      <c r="G1681" t="s">
        <v>44</v>
      </c>
      <c r="H1681" s="2">
        <v>0.69791666666666663</v>
      </c>
      <c r="I1681" s="2">
        <v>0.71944444444444444</v>
      </c>
      <c r="J1681">
        <v>15</v>
      </c>
      <c r="K1681">
        <v>25</v>
      </c>
      <c r="L1681" t="s">
        <v>84</v>
      </c>
      <c r="M1681">
        <v>4</v>
      </c>
      <c r="N1681">
        <v>85</v>
      </c>
      <c r="O1681">
        <v>52</v>
      </c>
      <c r="P1681">
        <v>20</v>
      </c>
      <c r="Q1681" t="s">
        <v>31</v>
      </c>
      <c r="R1681">
        <v>50000</v>
      </c>
      <c r="S1681">
        <v>57</v>
      </c>
      <c r="T1681">
        <v>0</v>
      </c>
      <c r="U1681">
        <v>1</v>
      </c>
      <c r="V1681">
        <v>2</v>
      </c>
      <c r="W1681" t="s">
        <v>72</v>
      </c>
      <c r="X1681">
        <v>1</v>
      </c>
      <c r="Y1681" t="str">
        <f t="shared" si="26"/>
        <v>Medium</v>
      </c>
    </row>
    <row r="1682" spans="1:25">
      <c r="A1682" t="s">
        <v>1795</v>
      </c>
      <c r="B1682" s="1">
        <v>44944</v>
      </c>
      <c r="C1682" s="2">
        <v>0.70833333333333337</v>
      </c>
      <c r="D1682" t="s">
        <v>34</v>
      </c>
      <c r="E1682" t="s">
        <v>141</v>
      </c>
      <c r="F1682" t="s">
        <v>86</v>
      </c>
      <c r="G1682" t="s">
        <v>66</v>
      </c>
      <c r="H1682" s="2">
        <v>0.71111111111111114</v>
      </c>
      <c r="I1682" s="2">
        <v>0.73124999999999996</v>
      </c>
      <c r="J1682">
        <v>19</v>
      </c>
      <c r="K1682">
        <v>29</v>
      </c>
      <c r="L1682" t="s">
        <v>30</v>
      </c>
      <c r="M1682">
        <v>16.5</v>
      </c>
      <c r="N1682">
        <v>48</v>
      </c>
      <c r="O1682">
        <v>51</v>
      </c>
      <c r="P1682">
        <v>9.1</v>
      </c>
      <c r="Q1682" t="s">
        <v>31</v>
      </c>
      <c r="R1682">
        <v>50000</v>
      </c>
      <c r="S1682">
        <v>55</v>
      </c>
      <c r="T1682">
        <v>0</v>
      </c>
      <c r="U1682">
        <v>0</v>
      </c>
      <c r="V1682">
        <v>2</v>
      </c>
      <c r="W1682" t="s">
        <v>55</v>
      </c>
      <c r="X1682">
        <v>1</v>
      </c>
      <c r="Y1682" t="str">
        <f t="shared" si="26"/>
        <v>Medium</v>
      </c>
    </row>
    <row r="1683" spans="1:25">
      <c r="A1683" t="s">
        <v>1796</v>
      </c>
      <c r="B1683" s="1">
        <v>44944</v>
      </c>
      <c r="C1683" s="2">
        <v>0.71875</v>
      </c>
      <c r="D1683" t="s">
        <v>74</v>
      </c>
      <c r="E1683" t="s">
        <v>89</v>
      </c>
      <c r="F1683" t="s">
        <v>90</v>
      </c>
      <c r="G1683" t="s">
        <v>75</v>
      </c>
      <c r="H1683" s="2">
        <v>0.72083333333333333</v>
      </c>
      <c r="I1683" s="2">
        <v>0.74930555555555556</v>
      </c>
      <c r="J1683">
        <v>19</v>
      </c>
      <c r="K1683">
        <v>0</v>
      </c>
      <c r="L1683" t="s">
        <v>30</v>
      </c>
      <c r="M1683">
        <v>32.799999999999997</v>
      </c>
      <c r="N1683">
        <v>86</v>
      </c>
      <c r="O1683">
        <v>53</v>
      </c>
      <c r="P1683">
        <v>8.5</v>
      </c>
      <c r="Q1683" t="s">
        <v>71</v>
      </c>
      <c r="R1683">
        <v>0</v>
      </c>
      <c r="S1683">
        <v>38</v>
      </c>
      <c r="T1683">
        <v>0</v>
      </c>
      <c r="U1683">
        <v>0</v>
      </c>
      <c r="V1683">
        <v>2</v>
      </c>
      <c r="W1683" t="s">
        <v>72</v>
      </c>
      <c r="X1683">
        <v>0</v>
      </c>
      <c r="Y1683" t="str">
        <f t="shared" si="26"/>
        <v>Medium</v>
      </c>
    </row>
    <row r="1684" spans="1:25">
      <c r="A1684" t="s">
        <v>1797</v>
      </c>
      <c r="B1684" s="1">
        <v>44944</v>
      </c>
      <c r="C1684" s="2">
        <v>0.72916666666666663</v>
      </c>
      <c r="D1684" t="s">
        <v>41</v>
      </c>
      <c r="E1684" t="s">
        <v>98</v>
      </c>
      <c r="F1684" t="s">
        <v>36</v>
      </c>
      <c r="G1684" t="s">
        <v>53</v>
      </c>
      <c r="H1684" s="2">
        <v>0.73124999999999996</v>
      </c>
      <c r="I1684" s="2">
        <v>0.74791666666666667</v>
      </c>
      <c r="J1684">
        <v>1</v>
      </c>
      <c r="K1684">
        <v>0</v>
      </c>
      <c r="L1684" t="s">
        <v>38</v>
      </c>
      <c r="M1684">
        <v>11.4</v>
      </c>
      <c r="N1684">
        <v>62</v>
      </c>
      <c r="O1684">
        <v>11</v>
      </c>
      <c r="P1684">
        <v>7.2</v>
      </c>
      <c r="Q1684" t="s">
        <v>71</v>
      </c>
      <c r="R1684">
        <v>0</v>
      </c>
      <c r="S1684">
        <v>85</v>
      </c>
      <c r="T1684">
        <v>0</v>
      </c>
      <c r="U1684">
        <v>0</v>
      </c>
      <c r="V1684">
        <v>2</v>
      </c>
      <c r="W1684" t="s">
        <v>39</v>
      </c>
      <c r="X1684">
        <v>0</v>
      </c>
      <c r="Y1684" t="str">
        <f t="shared" si="26"/>
        <v>High</v>
      </c>
    </row>
    <row r="1685" spans="1:25">
      <c r="A1685" t="s">
        <v>1798</v>
      </c>
      <c r="B1685" s="1">
        <v>44944</v>
      </c>
      <c r="C1685" s="2">
        <v>0.73958333333333337</v>
      </c>
      <c r="D1685" t="s">
        <v>41</v>
      </c>
      <c r="E1685" t="s">
        <v>141</v>
      </c>
      <c r="F1685" t="s">
        <v>123</v>
      </c>
      <c r="G1685" t="s">
        <v>128</v>
      </c>
      <c r="H1685" s="2">
        <v>0.74097222222222225</v>
      </c>
      <c r="I1685" s="2">
        <v>0.75555555555555554</v>
      </c>
      <c r="J1685">
        <v>19</v>
      </c>
      <c r="K1685">
        <v>25</v>
      </c>
      <c r="L1685" t="s">
        <v>77</v>
      </c>
      <c r="M1685">
        <v>22.2</v>
      </c>
      <c r="N1685">
        <v>52</v>
      </c>
      <c r="O1685">
        <v>39</v>
      </c>
      <c r="P1685">
        <v>7.2</v>
      </c>
      <c r="Q1685" t="s">
        <v>63</v>
      </c>
      <c r="R1685">
        <v>0</v>
      </c>
      <c r="S1685">
        <v>3</v>
      </c>
      <c r="T1685">
        <v>0</v>
      </c>
      <c r="U1685">
        <v>0</v>
      </c>
      <c r="V1685">
        <v>2</v>
      </c>
      <c r="W1685" t="s">
        <v>55</v>
      </c>
      <c r="X1685">
        <v>1</v>
      </c>
      <c r="Y1685" t="str">
        <f t="shared" si="26"/>
        <v>Low</v>
      </c>
    </row>
    <row r="1686" spans="1:25">
      <c r="A1686" t="s">
        <v>1799</v>
      </c>
      <c r="B1686" s="1">
        <v>44944</v>
      </c>
      <c r="C1686" s="2">
        <v>0.75</v>
      </c>
      <c r="D1686" t="s">
        <v>26</v>
      </c>
      <c r="E1686" t="s">
        <v>48</v>
      </c>
      <c r="F1686" t="s">
        <v>96</v>
      </c>
      <c r="G1686" t="s">
        <v>75</v>
      </c>
      <c r="H1686" s="2">
        <v>0.75277777777777777</v>
      </c>
      <c r="I1686" s="2">
        <v>0.78263888888888888</v>
      </c>
      <c r="J1686">
        <v>5</v>
      </c>
      <c r="K1686">
        <v>16</v>
      </c>
      <c r="L1686" t="s">
        <v>45</v>
      </c>
      <c r="M1686">
        <v>34.1</v>
      </c>
      <c r="N1686">
        <v>92</v>
      </c>
      <c r="O1686">
        <v>39</v>
      </c>
      <c r="P1686">
        <v>5.5</v>
      </c>
      <c r="Q1686" t="s">
        <v>31</v>
      </c>
      <c r="R1686">
        <v>10000</v>
      </c>
      <c r="S1686">
        <v>47</v>
      </c>
      <c r="T1686">
        <v>0</v>
      </c>
      <c r="U1686">
        <v>0</v>
      </c>
      <c r="V1686">
        <v>2</v>
      </c>
      <c r="W1686" t="s">
        <v>55</v>
      </c>
      <c r="X1686">
        <v>1</v>
      </c>
      <c r="Y1686" t="str">
        <f t="shared" si="26"/>
        <v>Medium</v>
      </c>
    </row>
    <row r="1687" spans="1:25">
      <c r="A1687" t="s">
        <v>1800</v>
      </c>
      <c r="B1687" s="1">
        <v>44944</v>
      </c>
      <c r="C1687" s="2">
        <v>0.76041666666666663</v>
      </c>
      <c r="D1687" t="s">
        <v>41</v>
      </c>
      <c r="E1687" t="s">
        <v>147</v>
      </c>
      <c r="F1687" t="s">
        <v>80</v>
      </c>
      <c r="G1687" t="s">
        <v>69</v>
      </c>
      <c r="H1687" s="2">
        <v>0.7631944444444444</v>
      </c>
      <c r="I1687" s="2">
        <v>0.77847222222222223</v>
      </c>
      <c r="J1687">
        <v>10</v>
      </c>
      <c r="K1687">
        <v>19</v>
      </c>
      <c r="L1687" t="s">
        <v>30</v>
      </c>
      <c r="M1687">
        <v>28.2</v>
      </c>
      <c r="N1687">
        <v>99</v>
      </c>
      <c r="O1687">
        <v>46</v>
      </c>
      <c r="P1687">
        <v>19.600000000000001</v>
      </c>
      <c r="Q1687" t="s">
        <v>71</v>
      </c>
      <c r="R1687">
        <v>10000</v>
      </c>
      <c r="S1687">
        <v>6</v>
      </c>
      <c r="T1687">
        <v>0</v>
      </c>
      <c r="U1687">
        <v>1</v>
      </c>
      <c r="V1687">
        <v>2</v>
      </c>
      <c r="W1687" t="s">
        <v>39</v>
      </c>
      <c r="X1687">
        <v>1</v>
      </c>
      <c r="Y1687" t="str">
        <f t="shared" si="26"/>
        <v>Low</v>
      </c>
    </row>
    <row r="1688" spans="1:25">
      <c r="A1688" t="s">
        <v>1801</v>
      </c>
      <c r="B1688" s="1">
        <v>44944</v>
      </c>
      <c r="C1688" s="2">
        <v>0.77083333333333337</v>
      </c>
      <c r="D1688" t="s">
        <v>34</v>
      </c>
      <c r="E1688" t="s">
        <v>93</v>
      </c>
      <c r="F1688" t="s">
        <v>36</v>
      </c>
      <c r="G1688" t="s">
        <v>87</v>
      </c>
      <c r="H1688" s="2">
        <v>0.77152777777777781</v>
      </c>
      <c r="I1688" s="2">
        <v>0.79097222222222219</v>
      </c>
      <c r="J1688">
        <v>7</v>
      </c>
      <c r="K1688">
        <v>14</v>
      </c>
      <c r="L1688" t="s">
        <v>30</v>
      </c>
      <c r="M1688">
        <v>21.4</v>
      </c>
      <c r="N1688">
        <v>51</v>
      </c>
      <c r="O1688">
        <v>42</v>
      </c>
      <c r="P1688">
        <v>17.399999999999999</v>
      </c>
      <c r="Q1688" t="s">
        <v>31</v>
      </c>
      <c r="R1688">
        <v>50000</v>
      </c>
      <c r="S1688">
        <v>59</v>
      </c>
      <c r="T1688">
        <v>0</v>
      </c>
      <c r="U1688">
        <v>0</v>
      </c>
      <c r="V1688">
        <v>2</v>
      </c>
      <c r="W1688" t="s">
        <v>55</v>
      </c>
      <c r="X1688">
        <v>1</v>
      </c>
      <c r="Y1688" t="str">
        <f t="shared" si="26"/>
        <v>Medium</v>
      </c>
    </row>
    <row r="1689" spans="1:25">
      <c r="A1689" t="s">
        <v>1802</v>
      </c>
      <c r="B1689" s="1">
        <v>44944</v>
      </c>
      <c r="C1689" s="2">
        <v>0.78125</v>
      </c>
      <c r="D1689" t="s">
        <v>41</v>
      </c>
      <c r="E1689" t="s">
        <v>98</v>
      </c>
      <c r="F1689" t="s">
        <v>154</v>
      </c>
      <c r="G1689" t="s">
        <v>197</v>
      </c>
      <c r="H1689" s="2">
        <v>0.78125</v>
      </c>
      <c r="I1689" s="2">
        <v>0.81944444444444442</v>
      </c>
      <c r="J1689">
        <v>-1</v>
      </c>
      <c r="K1689">
        <v>21</v>
      </c>
      <c r="L1689" t="s">
        <v>45</v>
      </c>
      <c r="M1689">
        <v>24.4</v>
      </c>
      <c r="N1689">
        <v>96</v>
      </c>
      <c r="O1689">
        <v>19</v>
      </c>
      <c r="P1689">
        <v>6.3</v>
      </c>
      <c r="Q1689" t="s">
        <v>31</v>
      </c>
      <c r="R1689">
        <v>0</v>
      </c>
      <c r="S1689">
        <v>39</v>
      </c>
      <c r="T1689">
        <v>0</v>
      </c>
      <c r="U1689">
        <v>0</v>
      </c>
      <c r="V1689">
        <v>2</v>
      </c>
      <c r="W1689" t="s">
        <v>32</v>
      </c>
      <c r="X1689">
        <v>1</v>
      </c>
      <c r="Y1689" t="str">
        <f t="shared" si="26"/>
        <v>Medium</v>
      </c>
    </row>
    <row r="1690" spans="1:25">
      <c r="A1690" t="s">
        <v>1803</v>
      </c>
      <c r="B1690" s="1">
        <v>44944</v>
      </c>
      <c r="C1690" s="2">
        <v>0.79166666666666663</v>
      </c>
      <c r="D1690" t="s">
        <v>41</v>
      </c>
      <c r="E1690" t="s">
        <v>111</v>
      </c>
      <c r="F1690" t="s">
        <v>197</v>
      </c>
      <c r="G1690" t="s">
        <v>81</v>
      </c>
      <c r="H1690" s="2">
        <v>0.79305555555555551</v>
      </c>
      <c r="I1690" s="2">
        <v>0.80625000000000002</v>
      </c>
      <c r="J1690">
        <v>5</v>
      </c>
      <c r="K1690">
        <v>-3</v>
      </c>
      <c r="L1690" t="s">
        <v>84</v>
      </c>
      <c r="M1690">
        <v>32.5</v>
      </c>
      <c r="N1690">
        <v>88</v>
      </c>
      <c r="O1690">
        <v>32</v>
      </c>
      <c r="P1690">
        <v>6.1</v>
      </c>
      <c r="Q1690" t="s">
        <v>71</v>
      </c>
      <c r="R1690">
        <v>10000</v>
      </c>
      <c r="S1690">
        <v>7</v>
      </c>
      <c r="T1690">
        <v>0</v>
      </c>
      <c r="U1690">
        <v>0</v>
      </c>
      <c r="V1690">
        <v>2</v>
      </c>
      <c r="W1690" t="s">
        <v>72</v>
      </c>
      <c r="X1690">
        <v>0</v>
      </c>
      <c r="Y1690" t="str">
        <f t="shared" si="26"/>
        <v>Low</v>
      </c>
    </row>
    <row r="1691" spans="1:25">
      <c r="A1691" t="s">
        <v>1804</v>
      </c>
      <c r="B1691" s="1">
        <v>44944</v>
      </c>
      <c r="C1691" s="2">
        <v>0.80208333333333337</v>
      </c>
      <c r="D1691" t="s">
        <v>34</v>
      </c>
      <c r="E1691" t="s">
        <v>79</v>
      </c>
      <c r="F1691" t="s">
        <v>58</v>
      </c>
      <c r="G1691" t="s">
        <v>81</v>
      </c>
      <c r="H1691" s="2">
        <v>0.80486111111111114</v>
      </c>
      <c r="I1691" s="2">
        <v>0.83333333333333337</v>
      </c>
      <c r="J1691">
        <v>3</v>
      </c>
      <c r="K1691">
        <v>11</v>
      </c>
      <c r="L1691" t="s">
        <v>84</v>
      </c>
      <c r="M1691">
        <v>33.4</v>
      </c>
      <c r="N1691">
        <v>54</v>
      </c>
      <c r="O1691">
        <v>28</v>
      </c>
      <c r="P1691">
        <v>2.1</v>
      </c>
      <c r="Q1691" t="s">
        <v>101</v>
      </c>
      <c r="R1691">
        <v>10000</v>
      </c>
      <c r="S1691">
        <v>57</v>
      </c>
      <c r="T1691">
        <v>0</v>
      </c>
      <c r="U1691">
        <v>0</v>
      </c>
      <c r="V1691">
        <v>2</v>
      </c>
      <c r="W1691" t="s">
        <v>39</v>
      </c>
      <c r="X1691">
        <v>1</v>
      </c>
      <c r="Y1691" t="str">
        <f t="shared" si="26"/>
        <v>Medium</v>
      </c>
    </row>
    <row r="1692" spans="1:25">
      <c r="A1692" t="s">
        <v>1805</v>
      </c>
      <c r="B1692" s="1">
        <v>44944</v>
      </c>
      <c r="C1692" s="2">
        <v>0.8125</v>
      </c>
      <c r="D1692" t="s">
        <v>74</v>
      </c>
      <c r="E1692" t="s">
        <v>48</v>
      </c>
      <c r="F1692" t="s">
        <v>113</v>
      </c>
      <c r="G1692" t="s">
        <v>176</v>
      </c>
      <c r="H1692" s="2">
        <v>0.81319444444444444</v>
      </c>
      <c r="I1692" s="2">
        <v>0.8354166666666667</v>
      </c>
      <c r="J1692">
        <v>13</v>
      </c>
      <c r="K1692">
        <v>16</v>
      </c>
      <c r="L1692" t="s">
        <v>30</v>
      </c>
      <c r="M1692">
        <v>33.799999999999997</v>
      </c>
      <c r="N1692">
        <v>46</v>
      </c>
      <c r="O1692">
        <v>15</v>
      </c>
      <c r="P1692">
        <v>17.5</v>
      </c>
      <c r="Q1692" t="s">
        <v>31</v>
      </c>
      <c r="R1692">
        <v>0</v>
      </c>
      <c r="S1692">
        <v>56</v>
      </c>
      <c r="T1692">
        <v>0</v>
      </c>
      <c r="U1692">
        <v>0</v>
      </c>
      <c r="V1692">
        <v>2</v>
      </c>
      <c r="W1692" t="s">
        <v>32</v>
      </c>
      <c r="X1692">
        <v>1</v>
      </c>
      <c r="Y1692" t="str">
        <f t="shared" si="26"/>
        <v>Medium</v>
      </c>
    </row>
    <row r="1693" spans="1:25">
      <c r="A1693" t="s">
        <v>1806</v>
      </c>
      <c r="B1693" s="1">
        <v>44944</v>
      </c>
      <c r="C1693" s="2">
        <v>0.82291666666666663</v>
      </c>
      <c r="D1693" t="s">
        <v>74</v>
      </c>
      <c r="E1693" t="s">
        <v>89</v>
      </c>
      <c r="F1693" t="s">
        <v>185</v>
      </c>
      <c r="G1693" t="s">
        <v>91</v>
      </c>
      <c r="H1693" s="2">
        <v>0.82291666666666663</v>
      </c>
      <c r="I1693" s="2">
        <v>0.84722222222222221</v>
      </c>
      <c r="J1693">
        <v>15</v>
      </c>
      <c r="K1693">
        <v>23</v>
      </c>
      <c r="L1693" t="s">
        <v>84</v>
      </c>
      <c r="M1693">
        <v>20</v>
      </c>
      <c r="N1693">
        <v>68</v>
      </c>
      <c r="O1693">
        <v>13</v>
      </c>
      <c r="P1693">
        <v>7.4</v>
      </c>
      <c r="Q1693" t="s">
        <v>63</v>
      </c>
      <c r="R1693">
        <v>2000</v>
      </c>
      <c r="S1693">
        <v>34</v>
      </c>
      <c r="T1693">
        <v>0</v>
      </c>
      <c r="U1693">
        <v>0</v>
      </c>
      <c r="V1693">
        <v>2</v>
      </c>
      <c r="W1693" t="s">
        <v>32</v>
      </c>
      <c r="X1693">
        <v>1</v>
      </c>
      <c r="Y1693" t="str">
        <f t="shared" si="26"/>
        <v>Medium</v>
      </c>
    </row>
    <row r="1694" spans="1:25">
      <c r="A1694" t="s">
        <v>1807</v>
      </c>
      <c r="B1694" s="1">
        <v>44944</v>
      </c>
      <c r="C1694" s="2">
        <v>0.83333333333333337</v>
      </c>
      <c r="D1694" t="s">
        <v>34</v>
      </c>
      <c r="E1694" t="s">
        <v>104</v>
      </c>
      <c r="F1694" t="s">
        <v>105</v>
      </c>
      <c r="G1694" t="s">
        <v>135</v>
      </c>
      <c r="H1694" s="2">
        <v>0.83472222222222225</v>
      </c>
      <c r="I1694" s="2">
        <v>0.85833333333333328</v>
      </c>
      <c r="J1694">
        <v>14</v>
      </c>
      <c r="K1694">
        <v>18</v>
      </c>
      <c r="L1694" t="s">
        <v>54</v>
      </c>
      <c r="M1694">
        <v>10.4</v>
      </c>
      <c r="N1694">
        <v>68</v>
      </c>
      <c r="O1694">
        <v>6</v>
      </c>
      <c r="P1694">
        <v>11.5</v>
      </c>
      <c r="Q1694" t="s">
        <v>31</v>
      </c>
      <c r="R1694">
        <v>0</v>
      </c>
      <c r="S1694">
        <v>72</v>
      </c>
      <c r="T1694">
        <v>0</v>
      </c>
      <c r="U1694">
        <v>0</v>
      </c>
      <c r="V1694">
        <v>2</v>
      </c>
      <c r="W1694" t="s">
        <v>39</v>
      </c>
      <c r="X1694">
        <v>1</v>
      </c>
      <c r="Y1694" t="str">
        <f t="shared" si="26"/>
        <v>High</v>
      </c>
    </row>
    <row r="1695" spans="1:25">
      <c r="A1695" t="s">
        <v>1808</v>
      </c>
      <c r="B1695" s="1">
        <v>44944</v>
      </c>
      <c r="C1695" s="2">
        <v>0.84375</v>
      </c>
      <c r="D1695" t="s">
        <v>26</v>
      </c>
      <c r="E1695" t="s">
        <v>130</v>
      </c>
      <c r="F1695" t="s">
        <v>69</v>
      </c>
      <c r="G1695" t="s">
        <v>58</v>
      </c>
      <c r="H1695" s="2">
        <v>0.84513888888888888</v>
      </c>
      <c r="I1695" s="2">
        <v>0.87222222222222223</v>
      </c>
      <c r="J1695">
        <v>3</v>
      </c>
      <c r="K1695">
        <v>1</v>
      </c>
      <c r="L1695" t="s">
        <v>45</v>
      </c>
      <c r="M1695">
        <v>0.3</v>
      </c>
      <c r="N1695">
        <v>53</v>
      </c>
      <c r="O1695">
        <v>5</v>
      </c>
      <c r="P1695">
        <v>18</v>
      </c>
      <c r="Q1695" t="s">
        <v>31</v>
      </c>
      <c r="R1695">
        <v>500</v>
      </c>
      <c r="S1695">
        <v>12</v>
      </c>
      <c r="T1695">
        <v>0</v>
      </c>
      <c r="U1695">
        <v>1</v>
      </c>
      <c r="V1695">
        <v>2</v>
      </c>
      <c r="W1695" t="s">
        <v>55</v>
      </c>
      <c r="X1695">
        <v>0</v>
      </c>
      <c r="Y1695" t="str">
        <f t="shared" si="26"/>
        <v>Low</v>
      </c>
    </row>
    <row r="1696" spans="1:25">
      <c r="A1696" t="s">
        <v>1809</v>
      </c>
      <c r="B1696" s="1">
        <v>44944</v>
      </c>
      <c r="C1696" s="2">
        <v>0.85416666666666663</v>
      </c>
      <c r="D1696" t="s">
        <v>41</v>
      </c>
      <c r="E1696" t="s">
        <v>126</v>
      </c>
      <c r="F1696" t="s">
        <v>29</v>
      </c>
      <c r="G1696" t="s">
        <v>197</v>
      </c>
      <c r="H1696" s="2">
        <v>0.8569444444444444</v>
      </c>
      <c r="I1696" s="2">
        <v>0.87013888888888891</v>
      </c>
      <c r="J1696">
        <v>10</v>
      </c>
      <c r="K1696">
        <v>-1</v>
      </c>
      <c r="L1696" t="s">
        <v>30</v>
      </c>
      <c r="M1696">
        <v>10.4</v>
      </c>
      <c r="N1696">
        <v>67</v>
      </c>
      <c r="O1696">
        <v>20</v>
      </c>
      <c r="P1696">
        <v>8.1999999999999993</v>
      </c>
      <c r="Q1696" t="s">
        <v>31</v>
      </c>
      <c r="R1696">
        <v>50000</v>
      </c>
      <c r="S1696">
        <v>38</v>
      </c>
      <c r="T1696">
        <v>0</v>
      </c>
      <c r="U1696">
        <v>0</v>
      </c>
      <c r="V1696">
        <v>2</v>
      </c>
      <c r="W1696" t="s">
        <v>72</v>
      </c>
      <c r="X1696">
        <v>0</v>
      </c>
      <c r="Y1696" t="str">
        <f t="shared" si="26"/>
        <v>Medium</v>
      </c>
    </row>
    <row r="1697" spans="1:25">
      <c r="A1697" t="s">
        <v>1810</v>
      </c>
      <c r="B1697" s="1">
        <v>44944</v>
      </c>
      <c r="C1697" s="2">
        <v>0.86458333333333337</v>
      </c>
      <c r="D1697" t="s">
        <v>34</v>
      </c>
      <c r="E1697" t="s">
        <v>68</v>
      </c>
      <c r="F1697" t="s">
        <v>113</v>
      </c>
      <c r="G1697" t="s">
        <v>122</v>
      </c>
      <c r="H1697" s="2">
        <v>0.86597222222222225</v>
      </c>
      <c r="I1697" s="2">
        <v>0.89097222222222228</v>
      </c>
      <c r="J1697">
        <v>11</v>
      </c>
      <c r="K1697">
        <v>13</v>
      </c>
      <c r="L1697" t="s">
        <v>45</v>
      </c>
      <c r="M1697">
        <v>32.700000000000003</v>
      </c>
      <c r="N1697">
        <v>86</v>
      </c>
      <c r="O1697">
        <v>35</v>
      </c>
      <c r="P1697">
        <v>16.100000000000001</v>
      </c>
      <c r="Q1697" t="s">
        <v>71</v>
      </c>
      <c r="R1697">
        <v>0</v>
      </c>
      <c r="S1697">
        <v>83</v>
      </c>
      <c r="T1697">
        <v>0</v>
      </c>
      <c r="U1697">
        <v>0</v>
      </c>
      <c r="V1697">
        <v>2</v>
      </c>
      <c r="W1697" t="s">
        <v>32</v>
      </c>
      <c r="X1697">
        <v>1</v>
      </c>
      <c r="Y1697" t="str">
        <f t="shared" si="26"/>
        <v>High</v>
      </c>
    </row>
    <row r="1698" spans="1:25">
      <c r="A1698" t="s">
        <v>1811</v>
      </c>
      <c r="B1698" s="1">
        <v>44944</v>
      </c>
      <c r="C1698" s="2">
        <v>0.875</v>
      </c>
      <c r="D1698" t="s">
        <v>41</v>
      </c>
      <c r="E1698" t="s">
        <v>141</v>
      </c>
      <c r="F1698" t="s">
        <v>65</v>
      </c>
      <c r="G1698" t="s">
        <v>142</v>
      </c>
      <c r="H1698" s="2">
        <v>0.87569444444444444</v>
      </c>
      <c r="I1698" s="2">
        <v>0.88958333333333328</v>
      </c>
      <c r="J1698">
        <v>18</v>
      </c>
      <c r="K1698">
        <v>20</v>
      </c>
      <c r="L1698" t="s">
        <v>84</v>
      </c>
      <c r="M1698">
        <v>30.6</v>
      </c>
      <c r="N1698">
        <v>73</v>
      </c>
      <c r="O1698">
        <v>21</v>
      </c>
      <c r="P1698">
        <v>8.6</v>
      </c>
      <c r="Q1698" t="s">
        <v>31</v>
      </c>
      <c r="R1698">
        <v>2000</v>
      </c>
      <c r="S1698">
        <v>20</v>
      </c>
      <c r="T1698">
        <v>0</v>
      </c>
      <c r="U1698">
        <v>0</v>
      </c>
      <c r="V1698">
        <v>2</v>
      </c>
      <c r="W1698" t="s">
        <v>55</v>
      </c>
      <c r="X1698">
        <v>1</v>
      </c>
      <c r="Y1698" t="str">
        <f t="shared" si="26"/>
        <v>Low</v>
      </c>
    </row>
    <row r="1699" spans="1:25">
      <c r="A1699" t="s">
        <v>1812</v>
      </c>
      <c r="B1699" s="1">
        <v>44944</v>
      </c>
      <c r="C1699" s="2">
        <v>0.88541666666666663</v>
      </c>
      <c r="D1699" t="s">
        <v>26</v>
      </c>
      <c r="E1699" t="s">
        <v>68</v>
      </c>
      <c r="F1699" t="s">
        <v>105</v>
      </c>
      <c r="G1699" t="s">
        <v>203</v>
      </c>
      <c r="H1699" s="2">
        <v>0.88680555555555551</v>
      </c>
      <c r="I1699" s="2">
        <v>0.92569444444444449</v>
      </c>
      <c r="J1699">
        <v>7</v>
      </c>
      <c r="K1699">
        <v>20</v>
      </c>
      <c r="L1699" t="s">
        <v>45</v>
      </c>
      <c r="M1699">
        <v>15.9</v>
      </c>
      <c r="N1699">
        <v>65</v>
      </c>
      <c r="O1699">
        <v>39</v>
      </c>
      <c r="P1699">
        <v>14</v>
      </c>
      <c r="Q1699" t="s">
        <v>31</v>
      </c>
      <c r="R1699">
        <v>0</v>
      </c>
      <c r="S1699">
        <v>46</v>
      </c>
      <c r="T1699">
        <v>0</v>
      </c>
      <c r="U1699">
        <v>0</v>
      </c>
      <c r="V1699">
        <v>2</v>
      </c>
      <c r="W1699" t="s">
        <v>39</v>
      </c>
      <c r="X1699">
        <v>1</v>
      </c>
      <c r="Y1699" t="str">
        <f t="shared" si="26"/>
        <v>Medium</v>
      </c>
    </row>
    <row r="1700" spans="1:25">
      <c r="A1700" t="s">
        <v>1813</v>
      </c>
      <c r="B1700" s="1">
        <v>44944</v>
      </c>
      <c r="C1700" s="2">
        <v>0.89583333333333337</v>
      </c>
      <c r="D1700" t="s">
        <v>41</v>
      </c>
      <c r="E1700" t="s">
        <v>130</v>
      </c>
      <c r="F1700" t="s">
        <v>197</v>
      </c>
      <c r="G1700" t="s">
        <v>113</v>
      </c>
      <c r="H1700" s="2">
        <v>0.8979166666666667</v>
      </c>
      <c r="I1700" s="2">
        <v>0.91527777777777775</v>
      </c>
      <c r="J1700">
        <v>8</v>
      </c>
      <c r="K1700">
        <v>-1</v>
      </c>
      <c r="L1700" t="s">
        <v>84</v>
      </c>
      <c r="M1700">
        <v>16.5</v>
      </c>
      <c r="N1700">
        <v>99</v>
      </c>
      <c r="O1700">
        <v>53</v>
      </c>
      <c r="P1700">
        <v>8.6</v>
      </c>
      <c r="Q1700" t="s">
        <v>31</v>
      </c>
      <c r="R1700">
        <v>10000</v>
      </c>
      <c r="S1700">
        <v>82</v>
      </c>
      <c r="T1700">
        <v>0</v>
      </c>
      <c r="U1700">
        <v>0</v>
      </c>
      <c r="V1700">
        <v>2</v>
      </c>
      <c r="W1700" t="s">
        <v>39</v>
      </c>
      <c r="X1700">
        <v>0</v>
      </c>
      <c r="Y1700" t="str">
        <f t="shared" si="26"/>
        <v>High</v>
      </c>
    </row>
    <row r="1701" spans="1:25">
      <c r="A1701" t="s">
        <v>1814</v>
      </c>
      <c r="B1701" s="1">
        <v>44944</v>
      </c>
      <c r="C1701" s="2">
        <v>0.90625</v>
      </c>
      <c r="D1701" t="s">
        <v>34</v>
      </c>
      <c r="E1701" t="s">
        <v>42</v>
      </c>
      <c r="F1701" t="s">
        <v>65</v>
      </c>
      <c r="G1701" t="s">
        <v>118</v>
      </c>
      <c r="H1701" s="2">
        <v>0.90694444444444444</v>
      </c>
      <c r="I1701" s="2">
        <v>0.93263888888888891</v>
      </c>
      <c r="J1701">
        <v>10</v>
      </c>
      <c r="K1701">
        <v>3</v>
      </c>
      <c r="L1701" t="s">
        <v>84</v>
      </c>
      <c r="M1701">
        <v>7.4</v>
      </c>
      <c r="N1701">
        <v>74</v>
      </c>
      <c r="O1701">
        <v>18</v>
      </c>
      <c r="P1701">
        <v>7.9</v>
      </c>
      <c r="Q1701" t="s">
        <v>71</v>
      </c>
      <c r="R1701">
        <v>500</v>
      </c>
      <c r="S1701">
        <v>1</v>
      </c>
      <c r="T1701">
        <v>0</v>
      </c>
      <c r="U1701">
        <v>0</v>
      </c>
      <c r="V1701">
        <v>2</v>
      </c>
      <c r="W1701" t="s">
        <v>72</v>
      </c>
      <c r="X1701">
        <v>0</v>
      </c>
      <c r="Y1701" t="str">
        <f t="shared" si="26"/>
        <v>Low</v>
      </c>
    </row>
    <row r="1702" spans="1:25">
      <c r="A1702" t="s">
        <v>1815</v>
      </c>
      <c r="B1702" s="1">
        <v>44944</v>
      </c>
      <c r="C1702" s="2">
        <v>0.91666666666666663</v>
      </c>
      <c r="D1702" t="s">
        <v>41</v>
      </c>
      <c r="E1702" t="s">
        <v>52</v>
      </c>
      <c r="F1702" t="s">
        <v>70</v>
      </c>
      <c r="G1702" t="s">
        <v>99</v>
      </c>
      <c r="H1702" s="2">
        <v>0.91666666666666663</v>
      </c>
      <c r="I1702" s="2">
        <v>0.94097222222222221</v>
      </c>
      <c r="J1702">
        <v>9</v>
      </c>
      <c r="K1702">
        <v>21</v>
      </c>
      <c r="L1702" t="s">
        <v>45</v>
      </c>
      <c r="M1702">
        <v>13.2</v>
      </c>
      <c r="N1702">
        <v>55</v>
      </c>
      <c r="O1702">
        <v>24</v>
      </c>
      <c r="P1702">
        <v>19.8</v>
      </c>
      <c r="Q1702" t="s">
        <v>31</v>
      </c>
      <c r="R1702">
        <v>50000</v>
      </c>
      <c r="S1702">
        <v>43</v>
      </c>
      <c r="T1702">
        <v>0</v>
      </c>
      <c r="U1702">
        <v>1</v>
      </c>
      <c r="V1702">
        <v>2</v>
      </c>
      <c r="W1702" t="s">
        <v>39</v>
      </c>
      <c r="X1702">
        <v>1</v>
      </c>
      <c r="Y1702" t="str">
        <f t="shared" si="26"/>
        <v>Medium</v>
      </c>
    </row>
    <row r="1703" spans="1:25">
      <c r="A1703" t="s">
        <v>1816</v>
      </c>
      <c r="B1703" s="1">
        <v>44944</v>
      </c>
      <c r="C1703" s="2">
        <v>0.92708333333333337</v>
      </c>
      <c r="D1703" t="s">
        <v>74</v>
      </c>
      <c r="E1703" t="s">
        <v>141</v>
      </c>
      <c r="F1703" t="s">
        <v>107</v>
      </c>
      <c r="G1703" t="s">
        <v>176</v>
      </c>
      <c r="H1703" s="2">
        <v>0.92708333333333337</v>
      </c>
      <c r="I1703" s="2">
        <v>0.95763888888888893</v>
      </c>
      <c r="J1703">
        <v>6</v>
      </c>
      <c r="K1703">
        <v>-1</v>
      </c>
      <c r="L1703" t="s">
        <v>84</v>
      </c>
      <c r="M1703">
        <v>23.6</v>
      </c>
      <c r="N1703">
        <v>40</v>
      </c>
      <c r="O1703">
        <v>2</v>
      </c>
      <c r="P1703">
        <v>12.2</v>
      </c>
      <c r="Q1703" t="s">
        <v>31</v>
      </c>
      <c r="R1703">
        <v>2000</v>
      </c>
      <c r="S1703">
        <v>29</v>
      </c>
      <c r="T1703">
        <v>0</v>
      </c>
      <c r="U1703">
        <v>0</v>
      </c>
      <c r="V1703">
        <v>2</v>
      </c>
      <c r="W1703" t="s">
        <v>72</v>
      </c>
      <c r="X1703">
        <v>0</v>
      </c>
      <c r="Y1703" t="str">
        <f t="shared" si="26"/>
        <v>Low</v>
      </c>
    </row>
    <row r="1704" spans="1:25">
      <c r="A1704" t="s">
        <v>1817</v>
      </c>
      <c r="B1704" s="1">
        <v>44944</v>
      </c>
      <c r="C1704" s="2">
        <v>0.9375</v>
      </c>
      <c r="D1704" t="s">
        <v>26</v>
      </c>
      <c r="E1704" t="s">
        <v>57</v>
      </c>
      <c r="F1704" t="s">
        <v>62</v>
      </c>
      <c r="G1704" t="s">
        <v>29</v>
      </c>
      <c r="H1704" s="2">
        <v>0.94027777777777777</v>
      </c>
      <c r="I1704" s="2">
        <v>0.96319444444444446</v>
      </c>
      <c r="J1704">
        <v>1</v>
      </c>
      <c r="K1704">
        <v>11</v>
      </c>
      <c r="L1704" t="s">
        <v>54</v>
      </c>
      <c r="M1704">
        <v>11.1</v>
      </c>
      <c r="N1704">
        <v>81</v>
      </c>
      <c r="O1704">
        <v>35</v>
      </c>
      <c r="P1704">
        <v>7.3</v>
      </c>
      <c r="Q1704" t="s">
        <v>101</v>
      </c>
      <c r="R1704">
        <v>0</v>
      </c>
      <c r="S1704">
        <v>86</v>
      </c>
      <c r="T1704">
        <v>0</v>
      </c>
      <c r="U1704">
        <v>0</v>
      </c>
      <c r="V1704">
        <v>2</v>
      </c>
      <c r="W1704" t="s">
        <v>39</v>
      </c>
      <c r="X1704">
        <v>1</v>
      </c>
      <c r="Y1704" t="str">
        <f t="shared" si="26"/>
        <v>High</v>
      </c>
    </row>
    <row r="1705" spans="1:25">
      <c r="A1705" t="s">
        <v>1818</v>
      </c>
      <c r="B1705" s="1">
        <v>44944</v>
      </c>
      <c r="C1705" s="2">
        <v>0.94791666666666663</v>
      </c>
      <c r="D1705" t="s">
        <v>26</v>
      </c>
      <c r="E1705" t="s">
        <v>89</v>
      </c>
      <c r="F1705" t="s">
        <v>49</v>
      </c>
      <c r="G1705" t="s">
        <v>128</v>
      </c>
      <c r="H1705" s="2">
        <v>0.9506944444444444</v>
      </c>
      <c r="I1705" s="2">
        <v>0.9770833333333333</v>
      </c>
      <c r="J1705">
        <v>4</v>
      </c>
      <c r="K1705">
        <v>25</v>
      </c>
      <c r="L1705" t="s">
        <v>38</v>
      </c>
      <c r="M1705">
        <v>2.5</v>
      </c>
      <c r="N1705">
        <v>54</v>
      </c>
      <c r="O1705">
        <v>44</v>
      </c>
      <c r="P1705">
        <v>5.2</v>
      </c>
      <c r="Q1705" t="s">
        <v>71</v>
      </c>
      <c r="R1705">
        <v>0</v>
      </c>
      <c r="S1705">
        <v>54</v>
      </c>
      <c r="T1705">
        <v>0</v>
      </c>
      <c r="U1705">
        <v>0</v>
      </c>
      <c r="V1705">
        <v>2</v>
      </c>
      <c r="W1705" t="s">
        <v>39</v>
      </c>
      <c r="X1705">
        <v>1</v>
      </c>
      <c r="Y1705" t="str">
        <f t="shared" si="26"/>
        <v>Medium</v>
      </c>
    </row>
    <row r="1706" spans="1:25">
      <c r="A1706" t="s">
        <v>1819</v>
      </c>
      <c r="B1706" s="1">
        <v>44944</v>
      </c>
      <c r="C1706" s="2">
        <v>0.95833333333333337</v>
      </c>
      <c r="D1706" t="s">
        <v>26</v>
      </c>
      <c r="E1706" t="s">
        <v>35</v>
      </c>
      <c r="F1706" t="s">
        <v>36</v>
      </c>
      <c r="G1706" t="s">
        <v>122</v>
      </c>
      <c r="H1706" s="2">
        <v>0.9604166666666667</v>
      </c>
      <c r="I1706" s="2">
        <v>0.98611111111111116</v>
      </c>
      <c r="J1706">
        <v>19</v>
      </c>
      <c r="K1706">
        <v>25</v>
      </c>
      <c r="L1706" t="s">
        <v>45</v>
      </c>
      <c r="M1706">
        <v>16.600000000000001</v>
      </c>
      <c r="N1706">
        <v>60</v>
      </c>
      <c r="O1706">
        <v>52</v>
      </c>
      <c r="P1706">
        <v>0.8</v>
      </c>
      <c r="Q1706" t="s">
        <v>31</v>
      </c>
      <c r="R1706">
        <v>2000</v>
      </c>
      <c r="S1706">
        <v>39</v>
      </c>
      <c r="T1706">
        <v>0</v>
      </c>
      <c r="U1706">
        <v>1</v>
      </c>
      <c r="V1706">
        <v>2</v>
      </c>
      <c r="W1706" t="s">
        <v>32</v>
      </c>
      <c r="X1706">
        <v>1</v>
      </c>
      <c r="Y1706" t="str">
        <f t="shared" si="26"/>
        <v>Medium</v>
      </c>
    </row>
    <row r="1707" spans="1:25">
      <c r="A1707" t="s">
        <v>1820</v>
      </c>
      <c r="B1707" s="1">
        <v>44944</v>
      </c>
      <c r="C1707" s="2">
        <v>0.96875</v>
      </c>
      <c r="D1707" t="s">
        <v>34</v>
      </c>
      <c r="E1707" t="s">
        <v>130</v>
      </c>
      <c r="F1707" t="s">
        <v>100</v>
      </c>
      <c r="G1707" t="s">
        <v>62</v>
      </c>
      <c r="H1707" s="2">
        <v>0.96875</v>
      </c>
      <c r="I1707" s="2">
        <v>0.98958333333333337</v>
      </c>
      <c r="J1707">
        <v>-1</v>
      </c>
      <c r="K1707">
        <v>6</v>
      </c>
      <c r="L1707" t="s">
        <v>38</v>
      </c>
      <c r="M1707">
        <v>4</v>
      </c>
      <c r="N1707">
        <v>74</v>
      </c>
      <c r="O1707">
        <v>58</v>
      </c>
      <c r="P1707">
        <v>14.1</v>
      </c>
      <c r="Q1707" t="s">
        <v>31</v>
      </c>
      <c r="R1707">
        <v>0</v>
      </c>
      <c r="S1707">
        <v>76</v>
      </c>
      <c r="T1707">
        <v>0</v>
      </c>
      <c r="U1707">
        <v>0</v>
      </c>
      <c r="V1707">
        <v>2</v>
      </c>
      <c r="W1707" t="s">
        <v>55</v>
      </c>
      <c r="X1707">
        <v>1</v>
      </c>
      <c r="Y1707" t="str">
        <f t="shared" si="26"/>
        <v>High</v>
      </c>
    </row>
    <row r="1708" spans="1:25">
      <c r="A1708" t="s">
        <v>1821</v>
      </c>
      <c r="B1708" s="1">
        <v>44944</v>
      </c>
      <c r="C1708" s="2">
        <v>0.97916666666666663</v>
      </c>
      <c r="D1708" t="s">
        <v>26</v>
      </c>
      <c r="E1708" t="s">
        <v>147</v>
      </c>
      <c r="F1708" t="s">
        <v>122</v>
      </c>
      <c r="G1708" t="s">
        <v>50</v>
      </c>
      <c r="H1708" s="2">
        <v>0.97916666666666663</v>
      </c>
      <c r="I1708" s="2">
        <v>1.9444444444444445E-2</v>
      </c>
      <c r="J1708">
        <v>4</v>
      </c>
      <c r="K1708">
        <v>28</v>
      </c>
      <c r="L1708" t="s">
        <v>45</v>
      </c>
      <c r="M1708">
        <v>34</v>
      </c>
      <c r="N1708">
        <v>96</v>
      </c>
      <c r="O1708">
        <v>33</v>
      </c>
      <c r="P1708">
        <v>7.4</v>
      </c>
      <c r="Q1708" t="s">
        <v>46</v>
      </c>
      <c r="R1708">
        <v>500</v>
      </c>
      <c r="S1708">
        <v>96</v>
      </c>
      <c r="T1708">
        <v>0</v>
      </c>
      <c r="U1708">
        <v>0</v>
      </c>
      <c r="V1708">
        <v>2</v>
      </c>
      <c r="W1708" t="s">
        <v>32</v>
      </c>
      <c r="X1708">
        <v>1</v>
      </c>
      <c r="Y1708" t="str">
        <f t="shared" si="26"/>
        <v>High</v>
      </c>
    </row>
    <row r="1709" spans="1:25">
      <c r="A1709" t="s">
        <v>1822</v>
      </c>
      <c r="B1709" s="1">
        <v>44944</v>
      </c>
      <c r="C1709" s="2">
        <v>0.98958333333333337</v>
      </c>
      <c r="D1709" t="s">
        <v>74</v>
      </c>
      <c r="E1709" t="s">
        <v>161</v>
      </c>
      <c r="F1709" t="s">
        <v>128</v>
      </c>
      <c r="G1709" t="s">
        <v>135</v>
      </c>
      <c r="H1709" s="2">
        <v>0.98958333333333337</v>
      </c>
      <c r="I1709" s="2">
        <v>5.5555555555555558E-3</v>
      </c>
      <c r="J1709">
        <v>6</v>
      </c>
      <c r="K1709">
        <v>19</v>
      </c>
      <c r="L1709" t="s">
        <v>84</v>
      </c>
      <c r="M1709">
        <v>10.6</v>
      </c>
      <c r="N1709">
        <v>69</v>
      </c>
      <c r="O1709">
        <v>10</v>
      </c>
      <c r="P1709">
        <v>16.399999999999999</v>
      </c>
      <c r="Q1709" t="s">
        <v>31</v>
      </c>
      <c r="R1709">
        <v>0</v>
      </c>
      <c r="S1709">
        <v>95</v>
      </c>
      <c r="T1709">
        <v>0</v>
      </c>
      <c r="U1709">
        <v>1</v>
      </c>
      <c r="V1709">
        <v>2</v>
      </c>
      <c r="W1709" t="s">
        <v>72</v>
      </c>
      <c r="X1709">
        <v>1</v>
      </c>
      <c r="Y1709" t="str">
        <f t="shared" si="26"/>
        <v>High</v>
      </c>
    </row>
    <row r="1710" spans="1:25">
      <c r="A1710" t="s">
        <v>1823</v>
      </c>
      <c r="B1710" s="1">
        <v>44945</v>
      </c>
      <c r="C1710" s="2">
        <v>0</v>
      </c>
      <c r="D1710" t="s">
        <v>34</v>
      </c>
      <c r="E1710" t="s">
        <v>93</v>
      </c>
      <c r="F1710" t="s">
        <v>37</v>
      </c>
      <c r="G1710" t="s">
        <v>163</v>
      </c>
      <c r="H1710" s="2">
        <v>0</v>
      </c>
      <c r="I1710" s="2">
        <v>3.0555555555555555E-2</v>
      </c>
      <c r="J1710">
        <v>2</v>
      </c>
      <c r="K1710">
        <v>5</v>
      </c>
      <c r="L1710" t="s">
        <v>84</v>
      </c>
      <c r="M1710">
        <v>31.4</v>
      </c>
      <c r="N1710">
        <v>75</v>
      </c>
      <c r="O1710">
        <v>47</v>
      </c>
      <c r="P1710">
        <v>7.3</v>
      </c>
      <c r="Q1710" t="s">
        <v>46</v>
      </c>
      <c r="R1710">
        <v>10000</v>
      </c>
      <c r="S1710">
        <v>91</v>
      </c>
      <c r="T1710">
        <v>0</v>
      </c>
      <c r="U1710">
        <v>0</v>
      </c>
      <c r="V1710">
        <v>3</v>
      </c>
      <c r="W1710" t="s">
        <v>32</v>
      </c>
      <c r="X1710">
        <v>0</v>
      </c>
      <c r="Y1710" t="str">
        <f t="shared" si="26"/>
        <v>High</v>
      </c>
    </row>
    <row r="1711" spans="1:25">
      <c r="A1711" t="s">
        <v>1824</v>
      </c>
      <c r="B1711" s="1">
        <v>44945</v>
      </c>
      <c r="C1711" s="2">
        <v>1.0416666666666666E-2</v>
      </c>
      <c r="D1711" t="s">
        <v>74</v>
      </c>
      <c r="E1711" t="s">
        <v>27</v>
      </c>
      <c r="F1711" t="s">
        <v>69</v>
      </c>
      <c r="G1711" t="s">
        <v>58</v>
      </c>
      <c r="H1711" s="2">
        <v>1.1805555555555555E-2</v>
      </c>
      <c r="I1711" s="2">
        <v>4.583333333333333E-2</v>
      </c>
      <c r="J1711">
        <v>12</v>
      </c>
      <c r="K1711">
        <v>10</v>
      </c>
      <c r="L1711" t="s">
        <v>30</v>
      </c>
      <c r="M1711">
        <v>4</v>
      </c>
      <c r="N1711">
        <v>83</v>
      </c>
      <c r="O1711">
        <v>41</v>
      </c>
      <c r="P1711">
        <v>7.5</v>
      </c>
      <c r="Q1711" t="s">
        <v>31</v>
      </c>
      <c r="R1711">
        <v>0</v>
      </c>
      <c r="S1711">
        <v>23</v>
      </c>
      <c r="T1711">
        <v>0</v>
      </c>
      <c r="U1711">
        <v>0</v>
      </c>
      <c r="V1711">
        <v>3</v>
      </c>
      <c r="W1711" t="s">
        <v>39</v>
      </c>
      <c r="X1711">
        <v>1</v>
      </c>
      <c r="Y1711" t="str">
        <f t="shared" si="26"/>
        <v>Low</v>
      </c>
    </row>
    <row r="1712" spans="1:25">
      <c r="A1712" t="s">
        <v>1825</v>
      </c>
      <c r="B1712" s="1">
        <v>44945</v>
      </c>
      <c r="C1712" s="2">
        <v>2.0833333333333332E-2</v>
      </c>
      <c r="D1712" t="s">
        <v>41</v>
      </c>
      <c r="E1712" t="s">
        <v>61</v>
      </c>
      <c r="F1712" t="s">
        <v>90</v>
      </c>
      <c r="G1712" t="s">
        <v>194</v>
      </c>
      <c r="H1712" s="2">
        <v>2.1527777777777778E-2</v>
      </c>
      <c r="I1712" s="2">
        <v>5.486111111111111E-2</v>
      </c>
      <c r="J1712">
        <v>15</v>
      </c>
      <c r="K1712">
        <v>0</v>
      </c>
      <c r="L1712" t="s">
        <v>54</v>
      </c>
      <c r="M1712">
        <v>2.6</v>
      </c>
      <c r="N1712">
        <v>70</v>
      </c>
      <c r="O1712">
        <v>46</v>
      </c>
      <c r="P1712">
        <v>15.6</v>
      </c>
      <c r="Q1712" t="s">
        <v>31</v>
      </c>
      <c r="R1712">
        <v>50000</v>
      </c>
      <c r="S1712">
        <v>41</v>
      </c>
      <c r="T1712">
        <v>0</v>
      </c>
      <c r="U1712">
        <v>0</v>
      </c>
      <c r="V1712">
        <v>3</v>
      </c>
      <c r="W1712" t="s">
        <v>39</v>
      </c>
      <c r="X1712">
        <v>0</v>
      </c>
      <c r="Y1712" t="str">
        <f t="shared" si="26"/>
        <v>Medium</v>
      </c>
    </row>
    <row r="1713" spans="1:25">
      <c r="A1713" t="s">
        <v>1826</v>
      </c>
      <c r="B1713" s="1">
        <v>44945</v>
      </c>
      <c r="C1713" s="2">
        <v>3.125E-2</v>
      </c>
      <c r="D1713" t="s">
        <v>41</v>
      </c>
      <c r="E1713" t="s">
        <v>57</v>
      </c>
      <c r="F1713" t="s">
        <v>122</v>
      </c>
      <c r="G1713" t="s">
        <v>37</v>
      </c>
      <c r="H1713" s="2">
        <v>3.1944444444444442E-2</v>
      </c>
      <c r="I1713" s="2">
        <v>6.25E-2</v>
      </c>
      <c r="J1713">
        <v>1</v>
      </c>
      <c r="K1713">
        <v>16</v>
      </c>
      <c r="L1713" t="s">
        <v>30</v>
      </c>
      <c r="M1713">
        <v>19.7</v>
      </c>
      <c r="N1713">
        <v>67</v>
      </c>
      <c r="O1713">
        <v>26</v>
      </c>
      <c r="P1713">
        <v>9.8000000000000007</v>
      </c>
      <c r="Q1713" t="s">
        <v>31</v>
      </c>
      <c r="R1713">
        <v>2000</v>
      </c>
      <c r="S1713">
        <v>27</v>
      </c>
      <c r="T1713">
        <v>1</v>
      </c>
      <c r="U1713">
        <v>1</v>
      </c>
      <c r="V1713">
        <v>3</v>
      </c>
      <c r="W1713" t="s">
        <v>55</v>
      </c>
      <c r="X1713">
        <v>1</v>
      </c>
      <c r="Y1713" t="str">
        <f t="shared" si="26"/>
        <v>Low</v>
      </c>
    </row>
    <row r="1714" spans="1:25">
      <c r="A1714" t="s">
        <v>1827</v>
      </c>
      <c r="B1714" s="1">
        <v>44945</v>
      </c>
      <c r="C1714" s="2">
        <v>4.1666666666666664E-2</v>
      </c>
      <c r="D1714" t="s">
        <v>41</v>
      </c>
      <c r="E1714" t="s">
        <v>68</v>
      </c>
      <c r="F1714" t="s">
        <v>176</v>
      </c>
      <c r="G1714" t="s">
        <v>87</v>
      </c>
      <c r="H1714" s="2">
        <v>4.3749999999999997E-2</v>
      </c>
      <c r="I1714" s="2">
        <v>7.9861111111111105E-2</v>
      </c>
      <c r="J1714">
        <v>16</v>
      </c>
      <c r="K1714">
        <v>24</v>
      </c>
      <c r="L1714" t="s">
        <v>38</v>
      </c>
      <c r="M1714">
        <v>26.2</v>
      </c>
      <c r="N1714">
        <v>65</v>
      </c>
      <c r="O1714">
        <v>41</v>
      </c>
      <c r="P1714">
        <v>17.7</v>
      </c>
      <c r="Q1714" t="s">
        <v>63</v>
      </c>
      <c r="R1714">
        <v>0</v>
      </c>
      <c r="S1714">
        <v>93</v>
      </c>
      <c r="T1714">
        <v>0</v>
      </c>
      <c r="U1714">
        <v>1</v>
      </c>
      <c r="V1714">
        <v>3</v>
      </c>
      <c r="W1714" t="s">
        <v>72</v>
      </c>
      <c r="X1714">
        <v>1</v>
      </c>
      <c r="Y1714" t="str">
        <f t="shared" si="26"/>
        <v>High</v>
      </c>
    </row>
    <row r="1715" spans="1:25">
      <c r="A1715" t="s">
        <v>1828</v>
      </c>
      <c r="B1715" s="1">
        <v>44945</v>
      </c>
      <c r="C1715" s="2">
        <v>5.2083333333333336E-2</v>
      </c>
      <c r="D1715" t="s">
        <v>41</v>
      </c>
      <c r="E1715" t="s">
        <v>147</v>
      </c>
      <c r="F1715" t="s">
        <v>113</v>
      </c>
      <c r="G1715" t="s">
        <v>113</v>
      </c>
      <c r="H1715" s="2">
        <v>5.347222222222222E-2</v>
      </c>
      <c r="I1715" s="2">
        <v>8.8888888888888892E-2</v>
      </c>
      <c r="J1715">
        <v>17</v>
      </c>
      <c r="K1715">
        <v>10</v>
      </c>
      <c r="L1715" t="s">
        <v>84</v>
      </c>
      <c r="M1715">
        <v>17.7</v>
      </c>
      <c r="N1715">
        <v>73</v>
      </c>
      <c r="O1715">
        <v>1</v>
      </c>
      <c r="P1715">
        <v>11.8</v>
      </c>
      <c r="Q1715" t="s">
        <v>101</v>
      </c>
      <c r="R1715">
        <v>0</v>
      </c>
      <c r="S1715">
        <v>92</v>
      </c>
      <c r="T1715">
        <v>0</v>
      </c>
      <c r="U1715">
        <v>1</v>
      </c>
      <c r="V1715">
        <v>3</v>
      </c>
      <c r="W1715" t="s">
        <v>39</v>
      </c>
      <c r="X1715">
        <v>1</v>
      </c>
      <c r="Y1715" t="str">
        <f t="shared" si="26"/>
        <v>High</v>
      </c>
    </row>
    <row r="1716" spans="1:25">
      <c r="A1716" t="s">
        <v>1829</v>
      </c>
      <c r="B1716" s="1">
        <v>44945</v>
      </c>
      <c r="C1716" s="2">
        <v>6.25E-2</v>
      </c>
      <c r="D1716" t="s">
        <v>74</v>
      </c>
      <c r="E1716" t="s">
        <v>79</v>
      </c>
      <c r="F1716" t="s">
        <v>123</v>
      </c>
      <c r="G1716" t="s">
        <v>29</v>
      </c>
      <c r="H1716" s="2">
        <v>6.25E-2</v>
      </c>
      <c r="I1716" s="2">
        <v>8.1944444444444445E-2</v>
      </c>
      <c r="J1716">
        <v>4</v>
      </c>
      <c r="K1716">
        <v>9</v>
      </c>
      <c r="L1716" t="s">
        <v>30</v>
      </c>
      <c r="M1716">
        <v>4.2</v>
      </c>
      <c r="N1716">
        <v>86</v>
      </c>
      <c r="O1716">
        <v>5</v>
      </c>
      <c r="P1716">
        <v>4.8</v>
      </c>
      <c r="Q1716" t="s">
        <v>101</v>
      </c>
      <c r="R1716">
        <v>50000</v>
      </c>
      <c r="S1716">
        <v>97</v>
      </c>
      <c r="T1716">
        <v>0</v>
      </c>
      <c r="U1716">
        <v>1</v>
      </c>
      <c r="V1716">
        <v>3</v>
      </c>
      <c r="W1716" t="s">
        <v>55</v>
      </c>
      <c r="X1716">
        <v>1</v>
      </c>
      <c r="Y1716" t="str">
        <f t="shared" si="26"/>
        <v>High</v>
      </c>
    </row>
    <row r="1717" spans="1:25">
      <c r="A1717" t="s">
        <v>1830</v>
      </c>
      <c r="B1717" s="1">
        <v>44945</v>
      </c>
      <c r="C1717" s="2">
        <v>7.2916666666666671E-2</v>
      </c>
      <c r="D1717" t="s">
        <v>34</v>
      </c>
      <c r="E1717" t="s">
        <v>157</v>
      </c>
      <c r="F1717" t="s">
        <v>176</v>
      </c>
      <c r="G1717" t="s">
        <v>81</v>
      </c>
      <c r="H1717" s="2">
        <v>7.2916666666666671E-2</v>
      </c>
      <c r="I1717" s="2">
        <v>9.4444444444444442E-2</v>
      </c>
      <c r="J1717">
        <v>5</v>
      </c>
      <c r="K1717">
        <v>27</v>
      </c>
      <c r="L1717" t="s">
        <v>84</v>
      </c>
      <c r="M1717">
        <v>-3.5</v>
      </c>
      <c r="N1717">
        <v>95</v>
      </c>
      <c r="O1717">
        <v>45</v>
      </c>
      <c r="P1717">
        <v>11.4</v>
      </c>
      <c r="Q1717" t="s">
        <v>31</v>
      </c>
      <c r="R1717">
        <v>2000</v>
      </c>
      <c r="S1717">
        <v>50</v>
      </c>
      <c r="T1717">
        <v>0</v>
      </c>
      <c r="U1717">
        <v>0</v>
      </c>
      <c r="V1717">
        <v>3</v>
      </c>
      <c r="W1717" t="s">
        <v>55</v>
      </c>
      <c r="X1717">
        <v>1</v>
      </c>
      <c r="Y1717" t="str">
        <f t="shared" si="26"/>
        <v>Medium</v>
      </c>
    </row>
    <row r="1718" spans="1:25">
      <c r="A1718" t="s">
        <v>1831</v>
      </c>
      <c r="B1718" s="1">
        <v>44945</v>
      </c>
      <c r="C1718" s="2">
        <v>8.3333333333333329E-2</v>
      </c>
      <c r="D1718" t="s">
        <v>34</v>
      </c>
      <c r="E1718" t="s">
        <v>130</v>
      </c>
      <c r="F1718" t="s">
        <v>58</v>
      </c>
      <c r="G1718" t="s">
        <v>116</v>
      </c>
      <c r="H1718" s="2">
        <v>8.611111111111111E-2</v>
      </c>
      <c r="I1718" s="2">
        <v>9.7916666666666666E-2</v>
      </c>
      <c r="J1718">
        <v>14</v>
      </c>
      <c r="K1718">
        <v>29</v>
      </c>
      <c r="L1718" t="s">
        <v>45</v>
      </c>
      <c r="M1718">
        <v>19.7</v>
      </c>
      <c r="N1718">
        <v>59</v>
      </c>
      <c r="O1718">
        <v>1</v>
      </c>
      <c r="P1718">
        <v>0.1</v>
      </c>
      <c r="Q1718" t="s">
        <v>59</v>
      </c>
      <c r="R1718">
        <v>0</v>
      </c>
      <c r="S1718">
        <v>21</v>
      </c>
      <c r="T1718">
        <v>0</v>
      </c>
      <c r="U1718">
        <v>0</v>
      </c>
      <c r="V1718">
        <v>3</v>
      </c>
      <c r="W1718" t="s">
        <v>39</v>
      </c>
      <c r="X1718">
        <v>1</v>
      </c>
      <c r="Y1718" t="str">
        <f t="shared" si="26"/>
        <v>Low</v>
      </c>
    </row>
    <row r="1719" spans="1:25">
      <c r="A1719" t="s">
        <v>1832</v>
      </c>
      <c r="B1719" s="1">
        <v>44945</v>
      </c>
      <c r="C1719" s="2">
        <v>9.375E-2</v>
      </c>
      <c r="D1719" t="s">
        <v>26</v>
      </c>
      <c r="E1719" t="s">
        <v>93</v>
      </c>
      <c r="F1719" t="s">
        <v>105</v>
      </c>
      <c r="G1719" t="s">
        <v>100</v>
      </c>
      <c r="H1719" s="2">
        <v>9.6527777777777782E-2</v>
      </c>
      <c r="I1719" s="2">
        <v>0.13333333333333333</v>
      </c>
      <c r="J1719">
        <v>10</v>
      </c>
      <c r="K1719">
        <v>24</v>
      </c>
      <c r="L1719" t="s">
        <v>30</v>
      </c>
      <c r="M1719">
        <v>0.2</v>
      </c>
      <c r="N1719">
        <v>39</v>
      </c>
      <c r="O1719">
        <v>41</v>
      </c>
      <c r="P1719">
        <v>6.2</v>
      </c>
      <c r="Q1719" t="s">
        <v>31</v>
      </c>
      <c r="R1719">
        <v>50000</v>
      </c>
      <c r="S1719">
        <v>88</v>
      </c>
      <c r="T1719">
        <v>1</v>
      </c>
      <c r="U1719">
        <v>0</v>
      </c>
      <c r="V1719">
        <v>3</v>
      </c>
      <c r="W1719" t="s">
        <v>39</v>
      </c>
      <c r="X1719">
        <v>1</v>
      </c>
      <c r="Y1719" t="str">
        <f t="shared" si="26"/>
        <v>High</v>
      </c>
    </row>
    <row r="1720" spans="1:25">
      <c r="A1720" t="s">
        <v>1833</v>
      </c>
      <c r="B1720" s="1">
        <v>44945</v>
      </c>
      <c r="C1720" s="2">
        <v>0.10416666666666667</v>
      </c>
      <c r="D1720" t="s">
        <v>74</v>
      </c>
      <c r="E1720" t="s">
        <v>89</v>
      </c>
      <c r="F1720" t="s">
        <v>109</v>
      </c>
      <c r="G1720" t="s">
        <v>70</v>
      </c>
      <c r="H1720" s="2">
        <v>0.10625</v>
      </c>
      <c r="I1720" s="2">
        <v>0.12083333333333333</v>
      </c>
      <c r="J1720">
        <v>18</v>
      </c>
      <c r="K1720">
        <v>21</v>
      </c>
      <c r="L1720" t="s">
        <v>38</v>
      </c>
      <c r="M1720">
        <v>8.6999999999999993</v>
      </c>
      <c r="N1720">
        <v>90</v>
      </c>
      <c r="O1720">
        <v>16</v>
      </c>
      <c r="P1720">
        <v>4.2</v>
      </c>
      <c r="Q1720" t="s">
        <v>46</v>
      </c>
      <c r="R1720">
        <v>0</v>
      </c>
      <c r="S1720">
        <v>77</v>
      </c>
      <c r="T1720">
        <v>0</v>
      </c>
      <c r="U1720">
        <v>1</v>
      </c>
      <c r="V1720">
        <v>3</v>
      </c>
      <c r="W1720" t="s">
        <v>72</v>
      </c>
      <c r="X1720">
        <v>1</v>
      </c>
      <c r="Y1720" t="str">
        <f t="shared" si="26"/>
        <v>High</v>
      </c>
    </row>
    <row r="1721" spans="1:25">
      <c r="A1721" t="s">
        <v>1834</v>
      </c>
      <c r="B1721" s="1">
        <v>44945</v>
      </c>
      <c r="C1721" s="2">
        <v>0.11458333333333333</v>
      </c>
      <c r="D1721" t="s">
        <v>41</v>
      </c>
      <c r="E1721" t="s">
        <v>68</v>
      </c>
      <c r="F1721" t="s">
        <v>44</v>
      </c>
      <c r="G1721" t="s">
        <v>87</v>
      </c>
      <c r="H1721" s="2">
        <v>0.11458333333333333</v>
      </c>
      <c r="I1721" s="2">
        <v>0.13125000000000001</v>
      </c>
      <c r="J1721">
        <v>8</v>
      </c>
      <c r="K1721">
        <v>28</v>
      </c>
      <c r="L1721" t="s">
        <v>30</v>
      </c>
      <c r="M1721">
        <v>22</v>
      </c>
      <c r="N1721">
        <v>92</v>
      </c>
      <c r="O1721">
        <v>39</v>
      </c>
      <c r="P1721">
        <v>13.1</v>
      </c>
      <c r="Q1721" t="s">
        <v>31</v>
      </c>
      <c r="R1721">
        <v>0</v>
      </c>
      <c r="S1721">
        <v>73</v>
      </c>
      <c r="T1721">
        <v>0</v>
      </c>
      <c r="U1721">
        <v>0</v>
      </c>
      <c r="V1721">
        <v>3</v>
      </c>
      <c r="W1721" t="s">
        <v>55</v>
      </c>
      <c r="X1721">
        <v>1</v>
      </c>
      <c r="Y1721" t="str">
        <f t="shared" si="26"/>
        <v>High</v>
      </c>
    </row>
    <row r="1722" spans="1:25">
      <c r="A1722" t="s">
        <v>1835</v>
      </c>
      <c r="B1722" s="1">
        <v>44945</v>
      </c>
      <c r="C1722" s="2">
        <v>0.125</v>
      </c>
      <c r="D1722" t="s">
        <v>74</v>
      </c>
      <c r="E1722" t="s">
        <v>35</v>
      </c>
      <c r="F1722" t="s">
        <v>50</v>
      </c>
      <c r="G1722" t="s">
        <v>194</v>
      </c>
      <c r="H1722" s="2">
        <v>0.12708333333333333</v>
      </c>
      <c r="I1722" s="2">
        <v>0.15347222222222223</v>
      </c>
      <c r="J1722">
        <v>-2</v>
      </c>
      <c r="K1722">
        <v>5</v>
      </c>
      <c r="L1722" t="s">
        <v>84</v>
      </c>
      <c r="M1722">
        <v>-1.1000000000000001</v>
      </c>
      <c r="N1722">
        <v>65</v>
      </c>
      <c r="O1722">
        <v>57</v>
      </c>
      <c r="P1722">
        <v>2.7</v>
      </c>
      <c r="Q1722" t="s">
        <v>46</v>
      </c>
      <c r="R1722">
        <v>2000</v>
      </c>
      <c r="S1722">
        <v>73</v>
      </c>
      <c r="T1722">
        <v>0</v>
      </c>
      <c r="U1722">
        <v>1</v>
      </c>
      <c r="V1722">
        <v>3</v>
      </c>
      <c r="W1722" t="s">
        <v>55</v>
      </c>
      <c r="X1722">
        <v>0</v>
      </c>
      <c r="Y1722" t="str">
        <f t="shared" si="26"/>
        <v>High</v>
      </c>
    </row>
    <row r="1723" spans="1:25">
      <c r="A1723" t="s">
        <v>1836</v>
      </c>
      <c r="B1723" s="1">
        <v>44945</v>
      </c>
      <c r="C1723" s="2">
        <v>0.13541666666666666</v>
      </c>
      <c r="D1723" t="s">
        <v>26</v>
      </c>
      <c r="E1723" t="s">
        <v>141</v>
      </c>
      <c r="F1723" t="s">
        <v>87</v>
      </c>
      <c r="G1723" t="s">
        <v>95</v>
      </c>
      <c r="H1723" s="2">
        <v>0.13680555555555557</v>
      </c>
      <c r="I1723" s="2">
        <v>0.15208333333333332</v>
      </c>
      <c r="J1723">
        <v>-1</v>
      </c>
      <c r="K1723">
        <v>24</v>
      </c>
      <c r="L1723" t="s">
        <v>77</v>
      </c>
      <c r="M1723">
        <v>0.1</v>
      </c>
      <c r="N1723">
        <v>83</v>
      </c>
      <c r="O1723">
        <v>47</v>
      </c>
      <c r="P1723">
        <v>5.8</v>
      </c>
      <c r="Q1723" t="s">
        <v>101</v>
      </c>
      <c r="R1723">
        <v>0</v>
      </c>
      <c r="S1723">
        <v>7</v>
      </c>
      <c r="T1723">
        <v>0</v>
      </c>
      <c r="U1723">
        <v>0</v>
      </c>
      <c r="V1723">
        <v>3</v>
      </c>
      <c r="W1723" t="s">
        <v>55</v>
      </c>
      <c r="X1723">
        <v>1</v>
      </c>
      <c r="Y1723" t="str">
        <f t="shared" si="26"/>
        <v>Low</v>
      </c>
    </row>
    <row r="1724" spans="1:25">
      <c r="A1724" t="s">
        <v>1837</v>
      </c>
      <c r="B1724" s="1">
        <v>44945</v>
      </c>
      <c r="C1724" s="2">
        <v>0.14583333333333334</v>
      </c>
      <c r="D1724" t="s">
        <v>26</v>
      </c>
      <c r="E1724" t="s">
        <v>130</v>
      </c>
      <c r="F1724" t="s">
        <v>58</v>
      </c>
      <c r="G1724" t="s">
        <v>96</v>
      </c>
      <c r="H1724" s="2">
        <v>0.14652777777777778</v>
      </c>
      <c r="I1724" s="2">
        <v>0.16180555555555556</v>
      </c>
      <c r="J1724">
        <v>14</v>
      </c>
      <c r="K1724">
        <v>27</v>
      </c>
      <c r="L1724" t="s">
        <v>77</v>
      </c>
      <c r="M1724">
        <v>-2.5</v>
      </c>
      <c r="N1724">
        <v>94</v>
      </c>
      <c r="O1724">
        <v>13</v>
      </c>
      <c r="P1724">
        <v>6.6</v>
      </c>
      <c r="Q1724" t="s">
        <v>31</v>
      </c>
      <c r="R1724">
        <v>0</v>
      </c>
      <c r="S1724">
        <v>13</v>
      </c>
      <c r="T1724">
        <v>0</v>
      </c>
      <c r="U1724">
        <v>1</v>
      </c>
      <c r="V1724">
        <v>3</v>
      </c>
      <c r="W1724" t="s">
        <v>72</v>
      </c>
      <c r="X1724">
        <v>1</v>
      </c>
      <c r="Y1724" t="str">
        <f t="shared" si="26"/>
        <v>Low</v>
      </c>
    </row>
    <row r="1725" spans="1:25">
      <c r="A1725" t="s">
        <v>1838</v>
      </c>
      <c r="B1725" s="1">
        <v>44945</v>
      </c>
      <c r="C1725" s="2">
        <v>0.15625</v>
      </c>
      <c r="D1725" t="s">
        <v>74</v>
      </c>
      <c r="E1725" t="s">
        <v>130</v>
      </c>
      <c r="F1725" t="s">
        <v>144</v>
      </c>
      <c r="G1725" t="s">
        <v>53</v>
      </c>
      <c r="H1725" s="2">
        <v>0.15625</v>
      </c>
      <c r="I1725" s="2">
        <v>0.17569444444444443</v>
      </c>
      <c r="J1725">
        <v>2</v>
      </c>
      <c r="K1725">
        <v>13</v>
      </c>
      <c r="L1725" t="s">
        <v>54</v>
      </c>
      <c r="M1725">
        <v>34.799999999999997</v>
      </c>
      <c r="N1725">
        <v>33</v>
      </c>
      <c r="O1725">
        <v>9</v>
      </c>
      <c r="P1725">
        <v>0.1</v>
      </c>
      <c r="Q1725" t="s">
        <v>31</v>
      </c>
      <c r="R1725">
        <v>2000</v>
      </c>
      <c r="S1725">
        <v>44</v>
      </c>
      <c r="T1725">
        <v>0</v>
      </c>
      <c r="U1725">
        <v>0</v>
      </c>
      <c r="V1725">
        <v>3</v>
      </c>
      <c r="W1725" t="s">
        <v>55</v>
      </c>
      <c r="X1725">
        <v>1</v>
      </c>
      <c r="Y1725" t="str">
        <f t="shared" si="26"/>
        <v>Medium</v>
      </c>
    </row>
    <row r="1726" spans="1:25">
      <c r="A1726" t="s">
        <v>1839</v>
      </c>
      <c r="B1726" s="1">
        <v>44945</v>
      </c>
      <c r="C1726" s="2">
        <v>0.16666666666666666</v>
      </c>
      <c r="D1726" t="s">
        <v>74</v>
      </c>
      <c r="E1726" t="s">
        <v>35</v>
      </c>
      <c r="F1726" t="s">
        <v>135</v>
      </c>
      <c r="G1726" t="s">
        <v>91</v>
      </c>
      <c r="H1726" s="2">
        <v>0.16805555555555557</v>
      </c>
      <c r="I1726" s="2">
        <v>0.2</v>
      </c>
      <c r="J1726">
        <v>3</v>
      </c>
      <c r="K1726">
        <v>19</v>
      </c>
      <c r="L1726" t="s">
        <v>84</v>
      </c>
      <c r="M1726">
        <v>10.5</v>
      </c>
      <c r="N1726">
        <v>84</v>
      </c>
      <c r="O1726">
        <v>44</v>
      </c>
      <c r="P1726">
        <v>0.9</v>
      </c>
      <c r="Q1726" t="s">
        <v>31</v>
      </c>
      <c r="R1726">
        <v>500</v>
      </c>
      <c r="S1726">
        <v>37</v>
      </c>
      <c r="T1726">
        <v>0</v>
      </c>
      <c r="U1726">
        <v>1</v>
      </c>
      <c r="V1726">
        <v>3</v>
      </c>
      <c r="W1726" t="s">
        <v>32</v>
      </c>
      <c r="X1726">
        <v>1</v>
      </c>
      <c r="Y1726" t="str">
        <f t="shared" si="26"/>
        <v>Medium</v>
      </c>
    </row>
    <row r="1727" spans="1:25">
      <c r="A1727" t="s">
        <v>1840</v>
      </c>
      <c r="B1727" s="1">
        <v>44945</v>
      </c>
      <c r="C1727" s="2">
        <v>0.17708333333333334</v>
      </c>
      <c r="D1727" t="s">
        <v>74</v>
      </c>
      <c r="E1727" t="s">
        <v>27</v>
      </c>
      <c r="F1727" t="s">
        <v>86</v>
      </c>
      <c r="G1727" t="s">
        <v>95</v>
      </c>
      <c r="H1727" s="2">
        <v>0.17708333333333334</v>
      </c>
      <c r="I1727" s="2">
        <v>0.20555555555555555</v>
      </c>
      <c r="J1727">
        <v>4</v>
      </c>
      <c r="K1727">
        <v>9</v>
      </c>
      <c r="L1727" t="s">
        <v>45</v>
      </c>
      <c r="M1727">
        <v>31.2</v>
      </c>
      <c r="N1727">
        <v>83</v>
      </c>
      <c r="O1727">
        <v>32</v>
      </c>
      <c r="P1727">
        <v>6.2</v>
      </c>
      <c r="Q1727" t="s">
        <v>31</v>
      </c>
      <c r="R1727">
        <v>0</v>
      </c>
      <c r="S1727">
        <v>31</v>
      </c>
      <c r="T1727">
        <v>0</v>
      </c>
      <c r="U1727">
        <v>0</v>
      </c>
      <c r="V1727">
        <v>3</v>
      </c>
      <c r="W1727" t="s">
        <v>32</v>
      </c>
      <c r="X1727">
        <v>1</v>
      </c>
      <c r="Y1727" t="str">
        <f t="shared" si="26"/>
        <v>Low</v>
      </c>
    </row>
    <row r="1728" spans="1:25">
      <c r="A1728" t="s">
        <v>1841</v>
      </c>
      <c r="B1728" s="1">
        <v>44945</v>
      </c>
      <c r="C1728" s="2">
        <v>0.1875</v>
      </c>
      <c r="D1728" t="s">
        <v>34</v>
      </c>
      <c r="E1728" t="s">
        <v>89</v>
      </c>
      <c r="F1728" t="s">
        <v>80</v>
      </c>
      <c r="G1728" t="s">
        <v>75</v>
      </c>
      <c r="H1728" s="2">
        <v>0.19027777777777777</v>
      </c>
      <c r="I1728" s="2">
        <v>0.21944444444444444</v>
      </c>
      <c r="J1728">
        <v>18</v>
      </c>
      <c r="K1728">
        <v>6</v>
      </c>
      <c r="L1728" t="s">
        <v>30</v>
      </c>
      <c r="M1728">
        <v>6.7</v>
      </c>
      <c r="N1728">
        <v>93</v>
      </c>
      <c r="O1728">
        <v>41</v>
      </c>
      <c r="P1728">
        <v>4.4000000000000004</v>
      </c>
      <c r="Q1728" t="s">
        <v>31</v>
      </c>
      <c r="R1728">
        <v>500</v>
      </c>
      <c r="S1728">
        <v>61</v>
      </c>
      <c r="T1728">
        <v>0</v>
      </c>
      <c r="U1728">
        <v>0</v>
      </c>
      <c r="V1728">
        <v>3</v>
      </c>
      <c r="W1728" t="s">
        <v>55</v>
      </c>
      <c r="X1728">
        <v>1</v>
      </c>
      <c r="Y1728" t="str">
        <f t="shared" si="26"/>
        <v>Medium</v>
      </c>
    </row>
    <row r="1729" spans="1:25">
      <c r="A1729" t="s">
        <v>1842</v>
      </c>
      <c r="B1729" s="1">
        <v>44945</v>
      </c>
      <c r="C1729" s="2">
        <v>0.19791666666666666</v>
      </c>
      <c r="D1729" t="s">
        <v>41</v>
      </c>
      <c r="E1729" t="s">
        <v>52</v>
      </c>
      <c r="F1729" t="s">
        <v>203</v>
      </c>
      <c r="G1729" t="s">
        <v>70</v>
      </c>
      <c r="H1729" s="2">
        <v>0.2</v>
      </c>
      <c r="I1729" s="2">
        <v>0.21805555555555556</v>
      </c>
      <c r="J1729">
        <v>12</v>
      </c>
      <c r="K1729">
        <v>12</v>
      </c>
      <c r="L1729" t="s">
        <v>77</v>
      </c>
      <c r="M1729">
        <v>25.1</v>
      </c>
      <c r="N1729">
        <v>51</v>
      </c>
      <c r="O1729">
        <v>53</v>
      </c>
      <c r="P1729">
        <v>2.2999999999999998</v>
      </c>
      <c r="Q1729" t="s">
        <v>59</v>
      </c>
      <c r="R1729">
        <v>0</v>
      </c>
      <c r="S1729">
        <v>95</v>
      </c>
      <c r="T1729">
        <v>0</v>
      </c>
      <c r="U1729">
        <v>0</v>
      </c>
      <c r="V1729">
        <v>3</v>
      </c>
      <c r="W1729" t="s">
        <v>32</v>
      </c>
      <c r="X1729">
        <v>1</v>
      </c>
      <c r="Y1729" t="str">
        <f t="shared" si="26"/>
        <v>High</v>
      </c>
    </row>
    <row r="1730" spans="1:25">
      <c r="A1730" t="s">
        <v>1843</v>
      </c>
      <c r="B1730" s="1">
        <v>44945</v>
      </c>
      <c r="C1730" s="2">
        <v>0.20833333333333334</v>
      </c>
      <c r="D1730" t="s">
        <v>74</v>
      </c>
      <c r="E1730" t="s">
        <v>147</v>
      </c>
      <c r="F1730" t="s">
        <v>83</v>
      </c>
      <c r="G1730" t="s">
        <v>66</v>
      </c>
      <c r="H1730" s="2">
        <v>0.21111111111111111</v>
      </c>
      <c r="I1730" s="2">
        <v>0.2326388888888889</v>
      </c>
      <c r="J1730">
        <v>16</v>
      </c>
      <c r="K1730">
        <v>2</v>
      </c>
      <c r="L1730" t="s">
        <v>45</v>
      </c>
      <c r="M1730">
        <v>3.8</v>
      </c>
      <c r="N1730">
        <v>54</v>
      </c>
      <c r="O1730">
        <v>11</v>
      </c>
      <c r="P1730">
        <v>3.1</v>
      </c>
      <c r="Q1730" t="s">
        <v>31</v>
      </c>
      <c r="R1730">
        <v>0</v>
      </c>
      <c r="S1730">
        <v>66</v>
      </c>
      <c r="T1730">
        <v>1</v>
      </c>
      <c r="U1730">
        <v>0</v>
      </c>
      <c r="V1730">
        <v>3</v>
      </c>
      <c r="W1730" t="s">
        <v>32</v>
      </c>
      <c r="X1730">
        <v>0</v>
      </c>
      <c r="Y1730" t="str">
        <f t="shared" ref="Y1730:Y1793" si="27">IF(S1730&lt;=33,"Low",IF(S1730&lt;=66,"Medium","High"))</f>
        <v>Medium</v>
      </c>
    </row>
    <row r="1731" spans="1:25">
      <c r="A1731" t="s">
        <v>1844</v>
      </c>
      <c r="B1731" s="1">
        <v>44945</v>
      </c>
      <c r="C1731" s="2">
        <v>0.21875</v>
      </c>
      <c r="D1731" t="s">
        <v>74</v>
      </c>
      <c r="E1731" t="s">
        <v>42</v>
      </c>
      <c r="F1731" t="s">
        <v>107</v>
      </c>
      <c r="G1731" t="s">
        <v>53</v>
      </c>
      <c r="H1731" s="2">
        <v>0.21944444444444444</v>
      </c>
      <c r="I1731" s="2">
        <v>0.2388888888888889</v>
      </c>
      <c r="J1731">
        <v>13</v>
      </c>
      <c r="K1731">
        <v>7</v>
      </c>
      <c r="L1731" t="s">
        <v>84</v>
      </c>
      <c r="M1731">
        <v>14.9</v>
      </c>
      <c r="N1731">
        <v>88</v>
      </c>
      <c r="O1731">
        <v>31</v>
      </c>
      <c r="P1731">
        <v>16.7</v>
      </c>
      <c r="Q1731" t="s">
        <v>71</v>
      </c>
      <c r="R1731">
        <v>10000</v>
      </c>
      <c r="S1731">
        <v>83</v>
      </c>
      <c r="T1731">
        <v>0</v>
      </c>
      <c r="U1731">
        <v>0</v>
      </c>
      <c r="V1731">
        <v>3</v>
      </c>
      <c r="W1731" t="s">
        <v>72</v>
      </c>
      <c r="X1731">
        <v>1</v>
      </c>
      <c r="Y1731" t="str">
        <f t="shared" si="27"/>
        <v>High</v>
      </c>
    </row>
    <row r="1732" spans="1:25">
      <c r="A1732" t="s">
        <v>1845</v>
      </c>
      <c r="B1732" s="1">
        <v>44945</v>
      </c>
      <c r="C1732" s="2">
        <v>0.22916666666666666</v>
      </c>
      <c r="D1732" t="s">
        <v>74</v>
      </c>
      <c r="E1732" t="s">
        <v>157</v>
      </c>
      <c r="F1732" t="s">
        <v>65</v>
      </c>
      <c r="G1732" t="s">
        <v>91</v>
      </c>
      <c r="H1732" s="2">
        <v>0.23194444444444445</v>
      </c>
      <c r="I1732" s="2">
        <v>0.24652777777777779</v>
      </c>
      <c r="J1732">
        <v>10</v>
      </c>
      <c r="K1732">
        <v>-1</v>
      </c>
      <c r="L1732" t="s">
        <v>45</v>
      </c>
      <c r="M1732">
        <v>28</v>
      </c>
      <c r="N1732">
        <v>86</v>
      </c>
      <c r="O1732">
        <v>48</v>
      </c>
      <c r="P1732">
        <v>13.7</v>
      </c>
      <c r="Q1732" t="s">
        <v>31</v>
      </c>
      <c r="R1732">
        <v>0</v>
      </c>
      <c r="S1732">
        <v>60</v>
      </c>
      <c r="T1732">
        <v>0</v>
      </c>
      <c r="U1732">
        <v>1</v>
      </c>
      <c r="V1732">
        <v>3</v>
      </c>
      <c r="W1732" t="s">
        <v>55</v>
      </c>
      <c r="X1732">
        <v>0</v>
      </c>
      <c r="Y1732" t="str">
        <f t="shared" si="27"/>
        <v>Medium</v>
      </c>
    </row>
    <row r="1733" spans="1:25">
      <c r="A1733" t="s">
        <v>1846</v>
      </c>
      <c r="B1733" s="1">
        <v>44945</v>
      </c>
      <c r="C1733" s="2">
        <v>0.23958333333333334</v>
      </c>
      <c r="D1733" t="s">
        <v>26</v>
      </c>
      <c r="E1733" t="s">
        <v>161</v>
      </c>
      <c r="F1733" t="s">
        <v>99</v>
      </c>
      <c r="G1733" t="s">
        <v>43</v>
      </c>
      <c r="H1733" s="2">
        <v>0.23958333333333334</v>
      </c>
      <c r="I1733" s="2">
        <v>0.25624999999999998</v>
      </c>
      <c r="J1733">
        <v>2</v>
      </c>
      <c r="K1733">
        <v>24</v>
      </c>
      <c r="L1733" t="s">
        <v>84</v>
      </c>
      <c r="M1733">
        <v>27.7</v>
      </c>
      <c r="N1733">
        <v>83</v>
      </c>
      <c r="O1733">
        <v>23</v>
      </c>
      <c r="P1733">
        <v>9.6999999999999993</v>
      </c>
      <c r="Q1733" t="s">
        <v>31</v>
      </c>
      <c r="R1733">
        <v>2000</v>
      </c>
      <c r="S1733">
        <v>12</v>
      </c>
      <c r="T1733">
        <v>0</v>
      </c>
      <c r="U1733">
        <v>0</v>
      </c>
      <c r="V1733">
        <v>3</v>
      </c>
      <c r="W1733" t="s">
        <v>72</v>
      </c>
      <c r="X1733">
        <v>1</v>
      </c>
      <c r="Y1733" t="str">
        <f t="shared" si="27"/>
        <v>Low</v>
      </c>
    </row>
    <row r="1734" spans="1:25">
      <c r="A1734" t="s">
        <v>1847</v>
      </c>
      <c r="B1734" s="1">
        <v>44945</v>
      </c>
      <c r="C1734" s="2">
        <v>0.25</v>
      </c>
      <c r="D1734" t="s">
        <v>26</v>
      </c>
      <c r="E1734" t="s">
        <v>104</v>
      </c>
      <c r="F1734" t="s">
        <v>116</v>
      </c>
      <c r="G1734" t="s">
        <v>29</v>
      </c>
      <c r="H1734" s="2">
        <v>0.25277777777777777</v>
      </c>
      <c r="I1734" s="2">
        <v>0.2673611111111111</v>
      </c>
      <c r="J1734">
        <v>0</v>
      </c>
      <c r="K1734">
        <v>11</v>
      </c>
      <c r="L1734" t="s">
        <v>54</v>
      </c>
      <c r="M1734">
        <v>26.8</v>
      </c>
      <c r="N1734">
        <v>73</v>
      </c>
      <c r="O1734">
        <v>13</v>
      </c>
      <c r="P1734">
        <v>18.2</v>
      </c>
      <c r="Q1734" t="s">
        <v>31</v>
      </c>
      <c r="R1734">
        <v>2000</v>
      </c>
      <c r="S1734">
        <v>86</v>
      </c>
      <c r="T1734">
        <v>0</v>
      </c>
      <c r="U1734">
        <v>0</v>
      </c>
      <c r="V1734">
        <v>3</v>
      </c>
      <c r="W1734" t="s">
        <v>55</v>
      </c>
      <c r="X1734">
        <v>1</v>
      </c>
      <c r="Y1734" t="str">
        <f t="shared" si="27"/>
        <v>High</v>
      </c>
    </row>
    <row r="1735" spans="1:25">
      <c r="A1735" t="s">
        <v>1848</v>
      </c>
      <c r="B1735" s="1">
        <v>44945</v>
      </c>
      <c r="C1735" s="2">
        <v>0.26041666666666669</v>
      </c>
      <c r="D1735" t="s">
        <v>34</v>
      </c>
      <c r="E1735" t="s">
        <v>141</v>
      </c>
      <c r="F1735" t="s">
        <v>66</v>
      </c>
      <c r="G1735" t="s">
        <v>69</v>
      </c>
      <c r="H1735" s="2">
        <v>0.26041666666666669</v>
      </c>
      <c r="I1735" s="2">
        <v>0.29097222222222224</v>
      </c>
      <c r="J1735">
        <v>0</v>
      </c>
      <c r="K1735">
        <v>9</v>
      </c>
      <c r="L1735" t="s">
        <v>30</v>
      </c>
      <c r="M1735">
        <v>27.9</v>
      </c>
      <c r="N1735">
        <v>81</v>
      </c>
      <c r="O1735">
        <v>4</v>
      </c>
      <c r="P1735">
        <v>0.6</v>
      </c>
      <c r="Q1735" t="s">
        <v>31</v>
      </c>
      <c r="R1735">
        <v>2000</v>
      </c>
      <c r="S1735">
        <v>82</v>
      </c>
      <c r="T1735">
        <v>0</v>
      </c>
      <c r="U1735">
        <v>0</v>
      </c>
      <c r="V1735">
        <v>3</v>
      </c>
      <c r="W1735" t="s">
        <v>39</v>
      </c>
      <c r="X1735">
        <v>1</v>
      </c>
      <c r="Y1735" t="str">
        <f t="shared" si="27"/>
        <v>High</v>
      </c>
    </row>
    <row r="1736" spans="1:25">
      <c r="A1736" t="s">
        <v>1849</v>
      </c>
      <c r="B1736" s="1">
        <v>44945</v>
      </c>
      <c r="C1736" s="2">
        <v>0.27083333333333331</v>
      </c>
      <c r="D1736" t="s">
        <v>41</v>
      </c>
      <c r="E1736" t="s">
        <v>61</v>
      </c>
      <c r="F1736" t="s">
        <v>151</v>
      </c>
      <c r="G1736" t="s">
        <v>49</v>
      </c>
      <c r="H1736" s="2">
        <v>0.27152777777777776</v>
      </c>
      <c r="I1736" s="2">
        <v>0.28680555555555554</v>
      </c>
      <c r="J1736">
        <v>16</v>
      </c>
      <c r="K1736">
        <v>13</v>
      </c>
      <c r="L1736" t="s">
        <v>45</v>
      </c>
      <c r="M1736">
        <v>3.5</v>
      </c>
      <c r="N1736">
        <v>45</v>
      </c>
      <c r="O1736">
        <v>50</v>
      </c>
      <c r="P1736">
        <v>6.9</v>
      </c>
      <c r="Q1736" t="s">
        <v>71</v>
      </c>
      <c r="R1736">
        <v>0</v>
      </c>
      <c r="S1736">
        <v>79</v>
      </c>
      <c r="T1736">
        <v>0</v>
      </c>
      <c r="U1736">
        <v>0</v>
      </c>
      <c r="V1736">
        <v>3</v>
      </c>
      <c r="W1736" t="s">
        <v>32</v>
      </c>
      <c r="X1736">
        <v>1</v>
      </c>
      <c r="Y1736" t="str">
        <f t="shared" si="27"/>
        <v>High</v>
      </c>
    </row>
    <row r="1737" spans="1:25">
      <c r="A1737" t="s">
        <v>1850</v>
      </c>
      <c r="B1737" s="1">
        <v>44945</v>
      </c>
      <c r="C1737" s="2">
        <v>0.28125</v>
      </c>
      <c r="D1737" t="s">
        <v>34</v>
      </c>
      <c r="E1737" t="s">
        <v>104</v>
      </c>
      <c r="F1737" t="s">
        <v>203</v>
      </c>
      <c r="G1737" t="s">
        <v>154</v>
      </c>
      <c r="H1737" s="2">
        <v>0.28402777777777777</v>
      </c>
      <c r="I1737" s="2">
        <v>0.32222222222222224</v>
      </c>
      <c r="J1737">
        <v>11</v>
      </c>
      <c r="K1737">
        <v>3</v>
      </c>
      <c r="L1737" t="s">
        <v>30</v>
      </c>
      <c r="M1737">
        <v>14.3</v>
      </c>
      <c r="N1737">
        <v>45</v>
      </c>
      <c r="O1737">
        <v>4</v>
      </c>
      <c r="P1737">
        <v>16.5</v>
      </c>
      <c r="Q1737" t="s">
        <v>31</v>
      </c>
      <c r="R1737">
        <v>0</v>
      </c>
      <c r="S1737">
        <v>99</v>
      </c>
      <c r="T1737">
        <v>0</v>
      </c>
      <c r="U1737">
        <v>1</v>
      </c>
      <c r="V1737">
        <v>3</v>
      </c>
      <c r="W1737" t="s">
        <v>72</v>
      </c>
      <c r="X1737">
        <v>0</v>
      </c>
      <c r="Y1737" t="str">
        <f t="shared" si="27"/>
        <v>High</v>
      </c>
    </row>
    <row r="1738" spans="1:25">
      <c r="A1738" t="s">
        <v>1851</v>
      </c>
      <c r="B1738" s="1">
        <v>44945</v>
      </c>
      <c r="C1738" s="2">
        <v>0.29166666666666669</v>
      </c>
      <c r="D1738" t="s">
        <v>41</v>
      </c>
      <c r="E1738" t="s">
        <v>157</v>
      </c>
      <c r="F1738" t="s">
        <v>135</v>
      </c>
      <c r="G1738" t="s">
        <v>86</v>
      </c>
      <c r="H1738" s="2">
        <v>0.29375000000000001</v>
      </c>
      <c r="I1738" s="2">
        <v>0.32708333333333334</v>
      </c>
      <c r="J1738">
        <v>13</v>
      </c>
      <c r="K1738">
        <v>24</v>
      </c>
      <c r="L1738" t="s">
        <v>45</v>
      </c>
      <c r="M1738">
        <v>14.4</v>
      </c>
      <c r="N1738">
        <v>84</v>
      </c>
      <c r="O1738">
        <v>46</v>
      </c>
      <c r="P1738">
        <v>12.6</v>
      </c>
      <c r="Q1738" t="s">
        <v>46</v>
      </c>
      <c r="R1738">
        <v>0</v>
      </c>
      <c r="S1738">
        <v>98</v>
      </c>
      <c r="T1738">
        <v>0</v>
      </c>
      <c r="U1738">
        <v>1</v>
      </c>
      <c r="V1738">
        <v>3</v>
      </c>
      <c r="W1738" t="s">
        <v>72</v>
      </c>
      <c r="X1738">
        <v>1</v>
      </c>
      <c r="Y1738" t="str">
        <f t="shared" si="27"/>
        <v>High</v>
      </c>
    </row>
    <row r="1739" spans="1:25">
      <c r="A1739" t="s">
        <v>1852</v>
      </c>
      <c r="B1739" s="1">
        <v>44945</v>
      </c>
      <c r="C1739" s="2">
        <v>0.30208333333333331</v>
      </c>
      <c r="D1739" t="s">
        <v>26</v>
      </c>
      <c r="E1739" t="s">
        <v>61</v>
      </c>
      <c r="F1739" t="s">
        <v>28</v>
      </c>
      <c r="G1739" t="s">
        <v>154</v>
      </c>
      <c r="H1739" s="2">
        <v>0.30416666666666664</v>
      </c>
      <c r="I1739" s="2">
        <v>0.33958333333333335</v>
      </c>
      <c r="J1739">
        <v>19</v>
      </c>
      <c r="K1739">
        <v>9</v>
      </c>
      <c r="L1739" t="s">
        <v>84</v>
      </c>
      <c r="M1739">
        <v>30.6</v>
      </c>
      <c r="N1739">
        <v>90</v>
      </c>
      <c r="O1739">
        <v>31</v>
      </c>
      <c r="P1739">
        <v>19.600000000000001</v>
      </c>
      <c r="Q1739" t="s">
        <v>31</v>
      </c>
      <c r="R1739">
        <v>2000</v>
      </c>
      <c r="S1739">
        <v>46</v>
      </c>
      <c r="T1739">
        <v>0</v>
      </c>
      <c r="U1739">
        <v>1</v>
      </c>
      <c r="V1739">
        <v>3</v>
      </c>
      <c r="W1739" t="s">
        <v>39</v>
      </c>
      <c r="X1739">
        <v>1</v>
      </c>
      <c r="Y1739" t="str">
        <f t="shared" si="27"/>
        <v>Medium</v>
      </c>
    </row>
    <row r="1740" spans="1:25">
      <c r="A1740" t="s">
        <v>1853</v>
      </c>
      <c r="B1740" s="1">
        <v>44945</v>
      </c>
      <c r="C1740" s="2">
        <v>0.3125</v>
      </c>
      <c r="D1740" t="s">
        <v>26</v>
      </c>
      <c r="E1740" t="s">
        <v>161</v>
      </c>
      <c r="F1740" t="s">
        <v>80</v>
      </c>
      <c r="G1740" t="s">
        <v>96</v>
      </c>
      <c r="H1740" s="2">
        <v>0.31458333333333333</v>
      </c>
      <c r="I1740" s="2">
        <v>0.33263888888888887</v>
      </c>
      <c r="J1740">
        <v>14</v>
      </c>
      <c r="K1740">
        <v>13</v>
      </c>
      <c r="L1740" t="s">
        <v>84</v>
      </c>
      <c r="M1740">
        <v>6.9</v>
      </c>
      <c r="N1740">
        <v>69</v>
      </c>
      <c r="O1740">
        <v>44</v>
      </c>
      <c r="P1740">
        <v>18.899999999999999</v>
      </c>
      <c r="Q1740" t="s">
        <v>63</v>
      </c>
      <c r="R1740">
        <v>0</v>
      </c>
      <c r="S1740">
        <v>53</v>
      </c>
      <c r="T1740">
        <v>0</v>
      </c>
      <c r="U1740">
        <v>0</v>
      </c>
      <c r="V1740">
        <v>3</v>
      </c>
      <c r="W1740" t="s">
        <v>39</v>
      </c>
      <c r="X1740">
        <v>1</v>
      </c>
      <c r="Y1740" t="str">
        <f t="shared" si="27"/>
        <v>Medium</v>
      </c>
    </row>
    <row r="1741" spans="1:25">
      <c r="A1741" t="s">
        <v>1854</v>
      </c>
      <c r="B1741" s="1">
        <v>44945</v>
      </c>
      <c r="C1741" s="2">
        <v>0.32291666666666669</v>
      </c>
      <c r="D1741" t="s">
        <v>26</v>
      </c>
      <c r="E1741" t="s">
        <v>161</v>
      </c>
      <c r="F1741" t="s">
        <v>142</v>
      </c>
      <c r="G1741" t="s">
        <v>65</v>
      </c>
      <c r="H1741" s="2">
        <v>0.32569444444444445</v>
      </c>
      <c r="I1741" s="2">
        <v>0.35972222222222222</v>
      </c>
      <c r="J1741">
        <v>1</v>
      </c>
      <c r="K1741">
        <v>11</v>
      </c>
      <c r="L1741" t="s">
        <v>45</v>
      </c>
      <c r="M1741">
        <v>32.299999999999997</v>
      </c>
      <c r="N1741">
        <v>50</v>
      </c>
      <c r="O1741">
        <v>48</v>
      </c>
      <c r="P1741">
        <v>3.4</v>
      </c>
      <c r="Q1741" t="s">
        <v>59</v>
      </c>
      <c r="R1741">
        <v>0</v>
      </c>
      <c r="S1741">
        <v>70</v>
      </c>
      <c r="T1741">
        <v>0</v>
      </c>
      <c r="U1741">
        <v>0</v>
      </c>
      <c r="V1741">
        <v>3</v>
      </c>
      <c r="W1741" t="s">
        <v>32</v>
      </c>
      <c r="X1741">
        <v>1</v>
      </c>
      <c r="Y1741" t="str">
        <f t="shared" si="27"/>
        <v>High</v>
      </c>
    </row>
    <row r="1742" spans="1:25">
      <c r="A1742" t="s">
        <v>1855</v>
      </c>
      <c r="B1742" s="1">
        <v>44945</v>
      </c>
      <c r="C1742" s="2">
        <v>0.33333333333333331</v>
      </c>
      <c r="D1742" t="s">
        <v>34</v>
      </c>
      <c r="E1742" t="s">
        <v>27</v>
      </c>
      <c r="F1742" t="s">
        <v>168</v>
      </c>
      <c r="G1742" t="s">
        <v>86</v>
      </c>
      <c r="H1742" s="2">
        <v>0.33611111111111114</v>
      </c>
      <c r="I1742" s="2">
        <v>0.37152777777777779</v>
      </c>
      <c r="J1742">
        <v>10</v>
      </c>
      <c r="K1742">
        <v>24</v>
      </c>
      <c r="L1742" t="s">
        <v>54</v>
      </c>
      <c r="M1742">
        <v>13</v>
      </c>
      <c r="N1742">
        <v>95</v>
      </c>
      <c r="O1742">
        <v>32</v>
      </c>
      <c r="P1742">
        <v>19.399999999999999</v>
      </c>
      <c r="Q1742" t="s">
        <v>31</v>
      </c>
      <c r="R1742">
        <v>500</v>
      </c>
      <c r="S1742">
        <v>51</v>
      </c>
      <c r="T1742">
        <v>0</v>
      </c>
      <c r="U1742">
        <v>0</v>
      </c>
      <c r="V1742">
        <v>3</v>
      </c>
      <c r="W1742" t="s">
        <v>32</v>
      </c>
      <c r="X1742">
        <v>1</v>
      </c>
      <c r="Y1742" t="str">
        <f t="shared" si="27"/>
        <v>Medium</v>
      </c>
    </row>
    <row r="1743" spans="1:25">
      <c r="A1743" t="s">
        <v>1856</v>
      </c>
      <c r="B1743" s="1">
        <v>44945</v>
      </c>
      <c r="C1743" s="2">
        <v>0.34375</v>
      </c>
      <c r="D1743" t="s">
        <v>74</v>
      </c>
      <c r="E1743" t="s">
        <v>126</v>
      </c>
      <c r="F1743" t="s">
        <v>148</v>
      </c>
      <c r="G1743" t="s">
        <v>44</v>
      </c>
      <c r="H1743" s="2">
        <v>0.34652777777777777</v>
      </c>
      <c r="I1743" s="2">
        <v>0.3611111111111111</v>
      </c>
      <c r="J1743">
        <v>5</v>
      </c>
      <c r="K1743">
        <v>11</v>
      </c>
      <c r="L1743" t="s">
        <v>84</v>
      </c>
      <c r="M1743">
        <v>21.8</v>
      </c>
      <c r="N1743">
        <v>37</v>
      </c>
      <c r="O1743">
        <v>59</v>
      </c>
      <c r="P1743">
        <v>18.899999999999999</v>
      </c>
      <c r="Q1743" t="s">
        <v>31</v>
      </c>
      <c r="R1743">
        <v>10000</v>
      </c>
      <c r="S1743">
        <v>71</v>
      </c>
      <c r="T1743">
        <v>0</v>
      </c>
      <c r="U1743">
        <v>0</v>
      </c>
      <c r="V1743">
        <v>3</v>
      </c>
      <c r="W1743" t="s">
        <v>55</v>
      </c>
      <c r="X1743">
        <v>1</v>
      </c>
      <c r="Y1743" t="str">
        <f t="shared" si="27"/>
        <v>High</v>
      </c>
    </row>
    <row r="1744" spans="1:25">
      <c r="A1744" t="s">
        <v>1857</v>
      </c>
      <c r="B1744" s="1">
        <v>44945</v>
      </c>
      <c r="C1744" s="2">
        <v>0.35416666666666669</v>
      </c>
      <c r="D1744" t="s">
        <v>74</v>
      </c>
      <c r="E1744" t="s">
        <v>48</v>
      </c>
      <c r="F1744" t="s">
        <v>118</v>
      </c>
      <c r="G1744" t="s">
        <v>80</v>
      </c>
      <c r="H1744" s="2">
        <v>0.35416666666666669</v>
      </c>
      <c r="I1744" s="2">
        <v>0.37847222222222221</v>
      </c>
      <c r="J1744">
        <v>16</v>
      </c>
      <c r="K1744">
        <v>7</v>
      </c>
      <c r="L1744" t="s">
        <v>38</v>
      </c>
      <c r="M1744">
        <v>5.8</v>
      </c>
      <c r="N1744">
        <v>39</v>
      </c>
      <c r="O1744">
        <v>45</v>
      </c>
      <c r="P1744">
        <v>7.5</v>
      </c>
      <c r="Q1744" t="s">
        <v>31</v>
      </c>
      <c r="R1744">
        <v>0</v>
      </c>
      <c r="S1744">
        <v>24</v>
      </c>
      <c r="T1744">
        <v>0</v>
      </c>
      <c r="U1744">
        <v>1</v>
      </c>
      <c r="V1744">
        <v>3</v>
      </c>
      <c r="W1744" t="s">
        <v>55</v>
      </c>
      <c r="X1744">
        <v>1</v>
      </c>
      <c r="Y1744" t="str">
        <f t="shared" si="27"/>
        <v>Low</v>
      </c>
    </row>
    <row r="1745" spans="1:25">
      <c r="A1745" t="s">
        <v>1858</v>
      </c>
      <c r="B1745" s="1">
        <v>44945</v>
      </c>
      <c r="C1745" s="2">
        <v>0.36458333333333331</v>
      </c>
      <c r="D1745" t="s">
        <v>26</v>
      </c>
      <c r="E1745" t="s">
        <v>98</v>
      </c>
      <c r="F1745" t="s">
        <v>91</v>
      </c>
      <c r="G1745" t="s">
        <v>123</v>
      </c>
      <c r="H1745" s="2">
        <v>0.36527777777777776</v>
      </c>
      <c r="I1745" s="2">
        <v>0.39097222222222222</v>
      </c>
      <c r="J1745">
        <v>2</v>
      </c>
      <c r="K1745">
        <v>27</v>
      </c>
      <c r="L1745" t="s">
        <v>38</v>
      </c>
      <c r="M1745">
        <v>11.4</v>
      </c>
      <c r="N1745">
        <v>86</v>
      </c>
      <c r="O1745">
        <v>3</v>
      </c>
      <c r="P1745">
        <v>19.7</v>
      </c>
      <c r="Q1745" t="s">
        <v>46</v>
      </c>
      <c r="R1745">
        <v>50000</v>
      </c>
      <c r="S1745">
        <v>22</v>
      </c>
      <c r="T1745">
        <v>0</v>
      </c>
      <c r="U1745">
        <v>0</v>
      </c>
      <c r="V1745">
        <v>3</v>
      </c>
      <c r="W1745" t="s">
        <v>39</v>
      </c>
      <c r="X1745">
        <v>1</v>
      </c>
      <c r="Y1745" t="str">
        <f t="shared" si="27"/>
        <v>Low</v>
      </c>
    </row>
    <row r="1746" spans="1:25">
      <c r="A1746" t="s">
        <v>1859</v>
      </c>
      <c r="B1746" s="1">
        <v>44945</v>
      </c>
      <c r="C1746" s="2">
        <v>0.375</v>
      </c>
      <c r="D1746" t="s">
        <v>74</v>
      </c>
      <c r="E1746" t="s">
        <v>79</v>
      </c>
      <c r="F1746" t="s">
        <v>80</v>
      </c>
      <c r="G1746" t="s">
        <v>142</v>
      </c>
      <c r="H1746" s="2">
        <v>0.37708333333333333</v>
      </c>
      <c r="I1746" s="2">
        <v>0.41180555555555554</v>
      </c>
      <c r="J1746">
        <v>-1</v>
      </c>
      <c r="K1746">
        <v>0</v>
      </c>
      <c r="L1746" t="s">
        <v>30</v>
      </c>
      <c r="M1746">
        <v>23.4</v>
      </c>
      <c r="N1746">
        <v>33</v>
      </c>
      <c r="O1746">
        <v>56</v>
      </c>
      <c r="P1746">
        <v>0.7</v>
      </c>
      <c r="Q1746" t="s">
        <v>31</v>
      </c>
      <c r="R1746">
        <v>0</v>
      </c>
      <c r="S1746">
        <v>73</v>
      </c>
      <c r="T1746">
        <v>0</v>
      </c>
      <c r="U1746">
        <v>0</v>
      </c>
      <c r="V1746">
        <v>3</v>
      </c>
      <c r="W1746" t="s">
        <v>32</v>
      </c>
      <c r="X1746">
        <v>0</v>
      </c>
      <c r="Y1746" t="str">
        <f t="shared" si="27"/>
        <v>High</v>
      </c>
    </row>
    <row r="1747" spans="1:25">
      <c r="A1747" t="s">
        <v>1860</v>
      </c>
      <c r="B1747" s="1">
        <v>44945</v>
      </c>
      <c r="C1747" s="2">
        <v>0.38541666666666669</v>
      </c>
      <c r="D1747" t="s">
        <v>74</v>
      </c>
      <c r="E1747" t="s">
        <v>130</v>
      </c>
      <c r="F1747" t="s">
        <v>44</v>
      </c>
      <c r="G1747" t="s">
        <v>142</v>
      </c>
      <c r="H1747" s="2">
        <v>0.38541666666666669</v>
      </c>
      <c r="I1747" s="2">
        <v>0.41597222222222224</v>
      </c>
      <c r="J1747">
        <v>12</v>
      </c>
      <c r="K1747">
        <v>23</v>
      </c>
      <c r="L1747" t="s">
        <v>38</v>
      </c>
      <c r="M1747">
        <v>15.5</v>
      </c>
      <c r="N1747">
        <v>72</v>
      </c>
      <c r="O1747">
        <v>29</v>
      </c>
      <c r="P1747">
        <v>13.2</v>
      </c>
      <c r="Q1747" t="s">
        <v>46</v>
      </c>
      <c r="R1747">
        <v>0</v>
      </c>
      <c r="S1747">
        <v>29</v>
      </c>
      <c r="T1747">
        <v>0</v>
      </c>
      <c r="U1747">
        <v>1</v>
      </c>
      <c r="V1747">
        <v>3</v>
      </c>
      <c r="W1747" t="s">
        <v>32</v>
      </c>
      <c r="X1747">
        <v>1</v>
      </c>
      <c r="Y1747" t="str">
        <f t="shared" si="27"/>
        <v>Low</v>
      </c>
    </row>
    <row r="1748" spans="1:25">
      <c r="A1748" t="s">
        <v>1861</v>
      </c>
      <c r="B1748" s="1">
        <v>44945</v>
      </c>
      <c r="C1748" s="2">
        <v>0.39583333333333331</v>
      </c>
      <c r="D1748" t="s">
        <v>34</v>
      </c>
      <c r="E1748" t="s">
        <v>147</v>
      </c>
      <c r="F1748" t="s">
        <v>66</v>
      </c>
      <c r="G1748" t="s">
        <v>76</v>
      </c>
      <c r="H1748" s="2">
        <v>0.39791666666666664</v>
      </c>
      <c r="I1748" s="2">
        <v>0.43055555555555558</v>
      </c>
      <c r="J1748">
        <v>-1</v>
      </c>
      <c r="K1748">
        <v>6</v>
      </c>
      <c r="L1748" t="s">
        <v>38</v>
      </c>
      <c r="M1748">
        <v>32.200000000000003</v>
      </c>
      <c r="N1748">
        <v>92</v>
      </c>
      <c r="O1748">
        <v>40</v>
      </c>
      <c r="P1748">
        <v>5.3</v>
      </c>
      <c r="Q1748" t="s">
        <v>31</v>
      </c>
      <c r="R1748">
        <v>0</v>
      </c>
      <c r="S1748">
        <v>96</v>
      </c>
      <c r="T1748">
        <v>0</v>
      </c>
      <c r="U1748">
        <v>0</v>
      </c>
      <c r="V1748">
        <v>3</v>
      </c>
      <c r="W1748" t="s">
        <v>39</v>
      </c>
      <c r="X1748">
        <v>1</v>
      </c>
      <c r="Y1748" t="str">
        <f t="shared" si="27"/>
        <v>High</v>
      </c>
    </row>
    <row r="1749" spans="1:25">
      <c r="A1749" t="s">
        <v>1862</v>
      </c>
      <c r="B1749" s="1">
        <v>44945</v>
      </c>
      <c r="C1749" s="2">
        <v>0.40625</v>
      </c>
      <c r="D1749" t="s">
        <v>41</v>
      </c>
      <c r="E1749" t="s">
        <v>27</v>
      </c>
      <c r="F1749" t="s">
        <v>49</v>
      </c>
      <c r="G1749" t="s">
        <v>135</v>
      </c>
      <c r="H1749" s="2">
        <v>0.40625</v>
      </c>
      <c r="I1749" s="2">
        <v>0.43125000000000002</v>
      </c>
      <c r="J1749">
        <v>8</v>
      </c>
      <c r="K1749">
        <v>26</v>
      </c>
      <c r="L1749" t="s">
        <v>54</v>
      </c>
      <c r="M1749">
        <v>24.5</v>
      </c>
      <c r="N1749">
        <v>72</v>
      </c>
      <c r="O1749">
        <v>16</v>
      </c>
      <c r="P1749">
        <v>2.6</v>
      </c>
      <c r="Q1749" t="s">
        <v>31</v>
      </c>
      <c r="R1749">
        <v>0</v>
      </c>
      <c r="S1749">
        <v>10</v>
      </c>
      <c r="T1749">
        <v>0</v>
      </c>
      <c r="U1749">
        <v>0</v>
      </c>
      <c r="V1749">
        <v>3</v>
      </c>
      <c r="W1749" t="s">
        <v>39</v>
      </c>
      <c r="X1749">
        <v>1</v>
      </c>
      <c r="Y1749" t="str">
        <f t="shared" si="27"/>
        <v>Low</v>
      </c>
    </row>
    <row r="1750" spans="1:25">
      <c r="A1750" t="s">
        <v>1863</v>
      </c>
      <c r="B1750" s="1">
        <v>44945</v>
      </c>
      <c r="C1750" s="2">
        <v>0.41666666666666669</v>
      </c>
      <c r="D1750" t="s">
        <v>26</v>
      </c>
      <c r="E1750" t="s">
        <v>147</v>
      </c>
      <c r="F1750" t="s">
        <v>81</v>
      </c>
      <c r="G1750" t="s">
        <v>65</v>
      </c>
      <c r="H1750" s="2">
        <v>0.41944444444444445</v>
      </c>
      <c r="I1750" s="2">
        <v>0.45069444444444445</v>
      </c>
      <c r="J1750">
        <v>10</v>
      </c>
      <c r="K1750">
        <v>16</v>
      </c>
      <c r="L1750" t="s">
        <v>54</v>
      </c>
      <c r="M1750">
        <v>17.600000000000001</v>
      </c>
      <c r="N1750">
        <v>96</v>
      </c>
      <c r="O1750">
        <v>2</v>
      </c>
      <c r="P1750">
        <v>11.6</v>
      </c>
      <c r="Q1750" t="s">
        <v>31</v>
      </c>
      <c r="R1750">
        <v>50000</v>
      </c>
      <c r="S1750">
        <v>34</v>
      </c>
      <c r="T1750">
        <v>0</v>
      </c>
      <c r="U1750">
        <v>1</v>
      </c>
      <c r="V1750">
        <v>3</v>
      </c>
      <c r="W1750" t="s">
        <v>72</v>
      </c>
      <c r="X1750">
        <v>1</v>
      </c>
      <c r="Y1750" t="str">
        <f t="shared" si="27"/>
        <v>Medium</v>
      </c>
    </row>
    <row r="1751" spans="1:25">
      <c r="A1751" t="s">
        <v>1864</v>
      </c>
      <c r="B1751" s="1">
        <v>44945</v>
      </c>
      <c r="C1751" s="2">
        <v>0.42708333333333331</v>
      </c>
      <c r="D1751" t="s">
        <v>26</v>
      </c>
      <c r="E1751" t="s">
        <v>57</v>
      </c>
      <c r="F1751" t="s">
        <v>58</v>
      </c>
      <c r="G1751" t="s">
        <v>99</v>
      </c>
      <c r="H1751" s="2">
        <v>0.42916666666666664</v>
      </c>
      <c r="I1751" s="2">
        <v>0.46736111111111112</v>
      </c>
      <c r="J1751">
        <v>7</v>
      </c>
      <c r="K1751">
        <v>25</v>
      </c>
      <c r="L1751" t="s">
        <v>77</v>
      </c>
      <c r="M1751">
        <v>30.5</v>
      </c>
      <c r="N1751">
        <v>80</v>
      </c>
      <c r="O1751">
        <v>12</v>
      </c>
      <c r="P1751">
        <v>6.1</v>
      </c>
      <c r="Q1751" t="s">
        <v>31</v>
      </c>
      <c r="R1751">
        <v>0</v>
      </c>
      <c r="S1751">
        <v>26</v>
      </c>
      <c r="T1751">
        <v>0</v>
      </c>
      <c r="U1751">
        <v>0</v>
      </c>
      <c r="V1751">
        <v>3</v>
      </c>
      <c r="W1751" t="s">
        <v>39</v>
      </c>
      <c r="X1751">
        <v>1</v>
      </c>
      <c r="Y1751" t="str">
        <f t="shared" si="27"/>
        <v>Low</v>
      </c>
    </row>
    <row r="1752" spans="1:25">
      <c r="A1752" t="s">
        <v>1865</v>
      </c>
      <c r="B1752" s="1">
        <v>44945</v>
      </c>
      <c r="C1752" s="2">
        <v>0.4375</v>
      </c>
      <c r="D1752" t="s">
        <v>34</v>
      </c>
      <c r="E1752" t="s">
        <v>57</v>
      </c>
      <c r="F1752" t="s">
        <v>76</v>
      </c>
      <c r="G1752" t="s">
        <v>176</v>
      </c>
      <c r="H1752" s="2">
        <v>0.44027777777777777</v>
      </c>
      <c r="I1752" s="2">
        <v>0.47222222222222221</v>
      </c>
      <c r="J1752">
        <v>0</v>
      </c>
      <c r="K1752">
        <v>25</v>
      </c>
      <c r="L1752" t="s">
        <v>77</v>
      </c>
      <c r="M1752">
        <v>21.6</v>
      </c>
      <c r="N1752">
        <v>85</v>
      </c>
      <c r="O1752">
        <v>43</v>
      </c>
      <c r="P1752">
        <v>13.3</v>
      </c>
      <c r="Q1752" t="s">
        <v>71</v>
      </c>
      <c r="R1752">
        <v>0</v>
      </c>
      <c r="S1752">
        <v>66</v>
      </c>
      <c r="T1752">
        <v>0</v>
      </c>
      <c r="U1752">
        <v>1</v>
      </c>
      <c r="V1752">
        <v>3</v>
      </c>
      <c r="W1752" t="s">
        <v>72</v>
      </c>
      <c r="X1752">
        <v>1</v>
      </c>
      <c r="Y1752" t="str">
        <f t="shared" si="27"/>
        <v>Medium</v>
      </c>
    </row>
    <row r="1753" spans="1:25">
      <c r="A1753" t="s">
        <v>1866</v>
      </c>
      <c r="B1753" s="1">
        <v>44945</v>
      </c>
      <c r="C1753" s="2">
        <v>0.44791666666666669</v>
      </c>
      <c r="D1753" t="s">
        <v>34</v>
      </c>
      <c r="E1753" t="s">
        <v>68</v>
      </c>
      <c r="F1753" t="s">
        <v>113</v>
      </c>
      <c r="G1753" t="s">
        <v>118</v>
      </c>
      <c r="H1753" s="2">
        <v>0.45</v>
      </c>
      <c r="I1753" s="2">
        <v>0.47430555555555554</v>
      </c>
      <c r="J1753">
        <v>2</v>
      </c>
      <c r="K1753">
        <v>19</v>
      </c>
      <c r="L1753" t="s">
        <v>54</v>
      </c>
      <c r="M1753">
        <v>20.9</v>
      </c>
      <c r="N1753">
        <v>72</v>
      </c>
      <c r="O1753">
        <v>47</v>
      </c>
      <c r="P1753">
        <v>10.8</v>
      </c>
      <c r="Q1753" t="s">
        <v>31</v>
      </c>
      <c r="R1753">
        <v>2000</v>
      </c>
      <c r="S1753">
        <v>46</v>
      </c>
      <c r="T1753">
        <v>0</v>
      </c>
      <c r="U1753">
        <v>0</v>
      </c>
      <c r="V1753">
        <v>3</v>
      </c>
      <c r="W1753" t="s">
        <v>55</v>
      </c>
      <c r="X1753">
        <v>1</v>
      </c>
      <c r="Y1753" t="str">
        <f t="shared" si="27"/>
        <v>Medium</v>
      </c>
    </row>
    <row r="1754" spans="1:25">
      <c r="A1754" t="s">
        <v>1867</v>
      </c>
      <c r="B1754" s="1">
        <v>44945</v>
      </c>
      <c r="C1754" s="2">
        <v>0.45833333333333331</v>
      </c>
      <c r="D1754" t="s">
        <v>74</v>
      </c>
      <c r="E1754" t="s">
        <v>61</v>
      </c>
      <c r="F1754" t="s">
        <v>91</v>
      </c>
      <c r="G1754" t="s">
        <v>90</v>
      </c>
      <c r="H1754" s="2">
        <v>0.4597222222222222</v>
      </c>
      <c r="I1754" s="2">
        <v>0.49583333333333335</v>
      </c>
      <c r="J1754">
        <v>0</v>
      </c>
      <c r="K1754">
        <v>17</v>
      </c>
      <c r="L1754" t="s">
        <v>77</v>
      </c>
      <c r="M1754">
        <v>4.9000000000000004</v>
      </c>
      <c r="N1754">
        <v>53</v>
      </c>
      <c r="O1754">
        <v>35</v>
      </c>
      <c r="P1754">
        <v>7.9</v>
      </c>
      <c r="Q1754" t="s">
        <v>101</v>
      </c>
      <c r="R1754">
        <v>500</v>
      </c>
      <c r="S1754">
        <v>49</v>
      </c>
      <c r="T1754">
        <v>0</v>
      </c>
      <c r="U1754">
        <v>0</v>
      </c>
      <c r="V1754">
        <v>3</v>
      </c>
      <c r="W1754" t="s">
        <v>39</v>
      </c>
      <c r="X1754">
        <v>1</v>
      </c>
      <c r="Y1754" t="str">
        <f t="shared" si="27"/>
        <v>Medium</v>
      </c>
    </row>
    <row r="1755" spans="1:25">
      <c r="A1755" t="s">
        <v>1868</v>
      </c>
      <c r="B1755" s="1">
        <v>44945</v>
      </c>
      <c r="C1755" s="2">
        <v>0.46875</v>
      </c>
      <c r="D1755" t="s">
        <v>26</v>
      </c>
      <c r="E1755" t="s">
        <v>52</v>
      </c>
      <c r="F1755" t="s">
        <v>80</v>
      </c>
      <c r="G1755" t="s">
        <v>76</v>
      </c>
      <c r="H1755" s="2">
        <v>0.46875</v>
      </c>
      <c r="I1755" s="2">
        <v>0.50208333333333333</v>
      </c>
      <c r="J1755">
        <v>3</v>
      </c>
      <c r="K1755">
        <v>6</v>
      </c>
      <c r="L1755" t="s">
        <v>54</v>
      </c>
      <c r="M1755">
        <v>10.8</v>
      </c>
      <c r="N1755">
        <v>63</v>
      </c>
      <c r="O1755">
        <v>17</v>
      </c>
      <c r="P1755">
        <v>3.6</v>
      </c>
      <c r="Q1755" t="s">
        <v>46</v>
      </c>
      <c r="R1755">
        <v>50000</v>
      </c>
      <c r="S1755">
        <v>7</v>
      </c>
      <c r="T1755">
        <v>1</v>
      </c>
      <c r="U1755">
        <v>0</v>
      </c>
      <c r="V1755">
        <v>3</v>
      </c>
      <c r="W1755" t="s">
        <v>39</v>
      </c>
      <c r="X1755">
        <v>1</v>
      </c>
      <c r="Y1755" t="str">
        <f t="shared" si="27"/>
        <v>Low</v>
      </c>
    </row>
    <row r="1756" spans="1:25">
      <c r="A1756" t="s">
        <v>1869</v>
      </c>
      <c r="B1756" s="1">
        <v>44945</v>
      </c>
      <c r="C1756" s="2">
        <v>0.47916666666666669</v>
      </c>
      <c r="D1756" t="s">
        <v>41</v>
      </c>
      <c r="E1756" t="s">
        <v>141</v>
      </c>
      <c r="F1756" t="s">
        <v>95</v>
      </c>
      <c r="G1756" t="s">
        <v>69</v>
      </c>
      <c r="H1756" s="2">
        <v>0.48055555555555557</v>
      </c>
      <c r="I1756" s="2">
        <v>0.49305555555555558</v>
      </c>
      <c r="J1756">
        <v>10</v>
      </c>
      <c r="K1756">
        <v>8</v>
      </c>
      <c r="L1756" t="s">
        <v>77</v>
      </c>
      <c r="M1756">
        <v>22.3</v>
      </c>
      <c r="N1756">
        <v>88</v>
      </c>
      <c r="O1756">
        <v>22</v>
      </c>
      <c r="P1756">
        <v>12</v>
      </c>
      <c r="Q1756" t="s">
        <v>31</v>
      </c>
      <c r="R1756">
        <v>0</v>
      </c>
      <c r="S1756">
        <v>54</v>
      </c>
      <c r="T1756">
        <v>0</v>
      </c>
      <c r="U1756">
        <v>0</v>
      </c>
      <c r="V1756">
        <v>3</v>
      </c>
      <c r="W1756" t="s">
        <v>39</v>
      </c>
      <c r="X1756">
        <v>1</v>
      </c>
      <c r="Y1756" t="str">
        <f t="shared" si="27"/>
        <v>Medium</v>
      </c>
    </row>
    <row r="1757" spans="1:25">
      <c r="A1757" t="s">
        <v>1870</v>
      </c>
      <c r="B1757" s="1">
        <v>44945</v>
      </c>
      <c r="C1757" s="2">
        <v>0.48958333333333331</v>
      </c>
      <c r="D1757" t="s">
        <v>34</v>
      </c>
      <c r="E1757" t="s">
        <v>42</v>
      </c>
      <c r="F1757" t="s">
        <v>91</v>
      </c>
      <c r="G1757" t="s">
        <v>69</v>
      </c>
      <c r="H1757" s="2">
        <v>0.48958333333333331</v>
      </c>
      <c r="I1757" s="2">
        <v>0.50555555555555554</v>
      </c>
      <c r="J1757">
        <v>7</v>
      </c>
      <c r="K1757">
        <v>26</v>
      </c>
      <c r="L1757" t="s">
        <v>84</v>
      </c>
      <c r="M1757">
        <v>30.7</v>
      </c>
      <c r="N1757">
        <v>31</v>
      </c>
      <c r="O1757">
        <v>34</v>
      </c>
      <c r="P1757">
        <v>16.600000000000001</v>
      </c>
      <c r="Q1757" t="s">
        <v>31</v>
      </c>
      <c r="R1757">
        <v>0</v>
      </c>
      <c r="S1757">
        <v>76</v>
      </c>
      <c r="T1757">
        <v>0</v>
      </c>
      <c r="U1757">
        <v>0</v>
      </c>
      <c r="V1757">
        <v>3</v>
      </c>
      <c r="W1757" t="s">
        <v>72</v>
      </c>
      <c r="X1757">
        <v>1</v>
      </c>
      <c r="Y1757" t="str">
        <f t="shared" si="27"/>
        <v>High</v>
      </c>
    </row>
    <row r="1758" spans="1:25">
      <c r="A1758" t="s">
        <v>1871</v>
      </c>
      <c r="B1758" s="1">
        <v>44945</v>
      </c>
      <c r="C1758" s="2">
        <v>0.5</v>
      </c>
      <c r="D1758" t="s">
        <v>41</v>
      </c>
      <c r="E1758" t="s">
        <v>126</v>
      </c>
      <c r="F1758" t="s">
        <v>116</v>
      </c>
      <c r="G1758" t="s">
        <v>91</v>
      </c>
      <c r="H1758" s="2">
        <v>0.50069444444444444</v>
      </c>
      <c r="I1758" s="2">
        <v>0.53263888888888888</v>
      </c>
      <c r="J1758">
        <v>16</v>
      </c>
      <c r="K1758">
        <v>29</v>
      </c>
      <c r="L1758" t="s">
        <v>54</v>
      </c>
      <c r="M1758">
        <v>7.6</v>
      </c>
      <c r="N1758">
        <v>31</v>
      </c>
      <c r="O1758">
        <v>48</v>
      </c>
      <c r="P1758">
        <v>12</v>
      </c>
      <c r="Q1758" t="s">
        <v>31</v>
      </c>
      <c r="R1758">
        <v>0</v>
      </c>
      <c r="S1758">
        <v>41</v>
      </c>
      <c r="T1758">
        <v>0</v>
      </c>
      <c r="U1758">
        <v>0</v>
      </c>
      <c r="V1758">
        <v>3</v>
      </c>
      <c r="W1758" t="s">
        <v>39</v>
      </c>
      <c r="X1758">
        <v>1</v>
      </c>
      <c r="Y1758" t="str">
        <f t="shared" si="27"/>
        <v>Medium</v>
      </c>
    </row>
    <row r="1759" spans="1:25">
      <c r="A1759" t="s">
        <v>1872</v>
      </c>
      <c r="B1759" s="1">
        <v>44945</v>
      </c>
      <c r="C1759" s="2">
        <v>0.51041666666666663</v>
      </c>
      <c r="D1759" t="s">
        <v>41</v>
      </c>
      <c r="E1759" t="s">
        <v>35</v>
      </c>
      <c r="F1759" t="s">
        <v>203</v>
      </c>
      <c r="G1759" t="s">
        <v>28</v>
      </c>
      <c r="H1759" s="2">
        <v>0.51249999999999996</v>
      </c>
      <c r="I1759" s="2">
        <v>0.53611111111111109</v>
      </c>
      <c r="J1759">
        <v>5</v>
      </c>
      <c r="K1759">
        <v>14</v>
      </c>
      <c r="L1759" t="s">
        <v>30</v>
      </c>
      <c r="M1759">
        <v>3.6</v>
      </c>
      <c r="N1759">
        <v>39</v>
      </c>
      <c r="O1759">
        <v>32</v>
      </c>
      <c r="P1759">
        <v>12.2</v>
      </c>
      <c r="Q1759" t="s">
        <v>46</v>
      </c>
      <c r="R1759">
        <v>2000</v>
      </c>
      <c r="S1759">
        <v>66</v>
      </c>
      <c r="T1759">
        <v>1</v>
      </c>
      <c r="U1759">
        <v>0</v>
      </c>
      <c r="V1759">
        <v>3</v>
      </c>
      <c r="W1759" t="s">
        <v>39</v>
      </c>
      <c r="X1759">
        <v>1</v>
      </c>
      <c r="Y1759" t="str">
        <f t="shared" si="27"/>
        <v>Medium</v>
      </c>
    </row>
    <row r="1760" spans="1:25">
      <c r="A1760" t="s">
        <v>1873</v>
      </c>
      <c r="B1760" s="1">
        <v>44945</v>
      </c>
      <c r="C1760" s="2">
        <v>0.52083333333333337</v>
      </c>
      <c r="D1760" t="s">
        <v>26</v>
      </c>
      <c r="E1760" t="s">
        <v>68</v>
      </c>
      <c r="F1760" t="s">
        <v>36</v>
      </c>
      <c r="G1760" t="s">
        <v>109</v>
      </c>
      <c r="H1760" s="2">
        <v>0.52152777777777781</v>
      </c>
      <c r="I1760" s="2">
        <v>0.55208333333333337</v>
      </c>
      <c r="J1760">
        <v>15</v>
      </c>
      <c r="K1760">
        <v>10</v>
      </c>
      <c r="L1760" t="s">
        <v>30</v>
      </c>
      <c r="M1760">
        <v>18.7</v>
      </c>
      <c r="N1760">
        <v>52</v>
      </c>
      <c r="O1760">
        <v>50</v>
      </c>
      <c r="P1760">
        <v>10.199999999999999</v>
      </c>
      <c r="Q1760" t="s">
        <v>31</v>
      </c>
      <c r="R1760">
        <v>500</v>
      </c>
      <c r="S1760">
        <v>19</v>
      </c>
      <c r="T1760">
        <v>0</v>
      </c>
      <c r="U1760">
        <v>0</v>
      </c>
      <c r="V1760">
        <v>3</v>
      </c>
      <c r="W1760" t="s">
        <v>32</v>
      </c>
      <c r="X1760">
        <v>1</v>
      </c>
      <c r="Y1760" t="str">
        <f t="shared" si="27"/>
        <v>Low</v>
      </c>
    </row>
    <row r="1761" spans="1:25">
      <c r="A1761" t="s">
        <v>1874</v>
      </c>
      <c r="B1761" s="1">
        <v>44945</v>
      </c>
      <c r="C1761" s="2">
        <v>0.53125</v>
      </c>
      <c r="D1761" t="s">
        <v>26</v>
      </c>
      <c r="E1761" t="s">
        <v>161</v>
      </c>
      <c r="F1761" t="s">
        <v>53</v>
      </c>
      <c r="G1761" t="s">
        <v>135</v>
      </c>
      <c r="H1761" s="2">
        <v>0.53194444444444444</v>
      </c>
      <c r="I1761" s="2">
        <v>0.57222222222222219</v>
      </c>
      <c r="J1761">
        <v>0</v>
      </c>
      <c r="K1761">
        <v>18</v>
      </c>
      <c r="L1761" t="s">
        <v>54</v>
      </c>
      <c r="M1761">
        <v>-2.2999999999999998</v>
      </c>
      <c r="N1761">
        <v>44</v>
      </c>
      <c r="O1761">
        <v>53</v>
      </c>
      <c r="P1761">
        <v>7.8</v>
      </c>
      <c r="Q1761" t="s">
        <v>31</v>
      </c>
      <c r="R1761">
        <v>50000</v>
      </c>
      <c r="S1761">
        <v>44</v>
      </c>
      <c r="T1761">
        <v>1</v>
      </c>
      <c r="U1761">
        <v>0</v>
      </c>
      <c r="V1761">
        <v>3</v>
      </c>
      <c r="W1761" t="s">
        <v>32</v>
      </c>
      <c r="X1761">
        <v>1</v>
      </c>
      <c r="Y1761" t="str">
        <f t="shared" si="27"/>
        <v>Medium</v>
      </c>
    </row>
    <row r="1762" spans="1:25">
      <c r="A1762" t="s">
        <v>1875</v>
      </c>
      <c r="B1762" s="1">
        <v>44945</v>
      </c>
      <c r="C1762" s="2">
        <v>0.54166666666666663</v>
      </c>
      <c r="D1762" t="s">
        <v>34</v>
      </c>
      <c r="E1762" t="s">
        <v>157</v>
      </c>
      <c r="F1762" t="s">
        <v>123</v>
      </c>
      <c r="G1762" t="s">
        <v>185</v>
      </c>
      <c r="H1762" s="2">
        <v>0.54166666666666663</v>
      </c>
      <c r="I1762" s="2">
        <v>0.56805555555555554</v>
      </c>
      <c r="J1762">
        <v>14</v>
      </c>
      <c r="K1762">
        <v>17</v>
      </c>
      <c r="L1762" t="s">
        <v>38</v>
      </c>
      <c r="M1762">
        <v>23.6</v>
      </c>
      <c r="N1762">
        <v>46</v>
      </c>
      <c r="O1762">
        <v>35</v>
      </c>
      <c r="P1762">
        <v>9.1</v>
      </c>
      <c r="Q1762" t="s">
        <v>31</v>
      </c>
      <c r="R1762">
        <v>2000</v>
      </c>
      <c r="S1762">
        <v>34</v>
      </c>
      <c r="T1762">
        <v>0</v>
      </c>
      <c r="U1762">
        <v>0</v>
      </c>
      <c r="V1762">
        <v>3</v>
      </c>
      <c r="W1762" t="s">
        <v>32</v>
      </c>
      <c r="X1762">
        <v>1</v>
      </c>
      <c r="Y1762" t="str">
        <f t="shared" si="27"/>
        <v>Medium</v>
      </c>
    </row>
    <row r="1763" spans="1:25">
      <c r="A1763" t="s">
        <v>1876</v>
      </c>
      <c r="B1763" s="1">
        <v>44945</v>
      </c>
      <c r="C1763" s="2">
        <v>0.55208333333333337</v>
      </c>
      <c r="D1763" t="s">
        <v>26</v>
      </c>
      <c r="E1763" t="s">
        <v>57</v>
      </c>
      <c r="F1763" t="s">
        <v>135</v>
      </c>
      <c r="G1763" t="s">
        <v>107</v>
      </c>
      <c r="H1763" s="2">
        <v>0.55347222222222225</v>
      </c>
      <c r="I1763" s="2">
        <v>0.56944444444444442</v>
      </c>
      <c r="J1763">
        <v>5</v>
      </c>
      <c r="K1763">
        <v>-3</v>
      </c>
      <c r="L1763" t="s">
        <v>30</v>
      </c>
      <c r="M1763">
        <v>23.1</v>
      </c>
      <c r="N1763">
        <v>43</v>
      </c>
      <c r="O1763">
        <v>16</v>
      </c>
      <c r="P1763">
        <v>19.8</v>
      </c>
      <c r="Q1763" t="s">
        <v>31</v>
      </c>
      <c r="R1763">
        <v>50000</v>
      </c>
      <c r="S1763">
        <v>76</v>
      </c>
      <c r="T1763">
        <v>0</v>
      </c>
      <c r="U1763">
        <v>1</v>
      </c>
      <c r="V1763">
        <v>3</v>
      </c>
      <c r="W1763" t="s">
        <v>39</v>
      </c>
      <c r="X1763">
        <v>0</v>
      </c>
      <c r="Y1763" t="str">
        <f t="shared" si="27"/>
        <v>High</v>
      </c>
    </row>
    <row r="1764" spans="1:25">
      <c r="A1764" t="s">
        <v>1877</v>
      </c>
      <c r="B1764" s="1">
        <v>44945</v>
      </c>
      <c r="C1764" s="2">
        <v>0.5625</v>
      </c>
      <c r="D1764" t="s">
        <v>26</v>
      </c>
      <c r="E1764" t="s">
        <v>93</v>
      </c>
      <c r="F1764" t="s">
        <v>90</v>
      </c>
      <c r="G1764" t="s">
        <v>44</v>
      </c>
      <c r="H1764" s="2">
        <v>0.56527777777777777</v>
      </c>
      <c r="I1764" s="2">
        <v>0.57638888888888884</v>
      </c>
      <c r="J1764">
        <v>7</v>
      </c>
      <c r="K1764">
        <v>11</v>
      </c>
      <c r="L1764" t="s">
        <v>38</v>
      </c>
      <c r="M1764">
        <v>9.1999999999999993</v>
      </c>
      <c r="N1764">
        <v>45</v>
      </c>
      <c r="O1764">
        <v>38</v>
      </c>
      <c r="P1764">
        <v>15</v>
      </c>
      <c r="Q1764" t="s">
        <v>63</v>
      </c>
      <c r="R1764">
        <v>50000</v>
      </c>
      <c r="S1764">
        <v>19</v>
      </c>
      <c r="T1764">
        <v>0</v>
      </c>
      <c r="U1764">
        <v>1</v>
      </c>
      <c r="V1764">
        <v>3</v>
      </c>
      <c r="W1764" t="s">
        <v>32</v>
      </c>
      <c r="X1764">
        <v>1</v>
      </c>
      <c r="Y1764" t="str">
        <f t="shared" si="27"/>
        <v>Low</v>
      </c>
    </row>
    <row r="1765" spans="1:25">
      <c r="A1765" t="s">
        <v>1878</v>
      </c>
      <c r="B1765" s="1">
        <v>44945</v>
      </c>
      <c r="C1765" s="2">
        <v>0.57291666666666663</v>
      </c>
      <c r="D1765" t="s">
        <v>26</v>
      </c>
      <c r="E1765" t="s">
        <v>79</v>
      </c>
      <c r="F1765" t="s">
        <v>99</v>
      </c>
      <c r="G1765" t="s">
        <v>128</v>
      </c>
      <c r="H1765" s="2">
        <v>0.57291666666666663</v>
      </c>
      <c r="I1765" s="2">
        <v>0.59166666666666667</v>
      </c>
      <c r="J1765">
        <v>-1</v>
      </c>
      <c r="K1765">
        <v>18</v>
      </c>
      <c r="L1765" t="s">
        <v>30</v>
      </c>
      <c r="M1765">
        <v>30.7</v>
      </c>
      <c r="N1765">
        <v>61</v>
      </c>
      <c r="O1765">
        <v>33</v>
      </c>
      <c r="P1765">
        <v>8.6</v>
      </c>
      <c r="Q1765" t="s">
        <v>101</v>
      </c>
      <c r="R1765">
        <v>0</v>
      </c>
      <c r="S1765">
        <v>23</v>
      </c>
      <c r="T1765">
        <v>0</v>
      </c>
      <c r="U1765">
        <v>0</v>
      </c>
      <c r="V1765">
        <v>3</v>
      </c>
      <c r="W1765" t="s">
        <v>55</v>
      </c>
      <c r="X1765">
        <v>1</v>
      </c>
      <c r="Y1765" t="str">
        <f t="shared" si="27"/>
        <v>Low</v>
      </c>
    </row>
    <row r="1766" spans="1:25">
      <c r="A1766" t="s">
        <v>1879</v>
      </c>
      <c r="B1766" s="1">
        <v>44945</v>
      </c>
      <c r="C1766" s="2">
        <v>0.58333333333333337</v>
      </c>
      <c r="D1766" t="s">
        <v>41</v>
      </c>
      <c r="E1766" t="s">
        <v>61</v>
      </c>
      <c r="F1766" t="s">
        <v>49</v>
      </c>
      <c r="G1766" t="s">
        <v>118</v>
      </c>
      <c r="H1766" s="2">
        <v>0.58611111111111114</v>
      </c>
      <c r="I1766" s="2">
        <v>0.61944444444444446</v>
      </c>
      <c r="J1766">
        <v>9</v>
      </c>
      <c r="K1766">
        <v>28</v>
      </c>
      <c r="L1766" t="s">
        <v>45</v>
      </c>
      <c r="M1766">
        <v>15.1</v>
      </c>
      <c r="N1766">
        <v>52</v>
      </c>
      <c r="O1766">
        <v>11</v>
      </c>
      <c r="P1766">
        <v>9.1</v>
      </c>
      <c r="Q1766" t="s">
        <v>31</v>
      </c>
      <c r="R1766">
        <v>0</v>
      </c>
      <c r="S1766">
        <v>56</v>
      </c>
      <c r="T1766">
        <v>0</v>
      </c>
      <c r="U1766">
        <v>0</v>
      </c>
      <c r="V1766">
        <v>3</v>
      </c>
      <c r="W1766" t="s">
        <v>32</v>
      </c>
      <c r="X1766">
        <v>1</v>
      </c>
      <c r="Y1766" t="str">
        <f t="shared" si="27"/>
        <v>Medium</v>
      </c>
    </row>
    <row r="1767" spans="1:25">
      <c r="A1767" t="s">
        <v>1880</v>
      </c>
      <c r="B1767" s="1">
        <v>44945</v>
      </c>
      <c r="C1767" s="2">
        <v>0.59375</v>
      </c>
      <c r="D1767" t="s">
        <v>34</v>
      </c>
      <c r="E1767" t="s">
        <v>130</v>
      </c>
      <c r="F1767" t="s">
        <v>151</v>
      </c>
      <c r="G1767" t="s">
        <v>44</v>
      </c>
      <c r="H1767" s="2">
        <v>0.59444444444444444</v>
      </c>
      <c r="I1767" s="2">
        <v>0.62152777777777779</v>
      </c>
      <c r="J1767">
        <v>3</v>
      </c>
      <c r="K1767">
        <v>29</v>
      </c>
      <c r="L1767" t="s">
        <v>45</v>
      </c>
      <c r="M1767">
        <v>20.8</v>
      </c>
      <c r="N1767">
        <v>63</v>
      </c>
      <c r="O1767">
        <v>4</v>
      </c>
      <c r="P1767">
        <v>10</v>
      </c>
      <c r="Q1767" t="s">
        <v>46</v>
      </c>
      <c r="R1767">
        <v>0</v>
      </c>
      <c r="S1767">
        <v>54</v>
      </c>
      <c r="T1767">
        <v>1</v>
      </c>
      <c r="U1767">
        <v>0</v>
      </c>
      <c r="V1767">
        <v>3</v>
      </c>
      <c r="W1767" t="s">
        <v>39</v>
      </c>
      <c r="X1767">
        <v>1</v>
      </c>
      <c r="Y1767" t="str">
        <f t="shared" si="27"/>
        <v>Medium</v>
      </c>
    </row>
    <row r="1768" spans="1:25">
      <c r="A1768" t="s">
        <v>1881</v>
      </c>
      <c r="B1768" s="1">
        <v>44945</v>
      </c>
      <c r="C1768" s="2">
        <v>0.60416666666666663</v>
      </c>
      <c r="D1768" t="s">
        <v>74</v>
      </c>
      <c r="E1768" t="s">
        <v>147</v>
      </c>
      <c r="F1768" t="s">
        <v>118</v>
      </c>
      <c r="G1768" t="s">
        <v>154</v>
      </c>
      <c r="H1768" s="2">
        <v>0.6069444444444444</v>
      </c>
      <c r="I1768" s="2">
        <v>0.63402777777777775</v>
      </c>
      <c r="J1768">
        <v>-1</v>
      </c>
      <c r="K1768">
        <v>19</v>
      </c>
      <c r="L1768" t="s">
        <v>54</v>
      </c>
      <c r="M1768">
        <v>3.4</v>
      </c>
      <c r="N1768">
        <v>45</v>
      </c>
      <c r="O1768">
        <v>47</v>
      </c>
      <c r="P1768">
        <v>13.2</v>
      </c>
      <c r="Q1768" t="s">
        <v>101</v>
      </c>
      <c r="R1768">
        <v>0</v>
      </c>
      <c r="S1768">
        <v>8</v>
      </c>
      <c r="T1768">
        <v>0</v>
      </c>
      <c r="U1768">
        <v>0</v>
      </c>
      <c r="V1768">
        <v>3</v>
      </c>
      <c r="W1768" t="s">
        <v>32</v>
      </c>
      <c r="X1768">
        <v>1</v>
      </c>
      <c r="Y1768" t="str">
        <f t="shared" si="27"/>
        <v>Low</v>
      </c>
    </row>
    <row r="1769" spans="1:25">
      <c r="A1769" t="s">
        <v>1882</v>
      </c>
      <c r="B1769" s="1">
        <v>44945</v>
      </c>
      <c r="C1769" s="2">
        <v>0.61458333333333337</v>
      </c>
      <c r="D1769" t="s">
        <v>41</v>
      </c>
      <c r="E1769" t="s">
        <v>93</v>
      </c>
      <c r="F1769" t="s">
        <v>75</v>
      </c>
      <c r="G1769" t="s">
        <v>62</v>
      </c>
      <c r="H1769" s="2">
        <v>0.61597222222222225</v>
      </c>
      <c r="I1769" s="2">
        <v>0.64513888888888893</v>
      </c>
      <c r="J1769">
        <v>18</v>
      </c>
      <c r="K1769">
        <v>-2</v>
      </c>
      <c r="L1769" t="s">
        <v>30</v>
      </c>
      <c r="M1769">
        <v>11.7</v>
      </c>
      <c r="N1769">
        <v>63</v>
      </c>
      <c r="O1769">
        <v>39</v>
      </c>
      <c r="P1769">
        <v>9.3000000000000007</v>
      </c>
      <c r="Q1769" t="s">
        <v>31</v>
      </c>
      <c r="R1769">
        <v>0</v>
      </c>
      <c r="S1769">
        <v>93</v>
      </c>
      <c r="T1769">
        <v>0</v>
      </c>
      <c r="U1769">
        <v>0</v>
      </c>
      <c r="V1769">
        <v>3</v>
      </c>
      <c r="W1769" t="s">
        <v>32</v>
      </c>
      <c r="X1769">
        <v>0</v>
      </c>
      <c r="Y1769" t="str">
        <f t="shared" si="27"/>
        <v>High</v>
      </c>
    </row>
    <row r="1770" spans="1:25">
      <c r="A1770" t="s">
        <v>1883</v>
      </c>
      <c r="B1770" s="1">
        <v>44945</v>
      </c>
      <c r="C1770" s="2">
        <v>0.625</v>
      </c>
      <c r="D1770" t="s">
        <v>26</v>
      </c>
      <c r="E1770" t="s">
        <v>157</v>
      </c>
      <c r="F1770" t="s">
        <v>28</v>
      </c>
      <c r="G1770" t="s">
        <v>107</v>
      </c>
      <c r="H1770" s="2">
        <v>0.625</v>
      </c>
      <c r="I1770" s="2">
        <v>0.65138888888888891</v>
      </c>
      <c r="J1770">
        <v>0</v>
      </c>
      <c r="K1770">
        <v>-2</v>
      </c>
      <c r="L1770" t="s">
        <v>84</v>
      </c>
      <c r="M1770">
        <v>29.5</v>
      </c>
      <c r="N1770">
        <v>62</v>
      </c>
      <c r="O1770">
        <v>54</v>
      </c>
      <c r="P1770">
        <v>13.7</v>
      </c>
      <c r="Q1770" t="s">
        <v>46</v>
      </c>
      <c r="R1770">
        <v>0</v>
      </c>
      <c r="S1770">
        <v>88</v>
      </c>
      <c r="T1770">
        <v>1</v>
      </c>
      <c r="U1770">
        <v>0</v>
      </c>
      <c r="V1770">
        <v>3</v>
      </c>
      <c r="W1770" t="s">
        <v>32</v>
      </c>
      <c r="X1770">
        <v>0</v>
      </c>
      <c r="Y1770" t="str">
        <f t="shared" si="27"/>
        <v>High</v>
      </c>
    </row>
    <row r="1771" spans="1:25">
      <c r="A1771" t="s">
        <v>1884</v>
      </c>
      <c r="B1771" s="1">
        <v>44945</v>
      </c>
      <c r="C1771" s="2">
        <v>0.63541666666666663</v>
      </c>
      <c r="D1771" t="s">
        <v>41</v>
      </c>
      <c r="E1771" t="s">
        <v>111</v>
      </c>
      <c r="F1771" t="s">
        <v>83</v>
      </c>
      <c r="G1771" t="s">
        <v>50</v>
      </c>
      <c r="H1771" s="2">
        <v>0.63680555555555551</v>
      </c>
      <c r="I1771" s="2">
        <v>0.66874999999999996</v>
      </c>
      <c r="J1771">
        <v>14</v>
      </c>
      <c r="K1771">
        <v>25</v>
      </c>
      <c r="L1771" t="s">
        <v>38</v>
      </c>
      <c r="M1771">
        <v>3.5</v>
      </c>
      <c r="N1771">
        <v>97</v>
      </c>
      <c r="O1771">
        <v>26</v>
      </c>
      <c r="P1771">
        <v>6.6</v>
      </c>
      <c r="Q1771" t="s">
        <v>31</v>
      </c>
      <c r="R1771">
        <v>0</v>
      </c>
      <c r="S1771">
        <v>15</v>
      </c>
      <c r="T1771">
        <v>0</v>
      </c>
      <c r="U1771">
        <v>0</v>
      </c>
      <c r="V1771">
        <v>3</v>
      </c>
      <c r="W1771" t="s">
        <v>55</v>
      </c>
      <c r="X1771">
        <v>1</v>
      </c>
      <c r="Y1771" t="str">
        <f t="shared" si="27"/>
        <v>Low</v>
      </c>
    </row>
    <row r="1772" spans="1:25">
      <c r="A1772" t="s">
        <v>1885</v>
      </c>
      <c r="B1772" s="1">
        <v>44945</v>
      </c>
      <c r="C1772" s="2">
        <v>0.64583333333333337</v>
      </c>
      <c r="D1772" t="s">
        <v>26</v>
      </c>
      <c r="E1772" t="s">
        <v>147</v>
      </c>
      <c r="F1772" t="s">
        <v>81</v>
      </c>
      <c r="G1772" t="s">
        <v>95</v>
      </c>
      <c r="H1772" s="2">
        <v>0.64722222222222225</v>
      </c>
      <c r="I1772" s="2">
        <v>0.66597222222222219</v>
      </c>
      <c r="J1772">
        <v>4</v>
      </c>
      <c r="K1772">
        <v>-1</v>
      </c>
      <c r="L1772" t="s">
        <v>30</v>
      </c>
      <c r="M1772">
        <v>10.6</v>
      </c>
      <c r="N1772">
        <v>72</v>
      </c>
      <c r="O1772">
        <v>59</v>
      </c>
      <c r="P1772">
        <v>8.1999999999999993</v>
      </c>
      <c r="Q1772" t="s">
        <v>71</v>
      </c>
      <c r="R1772">
        <v>0</v>
      </c>
      <c r="S1772">
        <v>54</v>
      </c>
      <c r="T1772">
        <v>0</v>
      </c>
      <c r="U1772">
        <v>0</v>
      </c>
      <c r="V1772">
        <v>3</v>
      </c>
      <c r="W1772" t="s">
        <v>55</v>
      </c>
      <c r="X1772">
        <v>0</v>
      </c>
      <c r="Y1772" t="str">
        <f t="shared" si="27"/>
        <v>Medium</v>
      </c>
    </row>
    <row r="1773" spans="1:25">
      <c r="A1773" t="s">
        <v>1886</v>
      </c>
      <c r="B1773" s="1">
        <v>44945</v>
      </c>
      <c r="C1773" s="2">
        <v>0.65625</v>
      </c>
      <c r="D1773" t="s">
        <v>26</v>
      </c>
      <c r="E1773" t="s">
        <v>98</v>
      </c>
      <c r="F1773" t="s">
        <v>135</v>
      </c>
      <c r="G1773" t="s">
        <v>113</v>
      </c>
      <c r="H1773" s="2">
        <v>0.65625</v>
      </c>
      <c r="I1773" s="2">
        <v>0.67777777777777781</v>
      </c>
      <c r="J1773">
        <v>18</v>
      </c>
      <c r="K1773">
        <v>3</v>
      </c>
      <c r="L1773" t="s">
        <v>54</v>
      </c>
      <c r="M1773">
        <v>7.7</v>
      </c>
      <c r="N1773">
        <v>93</v>
      </c>
      <c r="O1773">
        <v>39</v>
      </c>
      <c r="P1773">
        <v>17.3</v>
      </c>
      <c r="Q1773" t="s">
        <v>71</v>
      </c>
      <c r="R1773">
        <v>0</v>
      </c>
      <c r="S1773">
        <v>71</v>
      </c>
      <c r="T1773">
        <v>0</v>
      </c>
      <c r="U1773">
        <v>1</v>
      </c>
      <c r="V1773">
        <v>3</v>
      </c>
      <c r="W1773" t="s">
        <v>72</v>
      </c>
      <c r="X1773">
        <v>0</v>
      </c>
      <c r="Y1773" t="str">
        <f t="shared" si="27"/>
        <v>High</v>
      </c>
    </row>
    <row r="1774" spans="1:25">
      <c r="A1774" t="s">
        <v>1887</v>
      </c>
      <c r="B1774" s="1">
        <v>44945</v>
      </c>
      <c r="C1774" s="2">
        <v>0.66666666666666663</v>
      </c>
      <c r="D1774" t="s">
        <v>41</v>
      </c>
      <c r="E1774" t="s">
        <v>48</v>
      </c>
      <c r="F1774" t="s">
        <v>75</v>
      </c>
      <c r="G1774" t="s">
        <v>197</v>
      </c>
      <c r="H1774" s="2">
        <v>0.66805555555555551</v>
      </c>
      <c r="I1774" s="2">
        <v>0.70277777777777772</v>
      </c>
      <c r="J1774">
        <v>2</v>
      </c>
      <c r="K1774">
        <v>25</v>
      </c>
      <c r="L1774" t="s">
        <v>38</v>
      </c>
      <c r="M1774">
        <v>1</v>
      </c>
      <c r="N1774">
        <v>47</v>
      </c>
      <c r="O1774">
        <v>12</v>
      </c>
      <c r="P1774">
        <v>6.6</v>
      </c>
      <c r="Q1774" t="s">
        <v>63</v>
      </c>
      <c r="R1774">
        <v>0</v>
      </c>
      <c r="S1774">
        <v>57</v>
      </c>
      <c r="T1774">
        <v>0</v>
      </c>
      <c r="U1774">
        <v>0</v>
      </c>
      <c r="V1774">
        <v>3</v>
      </c>
      <c r="W1774" t="s">
        <v>39</v>
      </c>
      <c r="X1774">
        <v>1</v>
      </c>
      <c r="Y1774" t="str">
        <f t="shared" si="27"/>
        <v>Medium</v>
      </c>
    </row>
    <row r="1775" spans="1:25">
      <c r="A1775" t="s">
        <v>1888</v>
      </c>
      <c r="B1775" s="1">
        <v>44945</v>
      </c>
      <c r="C1775" s="2">
        <v>0.67708333333333337</v>
      </c>
      <c r="D1775" t="s">
        <v>34</v>
      </c>
      <c r="E1775" t="s">
        <v>79</v>
      </c>
      <c r="F1775" t="s">
        <v>107</v>
      </c>
      <c r="G1775" t="s">
        <v>135</v>
      </c>
      <c r="H1775" s="2">
        <v>0.6791666666666667</v>
      </c>
      <c r="I1775" s="2">
        <v>0.69513888888888886</v>
      </c>
      <c r="J1775">
        <v>-2</v>
      </c>
      <c r="K1775">
        <v>19</v>
      </c>
      <c r="L1775" t="s">
        <v>77</v>
      </c>
      <c r="M1775">
        <v>6.6</v>
      </c>
      <c r="N1775">
        <v>97</v>
      </c>
      <c r="O1775">
        <v>25</v>
      </c>
      <c r="P1775">
        <v>19.3</v>
      </c>
      <c r="Q1775" t="s">
        <v>31</v>
      </c>
      <c r="R1775">
        <v>0</v>
      </c>
      <c r="S1775">
        <v>63</v>
      </c>
      <c r="T1775">
        <v>0</v>
      </c>
      <c r="U1775">
        <v>0</v>
      </c>
      <c r="V1775">
        <v>3</v>
      </c>
      <c r="W1775" t="s">
        <v>55</v>
      </c>
      <c r="X1775">
        <v>1</v>
      </c>
      <c r="Y1775" t="str">
        <f t="shared" si="27"/>
        <v>Medium</v>
      </c>
    </row>
    <row r="1776" spans="1:25">
      <c r="A1776" t="s">
        <v>1889</v>
      </c>
      <c r="B1776" s="1">
        <v>44945</v>
      </c>
      <c r="C1776" s="2">
        <v>0.6875</v>
      </c>
      <c r="D1776" t="s">
        <v>26</v>
      </c>
      <c r="E1776" t="s">
        <v>68</v>
      </c>
      <c r="F1776" t="s">
        <v>75</v>
      </c>
      <c r="G1776" t="s">
        <v>69</v>
      </c>
      <c r="H1776" s="2">
        <v>0.68958333333333333</v>
      </c>
      <c r="I1776" s="2">
        <v>0.71250000000000002</v>
      </c>
      <c r="J1776">
        <v>5</v>
      </c>
      <c r="K1776">
        <v>12</v>
      </c>
      <c r="L1776" t="s">
        <v>54</v>
      </c>
      <c r="M1776">
        <v>4.3</v>
      </c>
      <c r="N1776">
        <v>90</v>
      </c>
      <c r="O1776">
        <v>13</v>
      </c>
      <c r="P1776">
        <v>3.5</v>
      </c>
      <c r="Q1776" t="s">
        <v>46</v>
      </c>
      <c r="R1776">
        <v>0</v>
      </c>
      <c r="S1776">
        <v>91</v>
      </c>
      <c r="T1776">
        <v>0</v>
      </c>
      <c r="U1776">
        <v>1</v>
      </c>
      <c r="V1776">
        <v>3</v>
      </c>
      <c r="W1776" t="s">
        <v>55</v>
      </c>
      <c r="X1776">
        <v>1</v>
      </c>
      <c r="Y1776" t="str">
        <f t="shared" si="27"/>
        <v>High</v>
      </c>
    </row>
    <row r="1777" spans="1:25">
      <c r="A1777" t="s">
        <v>1890</v>
      </c>
      <c r="B1777" s="1">
        <v>44945</v>
      </c>
      <c r="C1777" s="2">
        <v>0.69791666666666663</v>
      </c>
      <c r="D1777" t="s">
        <v>34</v>
      </c>
      <c r="E1777" t="s">
        <v>27</v>
      </c>
      <c r="F1777" t="s">
        <v>87</v>
      </c>
      <c r="G1777" t="s">
        <v>76</v>
      </c>
      <c r="H1777" s="2">
        <v>0.7</v>
      </c>
      <c r="I1777" s="2">
        <v>0.71805555555555556</v>
      </c>
      <c r="J1777">
        <v>9</v>
      </c>
      <c r="K1777">
        <v>27</v>
      </c>
      <c r="L1777" t="s">
        <v>30</v>
      </c>
      <c r="M1777">
        <v>31.9</v>
      </c>
      <c r="N1777">
        <v>49</v>
      </c>
      <c r="O1777">
        <v>31</v>
      </c>
      <c r="P1777">
        <v>4.8</v>
      </c>
      <c r="Q1777" t="s">
        <v>31</v>
      </c>
      <c r="R1777">
        <v>0</v>
      </c>
      <c r="S1777">
        <v>75</v>
      </c>
      <c r="T1777">
        <v>0</v>
      </c>
      <c r="U1777">
        <v>1</v>
      </c>
      <c r="V1777">
        <v>3</v>
      </c>
      <c r="W1777" t="s">
        <v>55</v>
      </c>
      <c r="X1777">
        <v>1</v>
      </c>
      <c r="Y1777" t="str">
        <f t="shared" si="27"/>
        <v>High</v>
      </c>
    </row>
    <row r="1778" spans="1:25">
      <c r="A1778" t="s">
        <v>1891</v>
      </c>
      <c r="B1778" s="1">
        <v>44945</v>
      </c>
      <c r="C1778" s="2">
        <v>0.70833333333333337</v>
      </c>
      <c r="D1778" t="s">
        <v>74</v>
      </c>
      <c r="E1778" t="s">
        <v>98</v>
      </c>
      <c r="F1778" t="s">
        <v>87</v>
      </c>
      <c r="G1778" t="s">
        <v>118</v>
      </c>
      <c r="H1778" s="2">
        <v>0.71111111111111114</v>
      </c>
      <c r="I1778" s="2">
        <v>0.74305555555555558</v>
      </c>
      <c r="J1778">
        <v>11</v>
      </c>
      <c r="K1778">
        <v>-3</v>
      </c>
      <c r="L1778" t="s">
        <v>84</v>
      </c>
      <c r="M1778">
        <v>24.6</v>
      </c>
      <c r="N1778">
        <v>40</v>
      </c>
      <c r="O1778">
        <v>10</v>
      </c>
      <c r="P1778">
        <v>9.3000000000000007</v>
      </c>
      <c r="Q1778" t="s">
        <v>31</v>
      </c>
      <c r="R1778">
        <v>10000</v>
      </c>
      <c r="S1778">
        <v>87</v>
      </c>
      <c r="T1778">
        <v>1</v>
      </c>
      <c r="U1778">
        <v>0</v>
      </c>
      <c r="V1778">
        <v>3</v>
      </c>
      <c r="W1778" t="s">
        <v>39</v>
      </c>
      <c r="X1778">
        <v>0</v>
      </c>
      <c r="Y1778" t="str">
        <f t="shared" si="27"/>
        <v>High</v>
      </c>
    </row>
    <row r="1779" spans="1:25">
      <c r="A1779" t="s">
        <v>1892</v>
      </c>
      <c r="B1779" s="1">
        <v>44945</v>
      </c>
      <c r="C1779" s="2">
        <v>0.71875</v>
      </c>
      <c r="D1779" t="s">
        <v>26</v>
      </c>
      <c r="E1779" t="s">
        <v>61</v>
      </c>
      <c r="F1779" t="s">
        <v>109</v>
      </c>
      <c r="G1779" t="s">
        <v>29</v>
      </c>
      <c r="H1779" s="2">
        <v>0.72013888888888888</v>
      </c>
      <c r="I1779" s="2">
        <v>0.73611111111111116</v>
      </c>
      <c r="J1779">
        <v>13</v>
      </c>
      <c r="K1779">
        <v>14</v>
      </c>
      <c r="L1779" t="s">
        <v>77</v>
      </c>
      <c r="M1779">
        <v>7.6</v>
      </c>
      <c r="N1779">
        <v>75</v>
      </c>
      <c r="O1779">
        <v>37</v>
      </c>
      <c r="P1779">
        <v>15.9</v>
      </c>
      <c r="Q1779" t="s">
        <v>63</v>
      </c>
      <c r="R1779">
        <v>0</v>
      </c>
      <c r="S1779">
        <v>48</v>
      </c>
      <c r="T1779">
        <v>0</v>
      </c>
      <c r="U1779">
        <v>1</v>
      </c>
      <c r="V1779">
        <v>3</v>
      </c>
      <c r="W1779" t="s">
        <v>72</v>
      </c>
      <c r="X1779">
        <v>1</v>
      </c>
      <c r="Y1779" t="str">
        <f t="shared" si="27"/>
        <v>Medium</v>
      </c>
    </row>
    <row r="1780" spans="1:25">
      <c r="A1780" t="s">
        <v>1893</v>
      </c>
      <c r="B1780" s="1">
        <v>44945</v>
      </c>
      <c r="C1780" s="2">
        <v>0.72916666666666663</v>
      </c>
      <c r="D1780" t="s">
        <v>34</v>
      </c>
      <c r="E1780" t="s">
        <v>61</v>
      </c>
      <c r="F1780" t="s">
        <v>148</v>
      </c>
      <c r="G1780" t="s">
        <v>86</v>
      </c>
      <c r="H1780" s="2">
        <v>0.72916666666666663</v>
      </c>
      <c r="I1780" s="2">
        <v>0.75416666666666665</v>
      </c>
      <c r="J1780">
        <v>7</v>
      </c>
      <c r="K1780">
        <v>11</v>
      </c>
      <c r="L1780" t="s">
        <v>54</v>
      </c>
      <c r="M1780">
        <v>25.5</v>
      </c>
      <c r="N1780">
        <v>93</v>
      </c>
      <c r="O1780">
        <v>15</v>
      </c>
      <c r="P1780">
        <v>14.6</v>
      </c>
      <c r="Q1780" t="s">
        <v>46</v>
      </c>
      <c r="R1780">
        <v>10000</v>
      </c>
      <c r="S1780">
        <v>28</v>
      </c>
      <c r="T1780">
        <v>0</v>
      </c>
      <c r="U1780">
        <v>0</v>
      </c>
      <c r="V1780">
        <v>3</v>
      </c>
      <c r="W1780" t="s">
        <v>39</v>
      </c>
      <c r="X1780">
        <v>1</v>
      </c>
      <c r="Y1780" t="str">
        <f t="shared" si="27"/>
        <v>Low</v>
      </c>
    </row>
    <row r="1781" spans="1:25">
      <c r="A1781" t="s">
        <v>1894</v>
      </c>
      <c r="B1781" s="1">
        <v>44945</v>
      </c>
      <c r="C1781" s="2">
        <v>0.73958333333333337</v>
      </c>
      <c r="D1781" t="s">
        <v>34</v>
      </c>
      <c r="E1781" t="s">
        <v>98</v>
      </c>
      <c r="F1781" t="s">
        <v>197</v>
      </c>
      <c r="G1781" t="s">
        <v>96</v>
      </c>
      <c r="H1781" s="2">
        <v>0.73958333333333337</v>
      </c>
      <c r="I1781" s="2">
        <v>0.77847222222222223</v>
      </c>
      <c r="J1781">
        <v>12</v>
      </c>
      <c r="K1781">
        <v>13</v>
      </c>
      <c r="L1781" t="s">
        <v>30</v>
      </c>
      <c r="M1781">
        <v>-4.0999999999999996</v>
      </c>
      <c r="N1781">
        <v>57</v>
      </c>
      <c r="O1781">
        <v>54</v>
      </c>
      <c r="P1781">
        <v>3.5</v>
      </c>
      <c r="Q1781" t="s">
        <v>31</v>
      </c>
      <c r="R1781">
        <v>0</v>
      </c>
      <c r="S1781">
        <v>78</v>
      </c>
      <c r="T1781">
        <v>1</v>
      </c>
      <c r="U1781">
        <v>0</v>
      </c>
      <c r="V1781">
        <v>3</v>
      </c>
      <c r="W1781" t="s">
        <v>32</v>
      </c>
      <c r="X1781">
        <v>1</v>
      </c>
      <c r="Y1781" t="str">
        <f t="shared" si="27"/>
        <v>High</v>
      </c>
    </row>
    <row r="1782" spans="1:25">
      <c r="A1782" t="s">
        <v>1895</v>
      </c>
      <c r="B1782" s="1">
        <v>44945</v>
      </c>
      <c r="C1782" s="2">
        <v>0.75</v>
      </c>
      <c r="D1782" t="s">
        <v>74</v>
      </c>
      <c r="E1782" t="s">
        <v>61</v>
      </c>
      <c r="F1782" t="s">
        <v>163</v>
      </c>
      <c r="G1782" t="s">
        <v>135</v>
      </c>
      <c r="H1782" s="2">
        <v>0.75277777777777777</v>
      </c>
      <c r="I1782" s="2">
        <v>0.77569444444444446</v>
      </c>
      <c r="J1782">
        <v>18</v>
      </c>
      <c r="K1782">
        <v>6</v>
      </c>
      <c r="L1782" t="s">
        <v>45</v>
      </c>
      <c r="M1782">
        <v>16.100000000000001</v>
      </c>
      <c r="N1782">
        <v>77</v>
      </c>
      <c r="O1782">
        <v>56</v>
      </c>
      <c r="P1782">
        <v>4.7</v>
      </c>
      <c r="Q1782" t="s">
        <v>71</v>
      </c>
      <c r="R1782">
        <v>0</v>
      </c>
      <c r="S1782">
        <v>81</v>
      </c>
      <c r="T1782">
        <v>0</v>
      </c>
      <c r="U1782">
        <v>0</v>
      </c>
      <c r="V1782">
        <v>3</v>
      </c>
      <c r="W1782" t="s">
        <v>72</v>
      </c>
      <c r="X1782">
        <v>1</v>
      </c>
      <c r="Y1782" t="str">
        <f t="shared" si="27"/>
        <v>High</v>
      </c>
    </row>
    <row r="1783" spans="1:25">
      <c r="A1783" t="s">
        <v>1896</v>
      </c>
      <c r="B1783" s="1">
        <v>44945</v>
      </c>
      <c r="C1783" s="2">
        <v>0.76041666666666663</v>
      </c>
      <c r="D1783" t="s">
        <v>34</v>
      </c>
      <c r="E1783" t="s">
        <v>130</v>
      </c>
      <c r="F1783" t="s">
        <v>91</v>
      </c>
      <c r="G1783" t="s">
        <v>66</v>
      </c>
      <c r="H1783" s="2">
        <v>0.76041666666666663</v>
      </c>
      <c r="I1783" s="2">
        <v>0.79166666666666663</v>
      </c>
      <c r="J1783">
        <v>12</v>
      </c>
      <c r="K1783">
        <v>16</v>
      </c>
      <c r="L1783" t="s">
        <v>30</v>
      </c>
      <c r="M1783">
        <v>5</v>
      </c>
      <c r="N1783">
        <v>64</v>
      </c>
      <c r="O1783">
        <v>21</v>
      </c>
      <c r="P1783">
        <v>11.5</v>
      </c>
      <c r="Q1783" t="s">
        <v>31</v>
      </c>
      <c r="R1783">
        <v>0</v>
      </c>
      <c r="S1783">
        <v>6</v>
      </c>
      <c r="T1783">
        <v>0</v>
      </c>
      <c r="U1783">
        <v>1</v>
      </c>
      <c r="V1783">
        <v>3</v>
      </c>
      <c r="W1783" t="s">
        <v>32</v>
      </c>
      <c r="X1783">
        <v>1</v>
      </c>
      <c r="Y1783" t="str">
        <f t="shared" si="27"/>
        <v>Low</v>
      </c>
    </row>
    <row r="1784" spans="1:25">
      <c r="A1784" t="s">
        <v>1897</v>
      </c>
      <c r="B1784" s="1">
        <v>44945</v>
      </c>
      <c r="C1784" s="2">
        <v>0.77083333333333337</v>
      </c>
      <c r="D1784" t="s">
        <v>34</v>
      </c>
      <c r="E1784" t="s">
        <v>68</v>
      </c>
      <c r="F1784" t="s">
        <v>154</v>
      </c>
      <c r="G1784" t="s">
        <v>197</v>
      </c>
      <c r="H1784" s="2">
        <v>0.7729166666666667</v>
      </c>
      <c r="I1784" s="2">
        <v>0.79513888888888884</v>
      </c>
      <c r="J1784">
        <v>7</v>
      </c>
      <c r="K1784">
        <v>2</v>
      </c>
      <c r="L1784" t="s">
        <v>45</v>
      </c>
      <c r="M1784">
        <v>-0.4</v>
      </c>
      <c r="N1784">
        <v>37</v>
      </c>
      <c r="O1784">
        <v>56</v>
      </c>
      <c r="P1784">
        <v>5.9</v>
      </c>
      <c r="Q1784" t="s">
        <v>31</v>
      </c>
      <c r="R1784">
        <v>0</v>
      </c>
      <c r="S1784">
        <v>76</v>
      </c>
      <c r="T1784">
        <v>0</v>
      </c>
      <c r="U1784">
        <v>0</v>
      </c>
      <c r="V1784">
        <v>3</v>
      </c>
      <c r="W1784" t="s">
        <v>55</v>
      </c>
      <c r="X1784">
        <v>0</v>
      </c>
      <c r="Y1784" t="str">
        <f t="shared" si="27"/>
        <v>High</v>
      </c>
    </row>
    <row r="1785" spans="1:25">
      <c r="A1785" t="s">
        <v>1898</v>
      </c>
      <c r="B1785" s="1">
        <v>44945</v>
      </c>
      <c r="C1785" s="2">
        <v>0.78125</v>
      </c>
      <c r="D1785" t="s">
        <v>74</v>
      </c>
      <c r="E1785" t="s">
        <v>157</v>
      </c>
      <c r="F1785" t="s">
        <v>148</v>
      </c>
      <c r="G1785" t="s">
        <v>86</v>
      </c>
      <c r="H1785" s="2">
        <v>0.78263888888888888</v>
      </c>
      <c r="I1785" s="2">
        <v>0.8</v>
      </c>
      <c r="J1785">
        <v>18</v>
      </c>
      <c r="K1785">
        <v>4</v>
      </c>
      <c r="L1785" t="s">
        <v>45</v>
      </c>
      <c r="M1785">
        <v>30.4</v>
      </c>
      <c r="N1785">
        <v>51</v>
      </c>
      <c r="O1785">
        <v>46</v>
      </c>
      <c r="P1785">
        <v>8.4</v>
      </c>
      <c r="Q1785" t="s">
        <v>46</v>
      </c>
      <c r="R1785">
        <v>0</v>
      </c>
      <c r="S1785">
        <v>82</v>
      </c>
      <c r="T1785">
        <v>0</v>
      </c>
      <c r="U1785">
        <v>0</v>
      </c>
      <c r="V1785">
        <v>3</v>
      </c>
      <c r="W1785" t="s">
        <v>39</v>
      </c>
      <c r="X1785">
        <v>0</v>
      </c>
      <c r="Y1785" t="str">
        <f t="shared" si="27"/>
        <v>High</v>
      </c>
    </row>
    <row r="1786" spans="1:25">
      <c r="A1786" t="s">
        <v>1899</v>
      </c>
      <c r="B1786" s="1">
        <v>44945</v>
      </c>
      <c r="C1786" s="2">
        <v>0.79166666666666663</v>
      </c>
      <c r="D1786" t="s">
        <v>26</v>
      </c>
      <c r="E1786" t="s">
        <v>79</v>
      </c>
      <c r="F1786" t="s">
        <v>81</v>
      </c>
      <c r="G1786" t="s">
        <v>96</v>
      </c>
      <c r="H1786" s="2">
        <v>0.79166666666666663</v>
      </c>
      <c r="I1786" s="2">
        <v>0.82152777777777775</v>
      </c>
      <c r="J1786">
        <v>4</v>
      </c>
      <c r="K1786">
        <v>28</v>
      </c>
      <c r="L1786" t="s">
        <v>54</v>
      </c>
      <c r="M1786">
        <v>3</v>
      </c>
      <c r="N1786">
        <v>53</v>
      </c>
      <c r="O1786">
        <v>15</v>
      </c>
      <c r="P1786">
        <v>9.6999999999999993</v>
      </c>
      <c r="Q1786" t="s">
        <v>31</v>
      </c>
      <c r="R1786">
        <v>2000</v>
      </c>
      <c r="S1786">
        <v>68</v>
      </c>
      <c r="T1786">
        <v>0</v>
      </c>
      <c r="U1786">
        <v>0</v>
      </c>
      <c r="V1786">
        <v>3</v>
      </c>
      <c r="W1786" t="s">
        <v>32</v>
      </c>
      <c r="X1786">
        <v>1</v>
      </c>
      <c r="Y1786" t="str">
        <f t="shared" si="27"/>
        <v>High</v>
      </c>
    </row>
    <row r="1787" spans="1:25">
      <c r="A1787" t="s">
        <v>1900</v>
      </c>
      <c r="B1787" s="1">
        <v>44945</v>
      </c>
      <c r="C1787" s="2">
        <v>0.80208333333333337</v>
      </c>
      <c r="D1787" t="s">
        <v>34</v>
      </c>
      <c r="E1787" t="s">
        <v>89</v>
      </c>
      <c r="F1787" t="s">
        <v>36</v>
      </c>
      <c r="G1787" t="s">
        <v>122</v>
      </c>
      <c r="H1787" s="2">
        <v>0.80208333333333337</v>
      </c>
      <c r="I1787" s="2">
        <v>0.82430555555555551</v>
      </c>
      <c r="J1787">
        <v>0</v>
      </c>
      <c r="K1787">
        <v>0</v>
      </c>
      <c r="L1787" t="s">
        <v>30</v>
      </c>
      <c r="M1787">
        <v>27.9</v>
      </c>
      <c r="N1787">
        <v>95</v>
      </c>
      <c r="O1787">
        <v>12</v>
      </c>
      <c r="P1787">
        <v>11.9</v>
      </c>
      <c r="Q1787" t="s">
        <v>31</v>
      </c>
      <c r="R1787">
        <v>50000</v>
      </c>
      <c r="S1787">
        <v>89</v>
      </c>
      <c r="T1787">
        <v>0</v>
      </c>
      <c r="U1787">
        <v>0</v>
      </c>
      <c r="V1787">
        <v>3</v>
      </c>
      <c r="W1787" t="s">
        <v>72</v>
      </c>
      <c r="X1787">
        <v>0</v>
      </c>
      <c r="Y1787" t="str">
        <f t="shared" si="27"/>
        <v>High</v>
      </c>
    </row>
    <row r="1788" spans="1:25">
      <c r="A1788" t="s">
        <v>1901</v>
      </c>
      <c r="B1788" s="1">
        <v>44945</v>
      </c>
      <c r="C1788" s="2">
        <v>0.8125</v>
      </c>
      <c r="D1788" t="s">
        <v>34</v>
      </c>
      <c r="E1788" t="s">
        <v>57</v>
      </c>
      <c r="F1788" t="s">
        <v>62</v>
      </c>
      <c r="G1788" t="s">
        <v>76</v>
      </c>
      <c r="H1788" s="2">
        <v>0.81319444444444444</v>
      </c>
      <c r="I1788" s="2">
        <v>0.84583333333333333</v>
      </c>
      <c r="J1788">
        <v>-1</v>
      </c>
      <c r="K1788">
        <v>16</v>
      </c>
      <c r="L1788" t="s">
        <v>30</v>
      </c>
      <c r="M1788">
        <v>11.5</v>
      </c>
      <c r="N1788">
        <v>93</v>
      </c>
      <c r="O1788">
        <v>11</v>
      </c>
      <c r="P1788">
        <v>5</v>
      </c>
      <c r="Q1788" t="s">
        <v>71</v>
      </c>
      <c r="R1788">
        <v>50000</v>
      </c>
      <c r="S1788">
        <v>1</v>
      </c>
      <c r="T1788">
        <v>0</v>
      </c>
      <c r="U1788">
        <v>0</v>
      </c>
      <c r="V1788">
        <v>3</v>
      </c>
      <c r="W1788" t="s">
        <v>32</v>
      </c>
      <c r="X1788">
        <v>1</v>
      </c>
      <c r="Y1788" t="str">
        <f t="shared" si="27"/>
        <v>Low</v>
      </c>
    </row>
    <row r="1789" spans="1:25">
      <c r="A1789" t="s">
        <v>1902</v>
      </c>
      <c r="B1789" s="1">
        <v>44945</v>
      </c>
      <c r="C1789" s="2">
        <v>0.82291666666666663</v>
      </c>
      <c r="D1789" t="s">
        <v>34</v>
      </c>
      <c r="E1789" t="s">
        <v>93</v>
      </c>
      <c r="F1789" t="s">
        <v>154</v>
      </c>
      <c r="G1789" t="s">
        <v>154</v>
      </c>
      <c r="H1789" s="2">
        <v>0.82361111111111107</v>
      </c>
      <c r="I1789" s="2">
        <v>0.85833333333333328</v>
      </c>
      <c r="J1789">
        <v>3</v>
      </c>
      <c r="K1789">
        <v>20</v>
      </c>
      <c r="L1789" t="s">
        <v>45</v>
      </c>
      <c r="M1789">
        <v>-4.4000000000000004</v>
      </c>
      <c r="N1789">
        <v>94</v>
      </c>
      <c r="O1789">
        <v>17</v>
      </c>
      <c r="P1789">
        <v>3.3</v>
      </c>
      <c r="Q1789" t="s">
        <v>31</v>
      </c>
      <c r="R1789">
        <v>500</v>
      </c>
      <c r="S1789">
        <v>32</v>
      </c>
      <c r="T1789">
        <v>0</v>
      </c>
      <c r="U1789">
        <v>0</v>
      </c>
      <c r="V1789">
        <v>3</v>
      </c>
      <c r="W1789" t="s">
        <v>32</v>
      </c>
      <c r="X1789">
        <v>1</v>
      </c>
      <c r="Y1789" t="str">
        <f t="shared" si="27"/>
        <v>Low</v>
      </c>
    </row>
    <row r="1790" spans="1:25">
      <c r="A1790" t="s">
        <v>1903</v>
      </c>
      <c r="B1790" s="1">
        <v>44945</v>
      </c>
      <c r="C1790" s="2">
        <v>0.83333333333333337</v>
      </c>
      <c r="D1790" t="s">
        <v>41</v>
      </c>
      <c r="E1790" t="s">
        <v>27</v>
      </c>
      <c r="F1790" t="s">
        <v>144</v>
      </c>
      <c r="G1790" t="s">
        <v>81</v>
      </c>
      <c r="H1790" s="2">
        <v>0.83402777777777781</v>
      </c>
      <c r="I1790" s="2">
        <v>0.86319444444444449</v>
      </c>
      <c r="J1790">
        <v>18</v>
      </c>
      <c r="K1790">
        <v>20</v>
      </c>
      <c r="L1790" t="s">
        <v>38</v>
      </c>
      <c r="M1790">
        <v>24.3</v>
      </c>
      <c r="N1790">
        <v>43</v>
      </c>
      <c r="O1790">
        <v>28</v>
      </c>
      <c r="P1790">
        <v>8</v>
      </c>
      <c r="Q1790" t="s">
        <v>31</v>
      </c>
      <c r="R1790">
        <v>0</v>
      </c>
      <c r="S1790">
        <v>47</v>
      </c>
      <c r="T1790">
        <v>0</v>
      </c>
      <c r="U1790">
        <v>0</v>
      </c>
      <c r="V1790">
        <v>3</v>
      </c>
      <c r="W1790" t="s">
        <v>55</v>
      </c>
      <c r="X1790">
        <v>1</v>
      </c>
      <c r="Y1790" t="str">
        <f t="shared" si="27"/>
        <v>Medium</v>
      </c>
    </row>
    <row r="1791" spans="1:25">
      <c r="A1791" t="s">
        <v>1904</v>
      </c>
      <c r="B1791" s="1">
        <v>44945</v>
      </c>
      <c r="C1791" s="2">
        <v>0.84375</v>
      </c>
      <c r="D1791" t="s">
        <v>74</v>
      </c>
      <c r="E1791" t="s">
        <v>126</v>
      </c>
      <c r="F1791" t="s">
        <v>65</v>
      </c>
      <c r="G1791" t="s">
        <v>87</v>
      </c>
      <c r="H1791" s="2">
        <v>0.84513888888888888</v>
      </c>
      <c r="I1791" s="2">
        <v>0.86805555555555558</v>
      </c>
      <c r="J1791">
        <v>6</v>
      </c>
      <c r="K1791">
        <v>22</v>
      </c>
      <c r="L1791" t="s">
        <v>77</v>
      </c>
      <c r="M1791">
        <v>18.899999999999999</v>
      </c>
      <c r="N1791">
        <v>54</v>
      </c>
      <c r="O1791">
        <v>17</v>
      </c>
      <c r="P1791">
        <v>1.6</v>
      </c>
      <c r="Q1791" t="s">
        <v>31</v>
      </c>
      <c r="R1791">
        <v>0</v>
      </c>
      <c r="S1791">
        <v>36</v>
      </c>
      <c r="T1791">
        <v>0</v>
      </c>
      <c r="U1791">
        <v>0</v>
      </c>
      <c r="V1791">
        <v>3</v>
      </c>
      <c r="W1791" t="s">
        <v>32</v>
      </c>
      <c r="X1791">
        <v>1</v>
      </c>
      <c r="Y1791" t="str">
        <f t="shared" si="27"/>
        <v>Medium</v>
      </c>
    </row>
    <row r="1792" spans="1:25">
      <c r="A1792" t="s">
        <v>1905</v>
      </c>
      <c r="B1792" s="1">
        <v>44945</v>
      </c>
      <c r="C1792" s="2">
        <v>0.85416666666666663</v>
      </c>
      <c r="D1792" t="s">
        <v>41</v>
      </c>
      <c r="E1792" t="s">
        <v>57</v>
      </c>
      <c r="F1792" t="s">
        <v>53</v>
      </c>
      <c r="G1792" t="s">
        <v>86</v>
      </c>
      <c r="H1792" s="2">
        <v>0.85624999999999996</v>
      </c>
      <c r="I1792" s="2">
        <v>0.875</v>
      </c>
      <c r="J1792">
        <v>7</v>
      </c>
      <c r="K1792">
        <v>21</v>
      </c>
      <c r="L1792" t="s">
        <v>84</v>
      </c>
      <c r="M1792">
        <v>8.8000000000000007</v>
      </c>
      <c r="N1792">
        <v>32</v>
      </c>
      <c r="O1792">
        <v>45</v>
      </c>
      <c r="P1792">
        <v>10.5</v>
      </c>
      <c r="Q1792" t="s">
        <v>101</v>
      </c>
      <c r="R1792">
        <v>500</v>
      </c>
      <c r="S1792">
        <v>88</v>
      </c>
      <c r="T1792">
        <v>1</v>
      </c>
      <c r="U1792">
        <v>0</v>
      </c>
      <c r="V1792">
        <v>3</v>
      </c>
      <c r="W1792" t="s">
        <v>32</v>
      </c>
      <c r="X1792">
        <v>1</v>
      </c>
      <c r="Y1792" t="str">
        <f t="shared" si="27"/>
        <v>High</v>
      </c>
    </row>
    <row r="1793" spans="1:25">
      <c r="A1793" t="s">
        <v>1906</v>
      </c>
      <c r="B1793" s="1">
        <v>44945</v>
      </c>
      <c r="C1793" s="2">
        <v>0.86458333333333337</v>
      </c>
      <c r="D1793" t="s">
        <v>74</v>
      </c>
      <c r="E1793" t="s">
        <v>93</v>
      </c>
      <c r="F1793" t="s">
        <v>176</v>
      </c>
      <c r="G1793" t="s">
        <v>122</v>
      </c>
      <c r="H1793" s="2">
        <v>0.8666666666666667</v>
      </c>
      <c r="I1793" s="2">
        <v>0.9</v>
      </c>
      <c r="J1793">
        <v>1</v>
      </c>
      <c r="K1793">
        <v>3</v>
      </c>
      <c r="L1793" t="s">
        <v>30</v>
      </c>
      <c r="M1793">
        <v>6.3</v>
      </c>
      <c r="N1793">
        <v>34</v>
      </c>
      <c r="O1793">
        <v>1</v>
      </c>
      <c r="P1793">
        <v>16.8</v>
      </c>
      <c r="Q1793" t="s">
        <v>101</v>
      </c>
      <c r="R1793">
        <v>10000</v>
      </c>
      <c r="S1793">
        <v>88</v>
      </c>
      <c r="T1793">
        <v>0</v>
      </c>
      <c r="U1793">
        <v>1</v>
      </c>
      <c r="V1793">
        <v>3</v>
      </c>
      <c r="W1793" t="s">
        <v>55</v>
      </c>
      <c r="X1793">
        <v>0</v>
      </c>
      <c r="Y1793" t="str">
        <f t="shared" si="27"/>
        <v>High</v>
      </c>
    </row>
    <row r="1794" spans="1:25">
      <c r="A1794" t="s">
        <v>1907</v>
      </c>
      <c r="B1794" s="1">
        <v>44945</v>
      </c>
      <c r="C1794" s="2">
        <v>0.875</v>
      </c>
      <c r="D1794" t="s">
        <v>26</v>
      </c>
      <c r="E1794" t="s">
        <v>42</v>
      </c>
      <c r="F1794" t="s">
        <v>53</v>
      </c>
      <c r="G1794" t="s">
        <v>43</v>
      </c>
      <c r="H1794" s="2">
        <v>0.87708333333333333</v>
      </c>
      <c r="I1794" s="2">
        <v>0.89236111111111116</v>
      </c>
      <c r="J1794">
        <v>0</v>
      </c>
      <c r="K1794">
        <v>6</v>
      </c>
      <c r="L1794" t="s">
        <v>77</v>
      </c>
      <c r="M1794">
        <v>-2.1</v>
      </c>
      <c r="N1794">
        <v>94</v>
      </c>
      <c r="O1794">
        <v>53</v>
      </c>
      <c r="P1794">
        <v>2.4</v>
      </c>
      <c r="Q1794" t="s">
        <v>31</v>
      </c>
      <c r="R1794">
        <v>0</v>
      </c>
      <c r="S1794">
        <v>29</v>
      </c>
      <c r="T1794">
        <v>0</v>
      </c>
      <c r="U1794">
        <v>0</v>
      </c>
      <c r="V1794">
        <v>3</v>
      </c>
      <c r="W1794" t="s">
        <v>72</v>
      </c>
      <c r="X1794">
        <v>1</v>
      </c>
      <c r="Y1794" t="str">
        <f t="shared" ref="Y1794:Y1857" si="28">IF(S1794&lt;=33,"Low",IF(S1794&lt;=66,"Medium","High"))</f>
        <v>Low</v>
      </c>
    </row>
    <row r="1795" spans="1:25">
      <c r="A1795" t="s">
        <v>1908</v>
      </c>
      <c r="B1795" s="1">
        <v>44945</v>
      </c>
      <c r="C1795" s="2">
        <v>0.88541666666666663</v>
      </c>
      <c r="D1795" t="s">
        <v>26</v>
      </c>
      <c r="E1795" t="s">
        <v>157</v>
      </c>
      <c r="F1795" t="s">
        <v>176</v>
      </c>
      <c r="G1795" t="s">
        <v>44</v>
      </c>
      <c r="H1795" s="2">
        <v>0.88680555555555551</v>
      </c>
      <c r="I1795" s="2">
        <v>0.92291666666666672</v>
      </c>
      <c r="J1795">
        <v>6</v>
      </c>
      <c r="K1795">
        <v>8</v>
      </c>
      <c r="L1795" t="s">
        <v>77</v>
      </c>
      <c r="M1795">
        <v>32.700000000000003</v>
      </c>
      <c r="N1795">
        <v>83</v>
      </c>
      <c r="O1795">
        <v>1</v>
      </c>
      <c r="P1795">
        <v>2.2999999999999998</v>
      </c>
      <c r="Q1795" t="s">
        <v>31</v>
      </c>
      <c r="R1795">
        <v>50000</v>
      </c>
      <c r="S1795">
        <v>40</v>
      </c>
      <c r="T1795">
        <v>0</v>
      </c>
      <c r="U1795">
        <v>0</v>
      </c>
      <c r="V1795">
        <v>3</v>
      </c>
      <c r="W1795" t="s">
        <v>55</v>
      </c>
      <c r="X1795">
        <v>1</v>
      </c>
      <c r="Y1795" t="str">
        <f t="shared" si="28"/>
        <v>Medium</v>
      </c>
    </row>
    <row r="1796" spans="1:25">
      <c r="A1796" t="s">
        <v>1909</v>
      </c>
      <c r="B1796" s="1">
        <v>44945</v>
      </c>
      <c r="C1796" s="2">
        <v>0.89583333333333337</v>
      </c>
      <c r="D1796" t="s">
        <v>34</v>
      </c>
      <c r="E1796" t="s">
        <v>61</v>
      </c>
      <c r="F1796" t="s">
        <v>148</v>
      </c>
      <c r="G1796" t="s">
        <v>135</v>
      </c>
      <c r="H1796" s="2">
        <v>0.89722222222222225</v>
      </c>
      <c r="I1796" s="2">
        <v>0.93194444444444446</v>
      </c>
      <c r="J1796">
        <v>19</v>
      </c>
      <c r="K1796">
        <v>-3</v>
      </c>
      <c r="L1796" t="s">
        <v>38</v>
      </c>
      <c r="M1796">
        <v>14.8</v>
      </c>
      <c r="N1796">
        <v>48</v>
      </c>
      <c r="O1796">
        <v>2</v>
      </c>
      <c r="P1796">
        <v>1.6</v>
      </c>
      <c r="Q1796" t="s">
        <v>71</v>
      </c>
      <c r="R1796">
        <v>0</v>
      </c>
      <c r="S1796">
        <v>3</v>
      </c>
      <c r="T1796">
        <v>0</v>
      </c>
      <c r="U1796">
        <v>1</v>
      </c>
      <c r="V1796">
        <v>3</v>
      </c>
      <c r="W1796" t="s">
        <v>32</v>
      </c>
      <c r="X1796">
        <v>0</v>
      </c>
      <c r="Y1796" t="str">
        <f t="shared" si="28"/>
        <v>Low</v>
      </c>
    </row>
    <row r="1797" spans="1:25">
      <c r="A1797" t="s">
        <v>1910</v>
      </c>
      <c r="B1797" s="1">
        <v>44945</v>
      </c>
      <c r="C1797" s="2">
        <v>0.90625</v>
      </c>
      <c r="D1797" t="s">
        <v>74</v>
      </c>
      <c r="E1797" t="s">
        <v>61</v>
      </c>
      <c r="F1797" t="s">
        <v>154</v>
      </c>
      <c r="G1797" t="s">
        <v>142</v>
      </c>
      <c r="H1797" s="2">
        <v>0.90694444444444444</v>
      </c>
      <c r="I1797" s="2">
        <v>0.93194444444444446</v>
      </c>
      <c r="J1797">
        <v>14</v>
      </c>
      <c r="K1797">
        <v>21</v>
      </c>
      <c r="L1797" t="s">
        <v>77</v>
      </c>
      <c r="M1797">
        <v>-1.6</v>
      </c>
      <c r="N1797">
        <v>83</v>
      </c>
      <c r="O1797">
        <v>28</v>
      </c>
      <c r="P1797">
        <v>17</v>
      </c>
      <c r="Q1797" t="s">
        <v>46</v>
      </c>
      <c r="R1797">
        <v>0</v>
      </c>
      <c r="S1797">
        <v>82</v>
      </c>
      <c r="T1797">
        <v>0</v>
      </c>
      <c r="U1797">
        <v>0</v>
      </c>
      <c r="V1797">
        <v>3</v>
      </c>
      <c r="W1797" t="s">
        <v>39</v>
      </c>
      <c r="X1797">
        <v>1</v>
      </c>
      <c r="Y1797" t="str">
        <f t="shared" si="28"/>
        <v>High</v>
      </c>
    </row>
    <row r="1798" spans="1:25">
      <c r="A1798" t="s">
        <v>1911</v>
      </c>
      <c r="B1798" s="1">
        <v>44945</v>
      </c>
      <c r="C1798" s="2">
        <v>0.91666666666666663</v>
      </c>
      <c r="D1798" t="s">
        <v>26</v>
      </c>
      <c r="E1798" t="s">
        <v>89</v>
      </c>
      <c r="F1798" t="s">
        <v>80</v>
      </c>
      <c r="G1798" t="s">
        <v>87</v>
      </c>
      <c r="H1798" s="2">
        <v>0.91666666666666663</v>
      </c>
      <c r="I1798" s="2">
        <v>0.9555555555555556</v>
      </c>
      <c r="J1798">
        <v>11</v>
      </c>
      <c r="K1798">
        <v>12</v>
      </c>
      <c r="L1798" t="s">
        <v>30</v>
      </c>
      <c r="M1798">
        <v>29.7</v>
      </c>
      <c r="N1798">
        <v>39</v>
      </c>
      <c r="O1798">
        <v>55</v>
      </c>
      <c r="P1798">
        <v>1.6</v>
      </c>
      <c r="Q1798" t="s">
        <v>31</v>
      </c>
      <c r="R1798">
        <v>50000</v>
      </c>
      <c r="S1798">
        <v>90</v>
      </c>
      <c r="T1798">
        <v>0</v>
      </c>
      <c r="U1798">
        <v>0</v>
      </c>
      <c r="V1798">
        <v>3</v>
      </c>
      <c r="W1798" t="s">
        <v>55</v>
      </c>
      <c r="X1798">
        <v>1</v>
      </c>
      <c r="Y1798" t="str">
        <f t="shared" si="28"/>
        <v>High</v>
      </c>
    </row>
    <row r="1799" spans="1:25">
      <c r="A1799" t="s">
        <v>1912</v>
      </c>
      <c r="B1799" s="1">
        <v>44945</v>
      </c>
      <c r="C1799" s="2">
        <v>0.92708333333333337</v>
      </c>
      <c r="D1799" t="s">
        <v>74</v>
      </c>
      <c r="E1799" t="s">
        <v>57</v>
      </c>
      <c r="F1799" t="s">
        <v>95</v>
      </c>
      <c r="G1799" t="s">
        <v>83</v>
      </c>
      <c r="H1799" s="2">
        <v>0.92986111111111114</v>
      </c>
      <c r="I1799" s="2">
        <v>0.94930555555555551</v>
      </c>
      <c r="J1799">
        <v>7</v>
      </c>
      <c r="K1799">
        <v>1</v>
      </c>
      <c r="L1799" t="s">
        <v>54</v>
      </c>
      <c r="M1799">
        <v>6.2</v>
      </c>
      <c r="N1799">
        <v>45</v>
      </c>
      <c r="O1799">
        <v>7</v>
      </c>
      <c r="P1799">
        <v>19.7</v>
      </c>
      <c r="Q1799" t="s">
        <v>31</v>
      </c>
      <c r="R1799">
        <v>50000</v>
      </c>
      <c r="S1799">
        <v>38</v>
      </c>
      <c r="T1799">
        <v>0</v>
      </c>
      <c r="U1799">
        <v>0</v>
      </c>
      <c r="V1799">
        <v>3</v>
      </c>
      <c r="W1799" t="s">
        <v>55</v>
      </c>
      <c r="X1799">
        <v>0</v>
      </c>
      <c r="Y1799" t="str">
        <f t="shared" si="28"/>
        <v>Medium</v>
      </c>
    </row>
    <row r="1800" spans="1:25">
      <c r="A1800" t="s">
        <v>1913</v>
      </c>
      <c r="B1800" s="1">
        <v>44945</v>
      </c>
      <c r="C1800" s="2">
        <v>0.9375</v>
      </c>
      <c r="D1800" t="s">
        <v>26</v>
      </c>
      <c r="E1800" t="s">
        <v>93</v>
      </c>
      <c r="F1800" t="s">
        <v>29</v>
      </c>
      <c r="G1800" t="s">
        <v>154</v>
      </c>
      <c r="H1800" s="2">
        <v>0.94027777777777777</v>
      </c>
      <c r="I1800" s="2">
        <v>0.95763888888888893</v>
      </c>
      <c r="J1800">
        <v>10</v>
      </c>
      <c r="K1800">
        <v>15</v>
      </c>
      <c r="L1800" t="s">
        <v>54</v>
      </c>
      <c r="M1800">
        <v>3.1</v>
      </c>
      <c r="N1800">
        <v>75</v>
      </c>
      <c r="O1800">
        <v>10</v>
      </c>
      <c r="P1800">
        <v>7.2</v>
      </c>
      <c r="Q1800" t="s">
        <v>63</v>
      </c>
      <c r="R1800">
        <v>500</v>
      </c>
      <c r="S1800">
        <v>23</v>
      </c>
      <c r="T1800">
        <v>0</v>
      </c>
      <c r="U1800">
        <v>0</v>
      </c>
      <c r="V1800">
        <v>3</v>
      </c>
      <c r="W1800" t="s">
        <v>32</v>
      </c>
      <c r="X1800">
        <v>1</v>
      </c>
      <c r="Y1800" t="str">
        <f t="shared" si="28"/>
        <v>Low</v>
      </c>
    </row>
    <row r="1801" spans="1:25">
      <c r="A1801" t="s">
        <v>1914</v>
      </c>
      <c r="B1801" s="1">
        <v>44945</v>
      </c>
      <c r="C1801" s="2">
        <v>0.94791666666666663</v>
      </c>
      <c r="D1801" t="s">
        <v>41</v>
      </c>
      <c r="E1801" t="s">
        <v>141</v>
      </c>
      <c r="F1801" t="s">
        <v>36</v>
      </c>
      <c r="G1801" t="s">
        <v>62</v>
      </c>
      <c r="H1801" s="2">
        <v>0.94791666666666663</v>
      </c>
      <c r="I1801" s="2">
        <v>0.9868055555555556</v>
      </c>
      <c r="J1801">
        <v>9</v>
      </c>
      <c r="K1801">
        <v>0</v>
      </c>
      <c r="L1801" t="s">
        <v>77</v>
      </c>
      <c r="M1801">
        <v>6.2</v>
      </c>
      <c r="N1801">
        <v>58</v>
      </c>
      <c r="O1801">
        <v>11</v>
      </c>
      <c r="P1801">
        <v>6.6</v>
      </c>
      <c r="Q1801" t="s">
        <v>31</v>
      </c>
      <c r="R1801">
        <v>0</v>
      </c>
      <c r="S1801">
        <v>49</v>
      </c>
      <c r="T1801">
        <v>0</v>
      </c>
      <c r="U1801">
        <v>0</v>
      </c>
      <c r="V1801">
        <v>3</v>
      </c>
      <c r="W1801" t="s">
        <v>39</v>
      </c>
      <c r="X1801">
        <v>0</v>
      </c>
      <c r="Y1801" t="str">
        <f t="shared" si="28"/>
        <v>Medium</v>
      </c>
    </row>
    <row r="1802" spans="1:25">
      <c r="A1802" t="s">
        <v>1915</v>
      </c>
      <c r="B1802" s="1">
        <v>44945</v>
      </c>
      <c r="C1802" s="2">
        <v>0.95833333333333337</v>
      </c>
      <c r="D1802" t="s">
        <v>26</v>
      </c>
      <c r="E1802" t="s">
        <v>93</v>
      </c>
      <c r="F1802" t="s">
        <v>100</v>
      </c>
      <c r="G1802" t="s">
        <v>154</v>
      </c>
      <c r="H1802" s="2">
        <v>0.95902777777777781</v>
      </c>
      <c r="I1802" s="2">
        <v>0.98958333333333337</v>
      </c>
      <c r="J1802">
        <v>-2</v>
      </c>
      <c r="K1802">
        <v>2</v>
      </c>
      <c r="L1802" t="s">
        <v>30</v>
      </c>
      <c r="M1802">
        <v>17.600000000000001</v>
      </c>
      <c r="N1802">
        <v>44</v>
      </c>
      <c r="O1802">
        <v>31</v>
      </c>
      <c r="P1802">
        <v>1.8</v>
      </c>
      <c r="Q1802" t="s">
        <v>31</v>
      </c>
      <c r="R1802">
        <v>0</v>
      </c>
      <c r="S1802">
        <v>36</v>
      </c>
      <c r="T1802">
        <v>1</v>
      </c>
      <c r="U1802">
        <v>0</v>
      </c>
      <c r="V1802">
        <v>3</v>
      </c>
      <c r="W1802" t="s">
        <v>72</v>
      </c>
      <c r="X1802">
        <v>0</v>
      </c>
      <c r="Y1802" t="str">
        <f t="shared" si="28"/>
        <v>Medium</v>
      </c>
    </row>
    <row r="1803" spans="1:25">
      <c r="A1803" t="s">
        <v>1916</v>
      </c>
      <c r="B1803" s="1">
        <v>44945</v>
      </c>
      <c r="C1803" s="2">
        <v>0.96875</v>
      </c>
      <c r="D1803" t="s">
        <v>41</v>
      </c>
      <c r="E1803" t="s">
        <v>48</v>
      </c>
      <c r="F1803" t="s">
        <v>87</v>
      </c>
      <c r="G1803" t="s">
        <v>99</v>
      </c>
      <c r="H1803" s="2">
        <v>0.96875</v>
      </c>
      <c r="I1803" s="2">
        <v>0.99375000000000002</v>
      </c>
      <c r="J1803">
        <v>19</v>
      </c>
      <c r="K1803">
        <v>22</v>
      </c>
      <c r="L1803" t="s">
        <v>30</v>
      </c>
      <c r="M1803">
        <v>-2</v>
      </c>
      <c r="N1803">
        <v>77</v>
      </c>
      <c r="O1803">
        <v>3</v>
      </c>
      <c r="P1803">
        <v>11.7</v>
      </c>
      <c r="Q1803" t="s">
        <v>71</v>
      </c>
      <c r="R1803">
        <v>0</v>
      </c>
      <c r="S1803">
        <v>52</v>
      </c>
      <c r="T1803">
        <v>0</v>
      </c>
      <c r="U1803">
        <v>0</v>
      </c>
      <c r="V1803">
        <v>3</v>
      </c>
      <c r="W1803" t="s">
        <v>39</v>
      </c>
      <c r="X1803">
        <v>1</v>
      </c>
      <c r="Y1803" t="str">
        <f t="shared" si="28"/>
        <v>Medium</v>
      </c>
    </row>
    <row r="1804" spans="1:25">
      <c r="A1804" t="s">
        <v>1917</v>
      </c>
      <c r="B1804" s="1">
        <v>44945</v>
      </c>
      <c r="C1804" s="2">
        <v>0.97916666666666663</v>
      </c>
      <c r="D1804" t="s">
        <v>26</v>
      </c>
      <c r="E1804" t="s">
        <v>130</v>
      </c>
      <c r="F1804" t="s">
        <v>99</v>
      </c>
      <c r="G1804" t="s">
        <v>83</v>
      </c>
      <c r="H1804" s="2">
        <v>0.97916666666666663</v>
      </c>
      <c r="I1804" s="2">
        <v>0.99305555555555558</v>
      </c>
      <c r="J1804">
        <v>16</v>
      </c>
      <c r="K1804">
        <v>5</v>
      </c>
      <c r="L1804" t="s">
        <v>45</v>
      </c>
      <c r="M1804">
        <v>14.3</v>
      </c>
      <c r="N1804">
        <v>40</v>
      </c>
      <c r="O1804">
        <v>8</v>
      </c>
      <c r="P1804">
        <v>11.7</v>
      </c>
      <c r="Q1804" t="s">
        <v>31</v>
      </c>
      <c r="R1804">
        <v>2000</v>
      </c>
      <c r="S1804">
        <v>24</v>
      </c>
      <c r="T1804">
        <v>0</v>
      </c>
      <c r="U1804">
        <v>0</v>
      </c>
      <c r="V1804">
        <v>3</v>
      </c>
      <c r="W1804" t="s">
        <v>55</v>
      </c>
      <c r="X1804">
        <v>0</v>
      </c>
      <c r="Y1804" t="str">
        <f t="shared" si="28"/>
        <v>Low</v>
      </c>
    </row>
    <row r="1805" spans="1:25">
      <c r="A1805" t="s">
        <v>1918</v>
      </c>
      <c r="B1805" s="1">
        <v>44945</v>
      </c>
      <c r="C1805" s="2">
        <v>0.98958333333333337</v>
      </c>
      <c r="D1805" t="s">
        <v>34</v>
      </c>
      <c r="E1805" t="s">
        <v>98</v>
      </c>
      <c r="F1805" t="s">
        <v>151</v>
      </c>
      <c r="G1805" t="s">
        <v>163</v>
      </c>
      <c r="H1805" s="2">
        <v>0.99236111111111114</v>
      </c>
      <c r="I1805" s="2">
        <v>2.013888888888889E-2</v>
      </c>
      <c r="J1805">
        <v>16</v>
      </c>
      <c r="K1805">
        <v>10</v>
      </c>
      <c r="L1805" t="s">
        <v>38</v>
      </c>
      <c r="M1805">
        <v>30.8</v>
      </c>
      <c r="N1805">
        <v>63</v>
      </c>
      <c r="O1805">
        <v>23</v>
      </c>
      <c r="P1805">
        <v>9.9</v>
      </c>
      <c r="Q1805" t="s">
        <v>31</v>
      </c>
      <c r="R1805">
        <v>0</v>
      </c>
      <c r="S1805">
        <v>92</v>
      </c>
      <c r="T1805">
        <v>0</v>
      </c>
      <c r="U1805">
        <v>0</v>
      </c>
      <c r="V1805">
        <v>3</v>
      </c>
      <c r="W1805" t="s">
        <v>39</v>
      </c>
      <c r="X1805">
        <v>1</v>
      </c>
      <c r="Y1805" t="str">
        <f t="shared" si="28"/>
        <v>High</v>
      </c>
    </row>
    <row r="1806" spans="1:25">
      <c r="A1806" t="s">
        <v>1919</v>
      </c>
      <c r="B1806" s="1">
        <v>44946</v>
      </c>
      <c r="C1806" s="2">
        <v>0</v>
      </c>
      <c r="D1806" t="s">
        <v>41</v>
      </c>
      <c r="E1806" t="s">
        <v>141</v>
      </c>
      <c r="F1806" t="s">
        <v>75</v>
      </c>
      <c r="G1806" t="s">
        <v>185</v>
      </c>
      <c r="H1806" s="2">
        <v>6.9444444444444447E-4</v>
      </c>
      <c r="I1806" s="2">
        <v>3.6805555555555557E-2</v>
      </c>
      <c r="J1806">
        <v>3</v>
      </c>
      <c r="K1806">
        <v>5</v>
      </c>
      <c r="L1806" t="s">
        <v>84</v>
      </c>
      <c r="M1806">
        <v>2.5</v>
      </c>
      <c r="N1806">
        <v>65</v>
      </c>
      <c r="O1806">
        <v>48</v>
      </c>
      <c r="P1806">
        <v>6.2</v>
      </c>
      <c r="Q1806" t="s">
        <v>101</v>
      </c>
      <c r="R1806">
        <v>0</v>
      </c>
      <c r="S1806">
        <v>30</v>
      </c>
      <c r="T1806">
        <v>0</v>
      </c>
      <c r="U1806">
        <v>1</v>
      </c>
      <c r="V1806">
        <v>4</v>
      </c>
      <c r="W1806" t="s">
        <v>72</v>
      </c>
      <c r="X1806">
        <v>0</v>
      </c>
      <c r="Y1806" t="str">
        <f t="shared" si="28"/>
        <v>Low</v>
      </c>
    </row>
    <row r="1807" spans="1:25">
      <c r="A1807" t="s">
        <v>1920</v>
      </c>
      <c r="B1807" s="1">
        <v>44946</v>
      </c>
      <c r="C1807" s="2">
        <v>1.0416666666666666E-2</v>
      </c>
      <c r="D1807" t="s">
        <v>26</v>
      </c>
      <c r="E1807" t="s">
        <v>93</v>
      </c>
      <c r="F1807" t="s">
        <v>107</v>
      </c>
      <c r="G1807" t="s">
        <v>81</v>
      </c>
      <c r="H1807" s="2">
        <v>1.1805555555555555E-2</v>
      </c>
      <c r="I1807" s="2">
        <v>5.0694444444444445E-2</v>
      </c>
      <c r="J1807">
        <v>10</v>
      </c>
      <c r="K1807">
        <v>11</v>
      </c>
      <c r="L1807" t="s">
        <v>45</v>
      </c>
      <c r="M1807">
        <v>8.1999999999999993</v>
      </c>
      <c r="N1807">
        <v>59</v>
      </c>
      <c r="O1807">
        <v>55</v>
      </c>
      <c r="P1807">
        <v>7.4</v>
      </c>
      <c r="Q1807" t="s">
        <v>31</v>
      </c>
      <c r="R1807">
        <v>0</v>
      </c>
      <c r="S1807">
        <v>98</v>
      </c>
      <c r="T1807">
        <v>0</v>
      </c>
      <c r="U1807">
        <v>1</v>
      </c>
      <c r="V1807">
        <v>4</v>
      </c>
      <c r="W1807" t="s">
        <v>39</v>
      </c>
      <c r="X1807">
        <v>1</v>
      </c>
      <c r="Y1807" t="str">
        <f t="shared" si="28"/>
        <v>High</v>
      </c>
    </row>
    <row r="1808" spans="1:25">
      <c r="A1808" t="s">
        <v>1921</v>
      </c>
      <c r="B1808" s="1">
        <v>44946</v>
      </c>
      <c r="C1808" s="2">
        <v>2.0833333333333332E-2</v>
      </c>
      <c r="D1808" t="s">
        <v>34</v>
      </c>
      <c r="E1808" t="s">
        <v>48</v>
      </c>
      <c r="F1808" t="s">
        <v>116</v>
      </c>
      <c r="G1808" t="s">
        <v>80</v>
      </c>
      <c r="H1808" s="2">
        <v>2.361111111111111E-2</v>
      </c>
      <c r="I1808" s="2">
        <v>4.0972222222222222E-2</v>
      </c>
      <c r="J1808">
        <v>16</v>
      </c>
      <c r="K1808">
        <v>16</v>
      </c>
      <c r="L1808" t="s">
        <v>84</v>
      </c>
      <c r="M1808">
        <v>10.8</v>
      </c>
      <c r="N1808">
        <v>48</v>
      </c>
      <c r="O1808">
        <v>15</v>
      </c>
      <c r="P1808">
        <v>6.4</v>
      </c>
      <c r="Q1808" t="s">
        <v>31</v>
      </c>
      <c r="R1808">
        <v>0</v>
      </c>
      <c r="S1808">
        <v>91</v>
      </c>
      <c r="T1808">
        <v>0</v>
      </c>
      <c r="U1808">
        <v>0</v>
      </c>
      <c r="V1808">
        <v>4</v>
      </c>
      <c r="W1808" t="s">
        <v>39</v>
      </c>
      <c r="X1808">
        <v>1</v>
      </c>
      <c r="Y1808" t="str">
        <f t="shared" si="28"/>
        <v>High</v>
      </c>
    </row>
    <row r="1809" spans="1:25">
      <c r="A1809" t="s">
        <v>1922</v>
      </c>
      <c r="B1809" s="1">
        <v>44946</v>
      </c>
      <c r="C1809" s="2">
        <v>3.125E-2</v>
      </c>
      <c r="D1809" t="s">
        <v>41</v>
      </c>
      <c r="E1809" t="s">
        <v>57</v>
      </c>
      <c r="F1809" t="s">
        <v>50</v>
      </c>
      <c r="G1809" t="s">
        <v>75</v>
      </c>
      <c r="H1809" s="2">
        <v>3.2638888888888891E-2</v>
      </c>
      <c r="I1809" s="2">
        <v>5.8333333333333334E-2</v>
      </c>
      <c r="J1809">
        <v>10</v>
      </c>
      <c r="K1809">
        <v>4</v>
      </c>
      <c r="L1809" t="s">
        <v>30</v>
      </c>
      <c r="M1809">
        <v>18.399999999999999</v>
      </c>
      <c r="N1809">
        <v>97</v>
      </c>
      <c r="O1809">
        <v>16</v>
      </c>
      <c r="P1809">
        <v>8.5</v>
      </c>
      <c r="Q1809" t="s">
        <v>31</v>
      </c>
      <c r="R1809">
        <v>0</v>
      </c>
      <c r="S1809">
        <v>37</v>
      </c>
      <c r="T1809">
        <v>0</v>
      </c>
      <c r="U1809">
        <v>0</v>
      </c>
      <c r="V1809">
        <v>4</v>
      </c>
      <c r="W1809" t="s">
        <v>39</v>
      </c>
      <c r="X1809">
        <v>0</v>
      </c>
      <c r="Y1809" t="str">
        <f t="shared" si="28"/>
        <v>Medium</v>
      </c>
    </row>
    <row r="1810" spans="1:25">
      <c r="A1810" t="s">
        <v>1923</v>
      </c>
      <c r="B1810" s="1">
        <v>44946</v>
      </c>
      <c r="C1810" s="2">
        <v>4.1666666666666664E-2</v>
      </c>
      <c r="D1810" t="s">
        <v>34</v>
      </c>
      <c r="E1810" t="s">
        <v>111</v>
      </c>
      <c r="F1810" t="s">
        <v>154</v>
      </c>
      <c r="G1810" t="s">
        <v>194</v>
      </c>
      <c r="H1810" s="2">
        <v>4.2361111111111113E-2</v>
      </c>
      <c r="I1810" s="2">
        <v>5.9722222222222225E-2</v>
      </c>
      <c r="J1810">
        <v>19</v>
      </c>
      <c r="K1810">
        <v>28</v>
      </c>
      <c r="L1810" t="s">
        <v>54</v>
      </c>
      <c r="M1810">
        <v>31.8</v>
      </c>
      <c r="N1810">
        <v>99</v>
      </c>
      <c r="O1810">
        <v>46</v>
      </c>
      <c r="P1810">
        <v>6.8</v>
      </c>
      <c r="Q1810" t="s">
        <v>101</v>
      </c>
      <c r="R1810">
        <v>50000</v>
      </c>
      <c r="S1810">
        <v>57</v>
      </c>
      <c r="T1810">
        <v>0</v>
      </c>
      <c r="U1810">
        <v>0</v>
      </c>
      <c r="V1810">
        <v>4</v>
      </c>
      <c r="W1810" t="s">
        <v>55</v>
      </c>
      <c r="X1810">
        <v>1</v>
      </c>
      <c r="Y1810" t="str">
        <f t="shared" si="28"/>
        <v>Medium</v>
      </c>
    </row>
    <row r="1811" spans="1:25">
      <c r="A1811" t="s">
        <v>1924</v>
      </c>
      <c r="B1811" s="1">
        <v>44946</v>
      </c>
      <c r="C1811" s="2">
        <v>5.2083333333333336E-2</v>
      </c>
      <c r="D1811" t="s">
        <v>74</v>
      </c>
      <c r="E1811" t="s">
        <v>35</v>
      </c>
      <c r="F1811" t="s">
        <v>105</v>
      </c>
      <c r="G1811" t="s">
        <v>66</v>
      </c>
      <c r="H1811" s="2">
        <v>5.2083333333333336E-2</v>
      </c>
      <c r="I1811" s="2">
        <v>7.6388888888888895E-2</v>
      </c>
      <c r="J1811">
        <v>18</v>
      </c>
      <c r="K1811">
        <v>17</v>
      </c>
      <c r="L1811" t="s">
        <v>45</v>
      </c>
      <c r="M1811">
        <v>10.8</v>
      </c>
      <c r="N1811">
        <v>62</v>
      </c>
      <c r="O1811">
        <v>51</v>
      </c>
      <c r="P1811">
        <v>13.5</v>
      </c>
      <c r="Q1811" t="s">
        <v>46</v>
      </c>
      <c r="R1811">
        <v>0</v>
      </c>
      <c r="S1811">
        <v>52</v>
      </c>
      <c r="T1811">
        <v>0</v>
      </c>
      <c r="U1811">
        <v>0</v>
      </c>
      <c r="V1811">
        <v>4</v>
      </c>
      <c r="W1811" t="s">
        <v>32</v>
      </c>
      <c r="X1811">
        <v>1</v>
      </c>
      <c r="Y1811" t="str">
        <f t="shared" si="28"/>
        <v>Medium</v>
      </c>
    </row>
    <row r="1812" spans="1:25">
      <c r="A1812" t="s">
        <v>1925</v>
      </c>
      <c r="B1812" s="1">
        <v>44946</v>
      </c>
      <c r="C1812" s="2">
        <v>6.25E-2</v>
      </c>
      <c r="D1812" t="s">
        <v>74</v>
      </c>
      <c r="E1812" t="s">
        <v>35</v>
      </c>
      <c r="F1812" t="s">
        <v>123</v>
      </c>
      <c r="G1812" t="s">
        <v>109</v>
      </c>
      <c r="H1812" s="2">
        <v>6.458333333333334E-2</v>
      </c>
      <c r="I1812" s="2">
        <v>0.10138888888888889</v>
      </c>
      <c r="J1812">
        <v>1</v>
      </c>
      <c r="K1812">
        <v>15</v>
      </c>
      <c r="L1812" t="s">
        <v>77</v>
      </c>
      <c r="M1812">
        <v>-2.2000000000000002</v>
      </c>
      <c r="N1812">
        <v>51</v>
      </c>
      <c r="O1812">
        <v>57</v>
      </c>
      <c r="P1812">
        <v>5.9</v>
      </c>
      <c r="Q1812" t="s">
        <v>31</v>
      </c>
      <c r="R1812">
        <v>10000</v>
      </c>
      <c r="S1812">
        <v>49</v>
      </c>
      <c r="T1812">
        <v>0</v>
      </c>
      <c r="U1812">
        <v>1</v>
      </c>
      <c r="V1812">
        <v>4</v>
      </c>
      <c r="W1812" t="s">
        <v>32</v>
      </c>
      <c r="X1812">
        <v>1</v>
      </c>
      <c r="Y1812" t="str">
        <f t="shared" si="28"/>
        <v>Medium</v>
      </c>
    </row>
    <row r="1813" spans="1:25">
      <c r="A1813" t="s">
        <v>1926</v>
      </c>
      <c r="B1813" s="1">
        <v>44946</v>
      </c>
      <c r="C1813" s="2">
        <v>7.2916666666666671E-2</v>
      </c>
      <c r="D1813" t="s">
        <v>41</v>
      </c>
      <c r="E1813" t="s">
        <v>147</v>
      </c>
      <c r="F1813" t="s">
        <v>62</v>
      </c>
      <c r="G1813" t="s">
        <v>49</v>
      </c>
      <c r="H1813" s="2">
        <v>7.4999999999999997E-2</v>
      </c>
      <c r="I1813" s="2">
        <v>0.10625</v>
      </c>
      <c r="J1813">
        <v>-1</v>
      </c>
      <c r="K1813">
        <v>25</v>
      </c>
      <c r="L1813" t="s">
        <v>77</v>
      </c>
      <c r="M1813">
        <v>8.9</v>
      </c>
      <c r="N1813">
        <v>65</v>
      </c>
      <c r="O1813">
        <v>21</v>
      </c>
      <c r="P1813">
        <v>7</v>
      </c>
      <c r="Q1813" t="s">
        <v>71</v>
      </c>
      <c r="R1813">
        <v>0</v>
      </c>
      <c r="S1813">
        <v>3</v>
      </c>
      <c r="T1813">
        <v>0</v>
      </c>
      <c r="U1813">
        <v>0</v>
      </c>
      <c r="V1813">
        <v>4</v>
      </c>
      <c r="W1813" t="s">
        <v>39</v>
      </c>
      <c r="X1813">
        <v>1</v>
      </c>
      <c r="Y1813" t="str">
        <f t="shared" si="28"/>
        <v>Low</v>
      </c>
    </row>
    <row r="1814" spans="1:25">
      <c r="A1814" t="s">
        <v>1927</v>
      </c>
      <c r="B1814" s="1">
        <v>44946</v>
      </c>
      <c r="C1814" s="2">
        <v>8.3333333333333329E-2</v>
      </c>
      <c r="D1814" t="s">
        <v>26</v>
      </c>
      <c r="E1814" t="s">
        <v>104</v>
      </c>
      <c r="F1814" t="s">
        <v>58</v>
      </c>
      <c r="G1814" t="s">
        <v>65</v>
      </c>
      <c r="H1814" s="2">
        <v>8.4027777777777785E-2</v>
      </c>
      <c r="I1814" s="2">
        <v>0.10486111111111111</v>
      </c>
      <c r="J1814">
        <v>12</v>
      </c>
      <c r="K1814">
        <v>27</v>
      </c>
      <c r="L1814" t="s">
        <v>84</v>
      </c>
      <c r="M1814">
        <v>2.6</v>
      </c>
      <c r="N1814">
        <v>52</v>
      </c>
      <c r="O1814">
        <v>6</v>
      </c>
      <c r="P1814">
        <v>8.6999999999999993</v>
      </c>
      <c r="Q1814" t="s">
        <v>31</v>
      </c>
      <c r="R1814">
        <v>2000</v>
      </c>
      <c r="S1814">
        <v>91</v>
      </c>
      <c r="T1814">
        <v>0</v>
      </c>
      <c r="U1814">
        <v>0</v>
      </c>
      <c r="V1814">
        <v>4</v>
      </c>
      <c r="W1814" t="s">
        <v>55</v>
      </c>
      <c r="X1814">
        <v>1</v>
      </c>
      <c r="Y1814" t="str">
        <f t="shared" si="28"/>
        <v>High</v>
      </c>
    </row>
    <row r="1815" spans="1:25">
      <c r="A1815" t="s">
        <v>1928</v>
      </c>
      <c r="B1815" s="1">
        <v>44946</v>
      </c>
      <c r="C1815" s="2">
        <v>9.375E-2</v>
      </c>
      <c r="D1815" t="s">
        <v>41</v>
      </c>
      <c r="E1815" t="s">
        <v>157</v>
      </c>
      <c r="F1815" t="s">
        <v>75</v>
      </c>
      <c r="G1815" t="s">
        <v>65</v>
      </c>
      <c r="H1815" s="2">
        <v>9.583333333333334E-2</v>
      </c>
      <c r="I1815" s="2">
        <v>0.11874999999999999</v>
      </c>
      <c r="J1815">
        <v>9</v>
      </c>
      <c r="K1815">
        <v>2</v>
      </c>
      <c r="L1815" t="s">
        <v>30</v>
      </c>
      <c r="M1815">
        <v>21.1</v>
      </c>
      <c r="N1815">
        <v>92</v>
      </c>
      <c r="O1815">
        <v>9</v>
      </c>
      <c r="P1815">
        <v>0.1</v>
      </c>
      <c r="Q1815" t="s">
        <v>31</v>
      </c>
      <c r="R1815">
        <v>50000</v>
      </c>
      <c r="S1815">
        <v>51</v>
      </c>
      <c r="T1815">
        <v>0</v>
      </c>
      <c r="U1815">
        <v>0</v>
      </c>
      <c r="V1815">
        <v>4</v>
      </c>
      <c r="W1815" t="s">
        <v>55</v>
      </c>
      <c r="X1815">
        <v>0</v>
      </c>
      <c r="Y1815" t="str">
        <f t="shared" si="28"/>
        <v>Medium</v>
      </c>
    </row>
    <row r="1816" spans="1:25">
      <c r="A1816" t="s">
        <v>1929</v>
      </c>
      <c r="B1816" s="1">
        <v>44946</v>
      </c>
      <c r="C1816" s="2">
        <v>0.10416666666666667</v>
      </c>
      <c r="D1816" t="s">
        <v>34</v>
      </c>
      <c r="E1816" t="s">
        <v>48</v>
      </c>
      <c r="F1816" t="s">
        <v>91</v>
      </c>
      <c r="G1816" t="s">
        <v>99</v>
      </c>
      <c r="H1816" s="2">
        <v>0.10555555555555556</v>
      </c>
      <c r="I1816" s="2">
        <v>0.13125000000000001</v>
      </c>
      <c r="J1816">
        <v>4</v>
      </c>
      <c r="K1816">
        <v>0</v>
      </c>
      <c r="L1816" t="s">
        <v>54</v>
      </c>
      <c r="M1816">
        <v>-3.8</v>
      </c>
      <c r="N1816">
        <v>55</v>
      </c>
      <c r="O1816">
        <v>28</v>
      </c>
      <c r="P1816">
        <v>9.8000000000000007</v>
      </c>
      <c r="Q1816" t="s">
        <v>71</v>
      </c>
      <c r="R1816">
        <v>0</v>
      </c>
      <c r="S1816">
        <v>30</v>
      </c>
      <c r="T1816">
        <v>0</v>
      </c>
      <c r="U1816">
        <v>0</v>
      </c>
      <c r="V1816">
        <v>4</v>
      </c>
      <c r="W1816" t="s">
        <v>55</v>
      </c>
      <c r="X1816">
        <v>0</v>
      </c>
      <c r="Y1816" t="str">
        <f t="shared" si="28"/>
        <v>Low</v>
      </c>
    </row>
    <row r="1817" spans="1:25">
      <c r="A1817" t="s">
        <v>1930</v>
      </c>
      <c r="B1817" s="1">
        <v>44946</v>
      </c>
      <c r="C1817" s="2">
        <v>0.11458333333333333</v>
      </c>
      <c r="D1817" t="s">
        <v>26</v>
      </c>
      <c r="E1817" t="s">
        <v>161</v>
      </c>
      <c r="F1817" t="s">
        <v>58</v>
      </c>
      <c r="G1817" t="s">
        <v>62</v>
      </c>
      <c r="H1817" s="2">
        <v>0.11666666666666667</v>
      </c>
      <c r="I1817" s="2">
        <v>0.14583333333333334</v>
      </c>
      <c r="J1817">
        <v>17</v>
      </c>
      <c r="K1817">
        <v>25</v>
      </c>
      <c r="L1817" t="s">
        <v>84</v>
      </c>
      <c r="M1817">
        <v>6.7</v>
      </c>
      <c r="N1817">
        <v>89</v>
      </c>
      <c r="O1817">
        <v>35</v>
      </c>
      <c r="P1817">
        <v>5.0999999999999996</v>
      </c>
      <c r="Q1817" t="s">
        <v>31</v>
      </c>
      <c r="R1817">
        <v>0</v>
      </c>
      <c r="S1817">
        <v>86</v>
      </c>
      <c r="T1817">
        <v>0</v>
      </c>
      <c r="U1817">
        <v>0</v>
      </c>
      <c r="V1817">
        <v>4</v>
      </c>
      <c r="W1817" t="s">
        <v>32</v>
      </c>
      <c r="X1817">
        <v>1</v>
      </c>
      <c r="Y1817" t="str">
        <f t="shared" si="28"/>
        <v>High</v>
      </c>
    </row>
    <row r="1818" spans="1:25">
      <c r="A1818" t="s">
        <v>1931</v>
      </c>
      <c r="B1818" s="1">
        <v>44946</v>
      </c>
      <c r="C1818" s="2">
        <v>0.125</v>
      </c>
      <c r="D1818" t="s">
        <v>74</v>
      </c>
      <c r="E1818" t="s">
        <v>130</v>
      </c>
      <c r="F1818" t="s">
        <v>83</v>
      </c>
      <c r="G1818" t="s">
        <v>99</v>
      </c>
      <c r="H1818" s="2">
        <v>0.12569444444444444</v>
      </c>
      <c r="I1818" s="2">
        <v>0.15138888888888888</v>
      </c>
      <c r="J1818">
        <v>15</v>
      </c>
      <c r="K1818">
        <v>-1</v>
      </c>
      <c r="L1818" t="s">
        <v>54</v>
      </c>
      <c r="M1818">
        <v>16.8</v>
      </c>
      <c r="N1818">
        <v>34</v>
      </c>
      <c r="O1818">
        <v>23</v>
      </c>
      <c r="P1818">
        <v>1.1000000000000001</v>
      </c>
      <c r="Q1818" t="s">
        <v>63</v>
      </c>
      <c r="R1818">
        <v>0</v>
      </c>
      <c r="S1818">
        <v>77</v>
      </c>
      <c r="T1818">
        <v>0</v>
      </c>
      <c r="U1818">
        <v>0</v>
      </c>
      <c r="V1818">
        <v>4</v>
      </c>
      <c r="W1818" t="s">
        <v>55</v>
      </c>
      <c r="X1818">
        <v>0</v>
      </c>
      <c r="Y1818" t="str">
        <f t="shared" si="28"/>
        <v>High</v>
      </c>
    </row>
    <row r="1819" spans="1:25">
      <c r="A1819" t="s">
        <v>1932</v>
      </c>
      <c r="B1819" s="1">
        <v>44946</v>
      </c>
      <c r="C1819" s="2">
        <v>0.13541666666666666</v>
      </c>
      <c r="D1819" t="s">
        <v>26</v>
      </c>
      <c r="E1819" t="s">
        <v>93</v>
      </c>
      <c r="F1819" t="s">
        <v>76</v>
      </c>
      <c r="G1819" t="s">
        <v>76</v>
      </c>
      <c r="H1819" s="2">
        <v>0.1361111111111111</v>
      </c>
      <c r="I1819" s="2">
        <v>0.15694444444444444</v>
      </c>
      <c r="J1819">
        <v>10</v>
      </c>
      <c r="K1819">
        <v>-3</v>
      </c>
      <c r="L1819" t="s">
        <v>38</v>
      </c>
      <c r="M1819">
        <v>6.1</v>
      </c>
      <c r="N1819">
        <v>83</v>
      </c>
      <c r="O1819">
        <v>55</v>
      </c>
      <c r="P1819">
        <v>18.2</v>
      </c>
      <c r="Q1819" t="s">
        <v>71</v>
      </c>
      <c r="R1819">
        <v>0</v>
      </c>
      <c r="S1819">
        <v>91</v>
      </c>
      <c r="T1819">
        <v>0</v>
      </c>
      <c r="U1819">
        <v>0</v>
      </c>
      <c r="V1819">
        <v>4</v>
      </c>
      <c r="W1819" t="s">
        <v>39</v>
      </c>
      <c r="X1819">
        <v>0</v>
      </c>
      <c r="Y1819" t="str">
        <f t="shared" si="28"/>
        <v>High</v>
      </c>
    </row>
    <row r="1820" spans="1:25">
      <c r="A1820" t="s">
        <v>1933</v>
      </c>
      <c r="B1820" s="1">
        <v>44946</v>
      </c>
      <c r="C1820" s="2">
        <v>0.14583333333333334</v>
      </c>
      <c r="D1820" t="s">
        <v>74</v>
      </c>
      <c r="E1820" t="s">
        <v>27</v>
      </c>
      <c r="F1820" t="s">
        <v>148</v>
      </c>
      <c r="G1820" t="s">
        <v>29</v>
      </c>
      <c r="H1820" s="2">
        <v>0.14722222222222223</v>
      </c>
      <c r="I1820" s="2">
        <v>0.1736111111111111</v>
      </c>
      <c r="J1820">
        <v>14</v>
      </c>
      <c r="K1820">
        <v>11</v>
      </c>
      <c r="L1820" t="s">
        <v>54</v>
      </c>
      <c r="M1820">
        <v>17</v>
      </c>
      <c r="N1820">
        <v>67</v>
      </c>
      <c r="O1820">
        <v>45</v>
      </c>
      <c r="P1820">
        <v>6.4</v>
      </c>
      <c r="Q1820" t="s">
        <v>31</v>
      </c>
      <c r="R1820">
        <v>2000</v>
      </c>
      <c r="S1820">
        <v>13</v>
      </c>
      <c r="T1820">
        <v>0</v>
      </c>
      <c r="U1820">
        <v>1</v>
      </c>
      <c r="V1820">
        <v>4</v>
      </c>
      <c r="W1820" t="s">
        <v>32</v>
      </c>
      <c r="X1820">
        <v>1</v>
      </c>
      <c r="Y1820" t="str">
        <f t="shared" si="28"/>
        <v>Low</v>
      </c>
    </row>
    <row r="1821" spans="1:25">
      <c r="A1821" t="s">
        <v>1934</v>
      </c>
      <c r="B1821" s="1">
        <v>44946</v>
      </c>
      <c r="C1821" s="2">
        <v>0.15625</v>
      </c>
      <c r="D1821" t="s">
        <v>26</v>
      </c>
      <c r="E1821" t="s">
        <v>141</v>
      </c>
      <c r="F1821" t="s">
        <v>36</v>
      </c>
      <c r="G1821" t="s">
        <v>69</v>
      </c>
      <c r="H1821" s="2">
        <v>0.15833333333333333</v>
      </c>
      <c r="I1821" s="2">
        <v>0.19305555555555556</v>
      </c>
      <c r="J1821">
        <v>1</v>
      </c>
      <c r="K1821">
        <v>17</v>
      </c>
      <c r="L1821" t="s">
        <v>77</v>
      </c>
      <c r="M1821">
        <v>-0.4</v>
      </c>
      <c r="N1821">
        <v>91</v>
      </c>
      <c r="O1821">
        <v>13</v>
      </c>
      <c r="P1821">
        <v>8.5</v>
      </c>
      <c r="Q1821" t="s">
        <v>71</v>
      </c>
      <c r="R1821">
        <v>0</v>
      </c>
      <c r="S1821">
        <v>0</v>
      </c>
      <c r="T1821">
        <v>0</v>
      </c>
      <c r="U1821">
        <v>0</v>
      </c>
      <c r="V1821">
        <v>4</v>
      </c>
      <c r="W1821" t="s">
        <v>55</v>
      </c>
      <c r="X1821">
        <v>1</v>
      </c>
      <c r="Y1821" t="str">
        <f t="shared" si="28"/>
        <v>Low</v>
      </c>
    </row>
    <row r="1822" spans="1:25">
      <c r="A1822" t="s">
        <v>1935</v>
      </c>
      <c r="B1822" s="1">
        <v>44946</v>
      </c>
      <c r="C1822" s="2">
        <v>0.16666666666666666</v>
      </c>
      <c r="D1822" t="s">
        <v>26</v>
      </c>
      <c r="E1822" t="s">
        <v>147</v>
      </c>
      <c r="F1822" t="s">
        <v>86</v>
      </c>
      <c r="G1822" t="s">
        <v>83</v>
      </c>
      <c r="H1822" s="2">
        <v>0.16875000000000001</v>
      </c>
      <c r="I1822" s="2">
        <v>0.18472222222222223</v>
      </c>
      <c r="J1822">
        <v>11</v>
      </c>
      <c r="K1822">
        <v>27</v>
      </c>
      <c r="L1822" t="s">
        <v>45</v>
      </c>
      <c r="M1822">
        <v>32.700000000000003</v>
      </c>
      <c r="N1822">
        <v>54</v>
      </c>
      <c r="O1822">
        <v>13</v>
      </c>
      <c r="P1822">
        <v>16.5</v>
      </c>
      <c r="Q1822" t="s">
        <v>31</v>
      </c>
      <c r="R1822">
        <v>0</v>
      </c>
      <c r="S1822">
        <v>42</v>
      </c>
      <c r="T1822">
        <v>0</v>
      </c>
      <c r="U1822">
        <v>1</v>
      </c>
      <c r="V1822">
        <v>4</v>
      </c>
      <c r="W1822" t="s">
        <v>39</v>
      </c>
      <c r="X1822">
        <v>1</v>
      </c>
      <c r="Y1822" t="str">
        <f t="shared" si="28"/>
        <v>Medium</v>
      </c>
    </row>
    <row r="1823" spans="1:25">
      <c r="A1823" t="s">
        <v>1936</v>
      </c>
      <c r="B1823" s="1">
        <v>44946</v>
      </c>
      <c r="C1823" s="2">
        <v>0.17708333333333334</v>
      </c>
      <c r="D1823" t="s">
        <v>26</v>
      </c>
      <c r="E1823" t="s">
        <v>157</v>
      </c>
      <c r="F1823" t="s">
        <v>96</v>
      </c>
      <c r="G1823" t="s">
        <v>65</v>
      </c>
      <c r="H1823" s="2">
        <v>0.17708333333333334</v>
      </c>
      <c r="I1823" s="2">
        <v>0.21458333333333332</v>
      </c>
      <c r="J1823">
        <v>17</v>
      </c>
      <c r="K1823">
        <v>3</v>
      </c>
      <c r="L1823" t="s">
        <v>45</v>
      </c>
      <c r="M1823">
        <v>6.6</v>
      </c>
      <c r="N1823">
        <v>41</v>
      </c>
      <c r="O1823">
        <v>24</v>
      </c>
      <c r="P1823">
        <v>3.3</v>
      </c>
      <c r="Q1823" t="s">
        <v>71</v>
      </c>
      <c r="R1823">
        <v>500</v>
      </c>
      <c r="S1823">
        <v>95</v>
      </c>
      <c r="T1823">
        <v>0</v>
      </c>
      <c r="U1823">
        <v>1</v>
      </c>
      <c r="V1823">
        <v>4</v>
      </c>
      <c r="W1823" t="s">
        <v>32</v>
      </c>
      <c r="X1823">
        <v>0</v>
      </c>
      <c r="Y1823" t="str">
        <f t="shared" si="28"/>
        <v>High</v>
      </c>
    </row>
    <row r="1824" spans="1:25">
      <c r="A1824" t="s">
        <v>1937</v>
      </c>
      <c r="B1824" s="1">
        <v>44946</v>
      </c>
      <c r="C1824" s="2">
        <v>0.1875</v>
      </c>
      <c r="D1824" t="s">
        <v>34</v>
      </c>
      <c r="E1824" t="s">
        <v>48</v>
      </c>
      <c r="F1824" t="s">
        <v>95</v>
      </c>
      <c r="G1824" t="s">
        <v>80</v>
      </c>
      <c r="H1824" s="2">
        <v>0.19027777777777777</v>
      </c>
      <c r="I1824" s="2">
        <v>0.21111111111111111</v>
      </c>
      <c r="J1824">
        <v>10</v>
      </c>
      <c r="K1824">
        <v>13</v>
      </c>
      <c r="L1824" t="s">
        <v>45</v>
      </c>
      <c r="M1824">
        <v>31.9</v>
      </c>
      <c r="N1824">
        <v>51</v>
      </c>
      <c r="O1824">
        <v>45</v>
      </c>
      <c r="P1824">
        <v>17</v>
      </c>
      <c r="Q1824" t="s">
        <v>31</v>
      </c>
      <c r="R1824">
        <v>0</v>
      </c>
      <c r="S1824">
        <v>58</v>
      </c>
      <c r="T1824">
        <v>0</v>
      </c>
      <c r="U1824">
        <v>0</v>
      </c>
      <c r="V1824">
        <v>4</v>
      </c>
      <c r="W1824" t="s">
        <v>55</v>
      </c>
      <c r="X1824">
        <v>1</v>
      </c>
      <c r="Y1824" t="str">
        <f t="shared" si="28"/>
        <v>Medium</v>
      </c>
    </row>
    <row r="1825" spans="1:25">
      <c r="A1825" t="s">
        <v>1938</v>
      </c>
      <c r="B1825" s="1">
        <v>44946</v>
      </c>
      <c r="C1825" s="2">
        <v>0.19791666666666666</v>
      </c>
      <c r="D1825" t="s">
        <v>34</v>
      </c>
      <c r="E1825" t="s">
        <v>57</v>
      </c>
      <c r="F1825" t="s">
        <v>168</v>
      </c>
      <c r="G1825" t="s">
        <v>76</v>
      </c>
      <c r="H1825" s="2">
        <v>0.1986111111111111</v>
      </c>
      <c r="I1825" s="2">
        <v>0.21180555555555555</v>
      </c>
      <c r="J1825">
        <v>0</v>
      </c>
      <c r="K1825">
        <v>15</v>
      </c>
      <c r="L1825" t="s">
        <v>54</v>
      </c>
      <c r="M1825">
        <v>8</v>
      </c>
      <c r="N1825">
        <v>38</v>
      </c>
      <c r="O1825">
        <v>21</v>
      </c>
      <c r="P1825">
        <v>4.8</v>
      </c>
      <c r="Q1825" t="s">
        <v>31</v>
      </c>
      <c r="R1825">
        <v>0</v>
      </c>
      <c r="S1825">
        <v>60</v>
      </c>
      <c r="T1825">
        <v>0</v>
      </c>
      <c r="U1825">
        <v>0</v>
      </c>
      <c r="V1825">
        <v>4</v>
      </c>
      <c r="W1825" t="s">
        <v>72</v>
      </c>
      <c r="X1825">
        <v>1</v>
      </c>
      <c r="Y1825" t="str">
        <f t="shared" si="28"/>
        <v>Medium</v>
      </c>
    </row>
    <row r="1826" spans="1:25">
      <c r="A1826" t="s">
        <v>1939</v>
      </c>
      <c r="B1826" s="1">
        <v>44946</v>
      </c>
      <c r="C1826" s="2">
        <v>0.20833333333333334</v>
      </c>
      <c r="D1826" t="s">
        <v>41</v>
      </c>
      <c r="E1826" t="s">
        <v>130</v>
      </c>
      <c r="F1826" t="s">
        <v>70</v>
      </c>
      <c r="G1826" t="s">
        <v>86</v>
      </c>
      <c r="H1826" s="2">
        <v>0.20833333333333334</v>
      </c>
      <c r="I1826" s="2">
        <v>0.23958333333333334</v>
      </c>
      <c r="J1826">
        <v>15</v>
      </c>
      <c r="K1826">
        <v>-1</v>
      </c>
      <c r="L1826" t="s">
        <v>77</v>
      </c>
      <c r="M1826">
        <v>26.3</v>
      </c>
      <c r="N1826">
        <v>58</v>
      </c>
      <c r="O1826">
        <v>51</v>
      </c>
      <c r="P1826">
        <v>11.8</v>
      </c>
      <c r="Q1826" t="s">
        <v>46</v>
      </c>
      <c r="R1826">
        <v>0</v>
      </c>
      <c r="S1826">
        <v>40</v>
      </c>
      <c r="T1826">
        <v>0</v>
      </c>
      <c r="U1826">
        <v>0</v>
      </c>
      <c r="V1826">
        <v>4</v>
      </c>
      <c r="W1826" t="s">
        <v>39</v>
      </c>
      <c r="X1826">
        <v>0</v>
      </c>
      <c r="Y1826" t="str">
        <f t="shared" si="28"/>
        <v>Medium</v>
      </c>
    </row>
    <row r="1827" spans="1:25">
      <c r="A1827" t="s">
        <v>1940</v>
      </c>
      <c r="B1827" s="1">
        <v>44946</v>
      </c>
      <c r="C1827" s="2">
        <v>0.21875</v>
      </c>
      <c r="D1827" t="s">
        <v>41</v>
      </c>
      <c r="E1827" t="s">
        <v>79</v>
      </c>
      <c r="F1827" t="s">
        <v>168</v>
      </c>
      <c r="G1827" t="s">
        <v>154</v>
      </c>
      <c r="H1827" s="2">
        <v>0.21944444444444444</v>
      </c>
      <c r="I1827" s="2">
        <v>0.25624999999999998</v>
      </c>
      <c r="J1827">
        <v>11</v>
      </c>
      <c r="K1827">
        <v>26</v>
      </c>
      <c r="L1827" t="s">
        <v>54</v>
      </c>
      <c r="M1827">
        <v>4.8</v>
      </c>
      <c r="N1827">
        <v>73</v>
      </c>
      <c r="O1827">
        <v>49</v>
      </c>
      <c r="P1827">
        <v>13.7</v>
      </c>
      <c r="Q1827" t="s">
        <v>59</v>
      </c>
      <c r="R1827">
        <v>2000</v>
      </c>
      <c r="S1827">
        <v>17</v>
      </c>
      <c r="T1827">
        <v>0</v>
      </c>
      <c r="U1827">
        <v>0</v>
      </c>
      <c r="V1827">
        <v>4</v>
      </c>
      <c r="W1827" t="s">
        <v>72</v>
      </c>
      <c r="X1827">
        <v>1</v>
      </c>
      <c r="Y1827" t="str">
        <f t="shared" si="28"/>
        <v>Low</v>
      </c>
    </row>
    <row r="1828" spans="1:25">
      <c r="A1828" t="s">
        <v>1941</v>
      </c>
      <c r="B1828" s="1">
        <v>44946</v>
      </c>
      <c r="C1828" s="2">
        <v>0.22916666666666666</v>
      </c>
      <c r="D1828" t="s">
        <v>74</v>
      </c>
      <c r="E1828" t="s">
        <v>52</v>
      </c>
      <c r="F1828" t="s">
        <v>65</v>
      </c>
      <c r="G1828" t="s">
        <v>29</v>
      </c>
      <c r="H1828" s="2">
        <v>0.22916666666666666</v>
      </c>
      <c r="I1828" s="2">
        <v>0.25972222222222224</v>
      </c>
      <c r="J1828">
        <v>12</v>
      </c>
      <c r="K1828">
        <v>25</v>
      </c>
      <c r="L1828" t="s">
        <v>30</v>
      </c>
      <c r="M1828">
        <v>21.8</v>
      </c>
      <c r="N1828">
        <v>56</v>
      </c>
      <c r="O1828">
        <v>46</v>
      </c>
      <c r="P1828">
        <v>18.100000000000001</v>
      </c>
      <c r="Q1828" t="s">
        <v>31</v>
      </c>
      <c r="R1828">
        <v>0</v>
      </c>
      <c r="S1828">
        <v>59</v>
      </c>
      <c r="T1828">
        <v>0</v>
      </c>
      <c r="U1828">
        <v>0</v>
      </c>
      <c r="V1828">
        <v>4</v>
      </c>
      <c r="W1828" t="s">
        <v>32</v>
      </c>
      <c r="X1828">
        <v>1</v>
      </c>
      <c r="Y1828" t="str">
        <f t="shared" si="28"/>
        <v>Medium</v>
      </c>
    </row>
    <row r="1829" spans="1:25">
      <c r="A1829" t="s">
        <v>1942</v>
      </c>
      <c r="B1829" s="1">
        <v>44946</v>
      </c>
      <c r="C1829" s="2">
        <v>0.23958333333333334</v>
      </c>
      <c r="D1829" t="s">
        <v>34</v>
      </c>
      <c r="E1829" t="s">
        <v>48</v>
      </c>
      <c r="F1829" t="s">
        <v>43</v>
      </c>
      <c r="G1829" t="s">
        <v>154</v>
      </c>
      <c r="H1829" s="2">
        <v>0.24236111111111111</v>
      </c>
      <c r="I1829" s="2">
        <v>0.26319444444444445</v>
      </c>
      <c r="J1829">
        <v>0</v>
      </c>
      <c r="K1829">
        <v>10</v>
      </c>
      <c r="L1829" t="s">
        <v>77</v>
      </c>
      <c r="M1829">
        <v>7.9</v>
      </c>
      <c r="N1829">
        <v>84</v>
      </c>
      <c r="O1829">
        <v>22</v>
      </c>
      <c r="P1829">
        <v>12.2</v>
      </c>
      <c r="Q1829" t="s">
        <v>31</v>
      </c>
      <c r="R1829">
        <v>0</v>
      </c>
      <c r="S1829">
        <v>68</v>
      </c>
      <c r="T1829">
        <v>0</v>
      </c>
      <c r="U1829">
        <v>0</v>
      </c>
      <c r="V1829">
        <v>4</v>
      </c>
      <c r="W1829" t="s">
        <v>55</v>
      </c>
      <c r="X1829">
        <v>1</v>
      </c>
      <c r="Y1829" t="str">
        <f t="shared" si="28"/>
        <v>High</v>
      </c>
    </row>
    <row r="1830" spans="1:25">
      <c r="A1830" t="s">
        <v>1943</v>
      </c>
      <c r="B1830" s="1">
        <v>44946</v>
      </c>
      <c r="C1830" s="2">
        <v>0.25</v>
      </c>
      <c r="D1830" t="s">
        <v>74</v>
      </c>
      <c r="E1830" t="s">
        <v>61</v>
      </c>
      <c r="F1830" t="s">
        <v>95</v>
      </c>
      <c r="G1830" t="s">
        <v>185</v>
      </c>
      <c r="H1830" s="2">
        <v>0.25</v>
      </c>
      <c r="I1830" s="2">
        <v>0.27847222222222223</v>
      </c>
      <c r="J1830">
        <v>-2</v>
      </c>
      <c r="K1830">
        <v>24</v>
      </c>
      <c r="L1830" t="s">
        <v>77</v>
      </c>
      <c r="M1830">
        <v>15.4</v>
      </c>
      <c r="N1830">
        <v>34</v>
      </c>
      <c r="O1830">
        <v>31</v>
      </c>
      <c r="P1830">
        <v>9.1</v>
      </c>
      <c r="Q1830" t="s">
        <v>31</v>
      </c>
      <c r="R1830">
        <v>10000</v>
      </c>
      <c r="S1830">
        <v>78</v>
      </c>
      <c r="T1830">
        <v>0</v>
      </c>
      <c r="U1830">
        <v>0</v>
      </c>
      <c r="V1830">
        <v>4</v>
      </c>
      <c r="W1830" t="s">
        <v>39</v>
      </c>
      <c r="X1830">
        <v>1</v>
      </c>
      <c r="Y1830" t="str">
        <f t="shared" si="28"/>
        <v>High</v>
      </c>
    </row>
    <row r="1831" spans="1:25">
      <c r="A1831" t="s">
        <v>1944</v>
      </c>
      <c r="B1831" s="1">
        <v>44946</v>
      </c>
      <c r="C1831" s="2">
        <v>0.26041666666666669</v>
      </c>
      <c r="D1831" t="s">
        <v>41</v>
      </c>
      <c r="E1831" t="s">
        <v>104</v>
      </c>
      <c r="F1831" t="s">
        <v>66</v>
      </c>
      <c r="G1831" t="s">
        <v>80</v>
      </c>
      <c r="H1831" s="2">
        <v>0.26111111111111113</v>
      </c>
      <c r="I1831" s="2">
        <v>0.27777777777777779</v>
      </c>
      <c r="J1831">
        <v>14</v>
      </c>
      <c r="K1831">
        <v>26</v>
      </c>
      <c r="L1831" t="s">
        <v>54</v>
      </c>
      <c r="M1831">
        <v>22</v>
      </c>
      <c r="N1831">
        <v>81</v>
      </c>
      <c r="O1831">
        <v>25</v>
      </c>
      <c r="P1831">
        <v>11.4</v>
      </c>
      <c r="Q1831" t="s">
        <v>31</v>
      </c>
      <c r="R1831">
        <v>0</v>
      </c>
      <c r="S1831">
        <v>58</v>
      </c>
      <c r="T1831">
        <v>0</v>
      </c>
      <c r="U1831">
        <v>1</v>
      </c>
      <c r="V1831">
        <v>4</v>
      </c>
      <c r="W1831" t="s">
        <v>39</v>
      </c>
      <c r="X1831">
        <v>1</v>
      </c>
      <c r="Y1831" t="str">
        <f t="shared" si="28"/>
        <v>Medium</v>
      </c>
    </row>
    <row r="1832" spans="1:25">
      <c r="A1832" t="s">
        <v>1945</v>
      </c>
      <c r="B1832" s="1">
        <v>44946</v>
      </c>
      <c r="C1832" s="2">
        <v>0.27083333333333331</v>
      </c>
      <c r="D1832" t="s">
        <v>74</v>
      </c>
      <c r="E1832" t="s">
        <v>52</v>
      </c>
      <c r="F1832" t="s">
        <v>87</v>
      </c>
      <c r="G1832" t="s">
        <v>144</v>
      </c>
      <c r="H1832" s="2">
        <v>0.27291666666666664</v>
      </c>
      <c r="I1832" s="2">
        <v>0.29444444444444445</v>
      </c>
      <c r="J1832">
        <v>0</v>
      </c>
      <c r="K1832">
        <v>22</v>
      </c>
      <c r="L1832" t="s">
        <v>54</v>
      </c>
      <c r="M1832">
        <v>18.600000000000001</v>
      </c>
      <c r="N1832">
        <v>42</v>
      </c>
      <c r="O1832">
        <v>50</v>
      </c>
      <c r="P1832">
        <v>4</v>
      </c>
      <c r="Q1832" t="s">
        <v>31</v>
      </c>
      <c r="R1832">
        <v>2000</v>
      </c>
      <c r="S1832">
        <v>41</v>
      </c>
      <c r="T1832">
        <v>0</v>
      </c>
      <c r="U1832">
        <v>1</v>
      </c>
      <c r="V1832">
        <v>4</v>
      </c>
      <c r="W1832" t="s">
        <v>39</v>
      </c>
      <c r="X1832">
        <v>1</v>
      </c>
      <c r="Y1832" t="str">
        <f t="shared" si="28"/>
        <v>Medium</v>
      </c>
    </row>
    <row r="1833" spans="1:25">
      <c r="A1833" t="s">
        <v>1946</v>
      </c>
      <c r="B1833" s="1">
        <v>44946</v>
      </c>
      <c r="C1833" s="2">
        <v>0.28125</v>
      </c>
      <c r="D1833" t="s">
        <v>41</v>
      </c>
      <c r="E1833" t="s">
        <v>61</v>
      </c>
      <c r="F1833" t="s">
        <v>197</v>
      </c>
      <c r="G1833" t="s">
        <v>50</v>
      </c>
      <c r="H1833" s="2">
        <v>0.28194444444444444</v>
      </c>
      <c r="I1833" s="2">
        <v>0.31111111111111112</v>
      </c>
      <c r="J1833">
        <v>11</v>
      </c>
      <c r="K1833">
        <v>3</v>
      </c>
      <c r="L1833" t="s">
        <v>45</v>
      </c>
      <c r="M1833">
        <v>18.100000000000001</v>
      </c>
      <c r="N1833">
        <v>71</v>
      </c>
      <c r="O1833">
        <v>26</v>
      </c>
      <c r="P1833">
        <v>13.8</v>
      </c>
      <c r="Q1833" t="s">
        <v>46</v>
      </c>
      <c r="R1833">
        <v>10000</v>
      </c>
      <c r="S1833">
        <v>79</v>
      </c>
      <c r="T1833">
        <v>1</v>
      </c>
      <c r="U1833">
        <v>0</v>
      </c>
      <c r="V1833">
        <v>4</v>
      </c>
      <c r="W1833" t="s">
        <v>72</v>
      </c>
      <c r="X1833">
        <v>0</v>
      </c>
      <c r="Y1833" t="str">
        <f t="shared" si="28"/>
        <v>High</v>
      </c>
    </row>
    <row r="1834" spans="1:25">
      <c r="A1834" t="s">
        <v>1947</v>
      </c>
      <c r="B1834" s="1">
        <v>44946</v>
      </c>
      <c r="C1834" s="2">
        <v>0.29166666666666669</v>
      </c>
      <c r="D1834" t="s">
        <v>34</v>
      </c>
      <c r="E1834" t="s">
        <v>57</v>
      </c>
      <c r="F1834" t="s">
        <v>109</v>
      </c>
      <c r="G1834" t="s">
        <v>105</v>
      </c>
      <c r="H1834" s="2">
        <v>0.29305555555555557</v>
      </c>
      <c r="I1834" s="2">
        <v>0.31944444444444442</v>
      </c>
      <c r="J1834">
        <v>0</v>
      </c>
      <c r="K1834">
        <v>27</v>
      </c>
      <c r="L1834" t="s">
        <v>77</v>
      </c>
      <c r="M1834">
        <v>-2.4</v>
      </c>
      <c r="N1834">
        <v>44</v>
      </c>
      <c r="O1834">
        <v>44</v>
      </c>
      <c r="P1834">
        <v>3.7</v>
      </c>
      <c r="Q1834" t="s">
        <v>31</v>
      </c>
      <c r="R1834">
        <v>10000</v>
      </c>
      <c r="S1834">
        <v>99</v>
      </c>
      <c r="T1834">
        <v>0</v>
      </c>
      <c r="U1834">
        <v>0</v>
      </c>
      <c r="V1834">
        <v>4</v>
      </c>
      <c r="W1834" t="s">
        <v>55</v>
      </c>
      <c r="X1834">
        <v>1</v>
      </c>
      <c r="Y1834" t="str">
        <f t="shared" si="28"/>
        <v>High</v>
      </c>
    </row>
    <row r="1835" spans="1:25">
      <c r="A1835" t="s">
        <v>1948</v>
      </c>
      <c r="B1835" s="1">
        <v>44946</v>
      </c>
      <c r="C1835" s="2">
        <v>0.30208333333333331</v>
      </c>
      <c r="D1835" t="s">
        <v>26</v>
      </c>
      <c r="E1835" t="s">
        <v>61</v>
      </c>
      <c r="F1835" t="s">
        <v>58</v>
      </c>
      <c r="G1835" t="s">
        <v>37</v>
      </c>
      <c r="H1835" s="2">
        <v>0.3034722222222222</v>
      </c>
      <c r="I1835" s="2">
        <v>0.32013888888888886</v>
      </c>
      <c r="J1835">
        <v>10</v>
      </c>
      <c r="K1835">
        <v>1</v>
      </c>
      <c r="L1835" t="s">
        <v>45</v>
      </c>
      <c r="M1835">
        <v>5</v>
      </c>
      <c r="N1835">
        <v>47</v>
      </c>
      <c r="O1835">
        <v>11</v>
      </c>
      <c r="P1835">
        <v>11.1</v>
      </c>
      <c r="Q1835" t="s">
        <v>101</v>
      </c>
      <c r="R1835">
        <v>500</v>
      </c>
      <c r="S1835">
        <v>35</v>
      </c>
      <c r="T1835">
        <v>0</v>
      </c>
      <c r="U1835">
        <v>1</v>
      </c>
      <c r="V1835">
        <v>4</v>
      </c>
      <c r="W1835" t="s">
        <v>55</v>
      </c>
      <c r="X1835">
        <v>0</v>
      </c>
      <c r="Y1835" t="str">
        <f t="shared" si="28"/>
        <v>Medium</v>
      </c>
    </row>
    <row r="1836" spans="1:25">
      <c r="A1836" t="s">
        <v>1949</v>
      </c>
      <c r="B1836" s="1">
        <v>44946</v>
      </c>
      <c r="C1836" s="2">
        <v>0.3125</v>
      </c>
      <c r="D1836" t="s">
        <v>34</v>
      </c>
      <c r="E1836" t="s">
        <v>157</v>
      </c>
      <c r="F1836" t="s">
        <v>163</v>
      </c>
      <c r="G1836" t="s">
        <v>135</v>
      </c>
      <c r="H1836" s="2">
        <v>0.31388888888888888</v>
      </c>
      <c r="I1836" s="2">
        <v>0.34583333333333333</v>
      </c>
      <c r="J1836">
        <v>12</v>
      </c>
      <c r="K1836">
        <v>10</v>
      </c>
      <c r="L1836" t="s">
        <v>30</v>
      </c>
      <c r="M1836">
        <v>17.899999999999999</v>
      </c>
      <c r="N1836">
        <v>79</v>
      </c>
      <c r="O1836">
        <v>18</v>
      </c>
      <c r="P1836">
        <v>13</v>
      </c>
      <c r="Q1836" t="s">
        <v>31</v>
      </c>
      <c r="R1836">
        <v>2000</v>
      </c>
      <c r="S1836">
        <v>39</v>
      </c>
      <c r="T1836">
        <v>0</v>
      </c>
      <c r="U1836">
        <v>0</v>
      </c>
      <c r="V1836">
        <v>4</v>
      </c>
      <c r="W1836" t="s">
        <v>55</v>
      </c>
      <c r="X1836">
        <v>1</v>
      </c>
      <c r="Y1836" t="str">
        <f t="shared" si="28"/>
        <v>Medium</v>
      </c>
    </row>
    <row r="1837" spans="1:25">
      <c r="A1837" t="s">
        <v>1950</v>
      </c>
      <c r="B1837" s="1">
        <v>44946</v>
      </c>
      <c r="C1837" s="2">
        <v>0.32291666666666669</v>
      </c>
      <c r="D1837" t="s">
        <v>74</v>
      </c>
      <c r="E1837" t="s">
        <v>48</v>
      </c>
      <c r="F1837" t="s">
        <v>96</v>
      </c>
      <c r="G1837" t="s">
        <v>87</v>
      </c>
      <c r="H1837" s="2">
        <v>0.32430555555555557</v>
      </c>
      <c r="I1837" s="2">
        <v>0.35833333333333334</v>
      </c>
      <c r="J1837">
        <v>15</v>
      </c>
      <c r="K1837">
        <v>23</v>
      </c>
      <c r="L1837" t="s">
        <v>38</v>
      </c>
      <c r="M1837">
        <v>-4.3</v>
      </c>
      <c r="N1837">
        <v>31</v>
      </c>
      <c r="O1837">
        <v>18</v>
      </c>
      <c r="P1837">
        <v>18</v>
      </c>
      <c r="Q1837" t="s">
        <v>101</v>
      </c>
      <c r="R1837">
        <v>2000</v>
      </c>
      <c r="S1837">
        <v>29</v>
      </c>
      <c r="T1837">
        <v>0</v>
      </c>
      <c r="U1837">
        <v>0</v>
      </c>
      <c r="V1837">
        <v>4</v>
      </c>
      <c r="W1837" t="s">
        <v>72</v>
      </c>
      <c r="X1837">
        <v>1</v>
      </c>
      <c r="Y1837" t="str">
        <f t="shared" si="28"/>
        <v>Low</v>
      </c>
    </row>
    <row r="1838" spans="1:25">
      <c r="A1838" t="s">
        <v>1951</v>
      </c>
      <c r="B1838" s="1">
        <v>44946</v>
      </c>
      <c r="C1838" s="2">
        <v>0.33333333333333331</v>
      </c>
      <c r="D1838" t="s">
        <v>74</v>
      </c>
      <c r="E1838" t="s">
        <v>141</v>
      </c>
      <c r="F1838" t="s">
        <v>105</v>
      </c>
      <c r="G1838" t="s">
        <v>44</v>
      </c>
      <c r="H1838" s="2">
        <v>0.33611111111111114</v>
      </c>
      <c r="I1838" s="2">
        <v>0.36875000000000002</v>
      </c>
      <c r="J1838">
        <v>11</v>
      </c>
      <c r="K1838">
        <v>20</v>
      </c>
      <c r="L1838" t="s">
        <v>45</v>
      </c>
      <c r="M1838">
        <v>5</v>
      </c>
      <c r="N1838">
        <v>42</v>
      </c>
      <c r="O1838">
        <v>51</v>
      </c>
      <c r="P1838">
        <v>9</v>
      </c>
      <c r="Q1838" t="s">
        <v>31</v>
      </c>
      <c r="R1838">
        <v>2000</v>
      </c>
      <c r="S1838">
        <v>86</v>
      </c>
      <c r="T1838">
        <v>0</v>
      </c>
      <c r="U1838">
        <v>0</v>
      </c>
      <c r="V1838">
        <v>4</v>
      </c>
      <c r="W1838" t="s">
        <v>32</v>
      </c>
      <c r="X1838">
        <v>1</v>
      </c>
      <c r="Y1838" t="str">
        <f t="shared" si="28"/>
        <v>High</v>
      </c>
    </row>
    <row r="1839" spans="1:25">
      <c r="A1839" t="s">
        <v>1952</v>
      </c>
      <c r="B1839" s="1">
        <v>44946</v>
      </c>
      <c r="C1839" s="2">
        <v>0.34375</v>
      </c>
      <c r="D1839" t="s">
        <v>34</v>
      </c>
      <c r="E1839" t="s">
        <v>147</v>
      </c>
      <c r="F1839" t="s">
        <v>99</v>
      </c>
      <c r="G1839" t="s">
        <v>116</v>
      </c>
      <c r="H1839" s="2">
        <v>0.34583333333333333</v>
      </c>
      <c r="I1839" s="2">
        <v>0.36041666666666666</v>
      </c>
      <c r="J1839">
        <v>18</v>
      </c>
      <c r="K1839">
        <v>25</v>
      </c>
      <c r="L1839" t="s">
        <v>54</v>
      </c>
      <c r="M1839">
        <v>4.2</v>
      </c>
      <c r="N1839">
        <v>97</v>
      </c>
      <c r="O1839">
        <v>33</v>
      </c>
      <c r="P1839">
        <v>15.5</v>
      </c>
      <c r="Q1839" t="s">
        <v>59</v>
      </c>
      <c r="R1839">
        <v>0</v>
      </c>
      <c r="S1839">
        <v>10</v>
      </c>
      <c r="T1839">
        <v>0</v>
      </c>
      <c r="U1839">
        <v>1</v>
      </c>
      <c r="V1839">
        <v>4</v>
      </c>
      <c r="W1839" t="s">
        <v>72</v>
      </c>
      <c r="X1839">
        <v>1</v>
      </c>
      <c r="Y1839" t="str">
        <f t="shared" si="28"/>
        <v>Low</v>
      </c>
    </row>
    <row r="1840" spans="1:25">
      <c r="A1840" t="s">
        <v>1953</v>
      </c>
      <c r="B1840" s="1">
        <v>44946</v>
      </c>
      <c r="C1840" s="2">
        <v>0.35416666666666669</v>
      </c>
      <c r="D1840" t="s">
        <v>34</v>
      </c>
      <c r="E1840" t="s">
        <v>93</v>
      </c>
      <c r="F1840" t="s">
        <v>135</v>
      </c>
      <c r="G1840" t="s">
        <v>76</v>
      </c>
      <c r="H1840" s="2">
        <v>0.35625000000000001</v>
      </c>
      <c r="I1840" s="2">
        <v>0.37013888888888891</v>
      </c>
      <c r="J1840">
        <v>0</v>
      </c>
      <c r="K1840">
        <v>18</v>
      </c>
      <c r="L1840" t="s">
        <v>84</v>
      </c>
      <c r="M1840">
        <v>5</v>
      </c>
      <c r="N1840">
        <v>76</v>
      </c>
      <c r="O1840">
        <v>31</v>
      </c>
      <c r="P1840">
        <v>3.4</v>
      </c>
      <c r="Q1840" t="s">
        <v>31</v>
      </c>
      <c r="R1840">
        <v>0</v>
      </c>
      <c r="S1840">
        <v>24</v>
      </c>
      <c r="T1840">
        <v>0</v>
      </c>
      <c r="U1840">
        <v>0</v>
      </c>
      <c r="V1840">
        <v>4</v>
      </c>
      <c r="W1840" t="s">
        <v>32</v>
      </c>
      <c r="X1840">
        <v>1</v>
      </c>
      <c r="Y1840" t="str">
        <f t="shared" si="28"/>
        <v>Low</v>
      </c>
    </row>
    <row r="1841" spans="1:25">
      <c r="A1841" t="s">
        <v>1954</v>
      </c>
      <c r="B1841" s="1">
        <v>44946</v>
      </c>
      <c r="C1841" s="2">
        <v>0.36458333333333331</v>
      </c>
      <c r="D1841" t="s">
        <v>41</v>
      </c>
      <c r="E1841" t="s">
        <v>27</v>
      </c>
      <c r="F1841" t="s">
        <v>185</v>
      </c>
      <c r="G1841" t="s">
        <v>176</v>
      </c>
      <c r="H1841" s="2">
        <v>0.36527777777777776</v>
      </c>
      <c r="I1841" s="2">
        <v>0.39305555555555555</v>
      </c>
      <c r="J1841">
        <v>16</v>
      </c>
      <c r="K1841">
        <v>4</v>
      </c>
      <c r="L1841" t="s">
        <v>38</v>
      </c>
      <c r="M1841">
        <v>16.399999999999999</v>
      </c>
      <c r="N1841">
        <v>79</v>
      </c>
      <c r="O1841">
        <v>28</v>
      </c>
      <c r="P1841">
        <v>3.1</v>
      </c>
      <c r="Q1841" t="s">
        <v>46</v>
      </c>
      <c r="R1841">
        <v>0</v>
      </c>
      <c r="S1841">
        <v>44</v>
      </c>
      <c r="T1841">
        <v>0</v>
      </c>
      <c r="U1841">
        <v>0</v>
      </c>
      <c r="V1841">
        <v>4</v>
      </c>
      <c r="W1841" t="s">
        <v>72</v>
      </c>
      <c r="X1841">
        <v>0</v>
      </c>
      <c r="Y1841" t="str">
        <f t="shared" si="28"/>
        <v>Medium</v>
      </c>
    </row>
    <row r="1842" spans="1:25">
      <c r="A1842" t="s">
        <v>1955</v>
      </c>
      <c r="B1842" s="1">
        <v>44946</v>
      </c>
      <c r="C1842" s="2">
        <v>0.375</v>
      </c>
      <c r="D1842" t="s">
        <v>74</v>
      </c>
      <c r="E1842" t="s">
        <v>35</v>
      </c>
      <c r="F1842" t="s">
        <v>49</v>
      </c>
      <c r="G1842" t="s">
        <v>44</v>
      </c>
      <c r="H1842" s="2">
        <v>0.375</v>
      </c>
      <c r="I1842" s="2">
        <v>0.40069444444444446</v>
      </c>
      <c r="J1842">
        <v>5</v>
      </c>
      <c r="K1842">
        <v>11</v>
      </c>
      <c r="L1842" t="s">
        <v>30</v>
      </c>
      <c r="M1842">
        <v>18.3</v>
      </c>
      <c r="N1842">
        <v>41</v>
      </c>
      <c r="O1842">
        <v>20</v>
      </c>
      <c r="P1842">
        <v>10.5</v>
      </c>
      <c r="Q1842" t="s">
        <v>31</v>
      </c>
      <c r="R1842">
        <v>0</v>
      </c>
      <c r="S1842">
        <v>50</v>
      </c>
      <c r="T1842">
        <v>1</v>
      </c>
      <c r="U1842">
        <v>0</v>
      </c>
      <c r="V1842">
        <v>4</v>
      </c>
      <c r="W1842" t="s">
        <v>55</v>
      </c>
      <c r="X1842">
        <v>1</v>
      </c>
      <c r="Y1842" t="str">
        <f t="shared" si="28"/>
        <v>Medium</v>
      </c>
    </row>
    <row r="1843" spans="1:25">
      <c r="A1843" t="s">
        <v>1956</v>
      </c>
      <c r="B1843" s="1">
        <v>44946</v>
      </c>
      <c r="C1843" s="2">
        <v>0.38541666666666669</v>
      </c>
      <c r="D1843" t="s">
        <v>74</v>
      </c>
      <c r="E1843" t="s">
        <v>147</v>
      </c>
      <c r="F1843" t="s">
        <v>128</v>
      </c>
      <c r="G1843" t="s">
        <v>37</v>
      </c>
      <c r="H1843" s="2">
        <v>0.38611111111111113</v>
      </c>
      <c r="I1843" s="2">
        <v>0.42291666666666666</v>
      </c>
      <c r="J1843">
        <v>1</v>
      </c>
      <c r="K1843">
        <v>1</v>
      </c>
      <c r="L1843" t="s">
        <v>54</v>
      </c>
      <c r="M1843">
        <v>31.4</v>
      </c>
      <c r="N1843">
        <v>42</v>
      </c>
      <c r="O1843">
        <v>34</v>
      </c>
      <c r="P1843">
        <v>11.9</v>
      </c>
      <c r="Q1843" t="s">
        <v>31</v>
      </c>
      <c r="R1843">
        <v>0</v>
      </c>
      <c r="S1843">
        <v>42</v>
      </c>
      <c r="T1843">
        <v>0</v>
      </c>
      <c r="U1843">
        <v>1</v>
      </c>
      <c r="V1843">
        <v>4</v>
      </c>
      <c r="W1843" t="s">
        <v>55</v>
      </c>
      <c r="X1843">
        <v>0</v>
      </c>
      <c r="Y1843" t="str">
        <f t="shared" si="28"/>
        <v>Medium</v>
      </c>
    </row>
    <row r="1844" spans="1:25">
      <c r="A1844" t="s">
        <v>1957</v>
      </c>
      <c r="B1844" s="1">
        <v>44946</v>
      </c>
      <c r="C1844" s="2">
        <v>0.39583333333333331</v>
      </c>
      <c r="D1844" t="s">
        <v>34</v>
      </c>
      <c r="E1844" t="s">
        <v>104</v>
      </c>
      <c r="F1844" t="s">
        <v>86</v>
      </c>
      <c r="G1844" t="s">
        <v>44</v>
      </c>
      <c r="H1844" s="2">
        <v>0.39652777777777776</v>
      </c>
      <c r="I1844" s="2">
        <v>0.42083333333333334</v>
      </c>
      <c r="J1844">
        <v>1</v>
      </c>
      <c r="K1844">
        <v>0</v>
      </c>
      <c r="L1844" t="s">
        <v>38</v>
      </c>
      <c r="M1844">
        <v>10.4</v>
      </c>
      <c r="N1844">
        <v>38</v>
      </c>
      <c r="O1844">
        <v>41</v>
      </c>
      <c r="P1844">
        <v>12.6</v>
      </c>
      <c r="Q1844" t="s">
        <v>31</v>
      </c>
      <c r="R1844">
        <v>0</v>
      </c>
      <c r="S1844">
        <v>65</v>
      </c>
      <c r="T1844">
        <v>0</v>
      </c>
      <c r="U1844">
        <v>1</v>
      </c>
      <c r="V1844">
        <v>4</v>
      </c>
      <c r="W1844" t="s">
        <v>55</v>
      </c>
      <c r="X1844">
        <v>0</v>
      </c>
      <c r="Y1844" t="str">
        <f t="shared" si="28"/>
        <v>Medium</v>
      </c>
    </row>
    <row r="1845" spans="1:25">
      <c r="A1845" t="s">
        <v>1958</v>
      </c>
      <c r="B1845" s="1">
        <v>44946</v>
      </c>
      <c r="C1845" s="2">
        <v>0.40625</v>
      </c>
      <c r="D1845" t="s">
        <v>26</v>
      </c>
      <c r="E1845" t="s">
        <v>61</v>
      </c>
      <c r="F1845" t="s">
        <v>105</v>
      </c>
      <c r="G1845" t="s">
        <v>49</v>
      </c>
      <c r="H1845" s="2">
        <v>0.40694444444444444</v>
      </c>
      <c r="I1845" s="2">
        <v>0.43611111111111112</v>
      </c>
      <c r="J1845">
        <v>16</v>
      </c>
      <c r="K1845">
        <v>7</v>
      </c>
      <c r="L1845" t="s">
        <v>54</v>
      </c>
      <c r="M1845">
        <v>32.1</v>
      </c>
      <c r="N1845">
        <v>88</v>
      </c>
      <c r="O1845">
        <v>4</v>
      </c>
      <c r="P1845">
        <v>14.9</v>
      </c>
      <c r="Q1845" t="s">
        <v>31</v>
      </c>
      <c r="R1845">
        <v>50000</v>
      </c>
      <c r="S1845">
        <v>98</v>
      </c>
      <c r="T1845">
        <v>0</v>
      </c>
      <c r="U1845">
        <v>0</v>
      </c>
      <c r="V1845">
        <v>4</v>
      </c>
      <c r="W1845" t="s">
        <v>72</v>
      </c>
      <c r="X1845">
        <v>1</v>
      </c>
      <c r="Y1845" t="str">
        <f t="shared" si="28"/>
        <v>High</v>
      </c>
    </row>
    <row r="1846" spans="1:25">
      <c r="A1846" t="s">
        <v>1959</v>
      </c>
      <c r="B1846" s="1">
        <v>44946</v>
      </c>
      <c r="C1846" s="2">
        <v>0.41666666666666669</v>
      </c>
      <c r="D1846" t="s">
        <v>74</v>
      </c>
      <c r="E1846" t="s">
        <v>57</v>
      </c>
      <c r="F1846" t="s">
        <v>163</v>
      </c>
      <c r="G1846" t="s">
        <v>148</v>
      </c>
      <c r="H1846" s="2">
        <v>0.41736111111111113</v>
      </c>
      <c r="I1846" s="2">
        <v>0.43125000000000002</v>
      </c>
      <c r="J1846">
        <v>8</v>
      </c>
      <c r="K1846">
        <v>14</v>
      </c>
      <c r="L1846" t="s">
        <v>45</v>
      </c>
      <c r="M1846">
        <v>21.1</v>
      </c>
      <c r="N1846">
        <v>74</v>
      </c>
      <c r="O1846">
        <v>11</v>
      </c>
      <c r="P1846">
        <v>5.9</v>
      </c>
      <c r="Q1846" t="s">
        <v>71</v>
      </c>
      <c r="R1846">
        <v>50000</v>
      </c>
      <c r="S1846">
        <v>46</v>
      </c>
      <c r="T1846">
        <v>0</v>
      </c>
      <c r="U1846">
        <v>1</v>
      </c>
      <c r="V1846">
        <v>4</v>
      </c>
      <c r="W1846" t="s">
        <v>39</v>
      </c>
      <c r="X1846">
        <v>1</v>
      </c>
      <c r="Y1846" t="str">
        <f t="shared" si="28"/>
        <v>Medium</v>
      </c>
    </row>
    <row r="1847" spans="1:25">
      <c r="A1847" t="s">
        <v>1960</v>
      </c>
      <c r="B1847" s="1">
        <v>44946</v>
      </c>
      <c r="C1847" s="2">
        <v>0.42708333333333331</v>
      </c>
      <c r="D1847" t="s">
        <v>26</v>
      </c>
      <c r="E1847" t="s">
        <v>126</v>
      </c>
      <c r="F1847" t="s">
        <v>66</v>
      </c>
      <c r="G1847" t="s">
        <v>96</v>
      </c>
      <c r="H1847" s="2">
        <v>0.42916666666666664</v>
      </c>
      <c r="I1847" s="2">
        <v>0.44930555555555557</v>
      </c>
      <c r="J1847">
        <v>-2</v>
      </c>
      <c r="K1847">
        <v>26</v>
      </c>
      <c r="L1847" t="s">
        <v>54</v>
      </c>
      <c r="M1847">
        <v>31.5</v>
      </c>
      <c r="N1847">
        <v>99</v>
      </c>
      <c r="O1847">
        <v>6</v>
      </c>
      <c r="P1847">
        <v>12.5</v>
      </c>
      <c r="Q1847" t="s">
        <v>31</v>
      </c>
      <c r="R1847">
        <v>2000</v>
      </c>
      <c r="S1847">
        <v>23</v>
      </c>
      <c r="T1847">
        <v>0</v>
      </c>
      <c r="U1847">
        <v>0</v>
      </c>
      <c r="V1847">
        <v>4</v>
      </c>
      <c r="W1847" t="s">
        <v>72</v>
      </c>
      <c r="X1847">
        <v>1</v>
      </c>
      <c r="Y1847" t="str">
        <f t="shared" si="28"/>
        <v>Low</v>
      </c>
    </row>
    <row r="1848" spans="1:25">
      <c r="A1848" t="s">
        <v>1961</v>
      </c>
      <c r="B1848" s="1">
        <v>44946</v>
      </c>
      <c r="C1848" s="2">
        <v>0.4375</v>
      </c>
      <c r="D1848" t="s">
        <v>34</v>
      </c>
      <c r="E1848" t="s">
        <v>89</v>
      </c>
      <c r="F1848" t="s">
        <v>185</v>
      </c>
      <c r="G1848" t="s">
        <v>75</v>
      </c>
      <c r="H1848" s="2">
        <v>0.4375</v>
      </c>
      <c r="I1848" s="2">
        <v>0.46111111111111114</v>
      </c>
      <c r="J1848">
        <v>5</v>
      </c>
      <c r="K1848">
        <v>11</v>
      </c>
      <c r="L1848" t="s">
        <v>30</v>
      </c>
      <c r="M1848">
        <v>28.3</v>
      </c>
      <c r="N1848">
        <v>72</v>
      </c>
      <c r="O1848">
        <v>40</v>
      </c>
      <c r="P1848">
        <v>3.8</v>
      </c>
      <c r="Q1848" t="s">
        <v>71</v>
      </c>
      <c r="R1848">
        <v>50000</v>
      </c>
      <c r="S1848">
        <v>76</v>
      </c>
      <c r="T1848">
        <v>0</v>
      </c>
      <c r="U1848">
        <v>0</v>
      </c>
      <c r="V1848">
        <v>4</v>
      </c>
      <c r="W1848" t="s">
        <v>32</v>
      </c>
      <c r="X1848">
        <v>1</v>
      </c>
      <c r="Y1848" t="str">
        <f t="shared" si="28"/>
        <v>High</v>
      </c>
    </row>
    <row r="1849" spans="1:25">
      <c r="A1849" t="s">
        <v>1962</v>
      </c>
      <c r="B1849" s="1">
        <v>44946</v>
      </c>
      <c r="C1849" s="2">
        <v>0.44791666666666669</v>
      </c>
      <c r="D1849" t="s">
        <v>34</v>
      </c>
      <c r="E1849" t="s">
        <v>111</v>
      </c>
      <c r="F1849" t="s">
        <v>28</v>
      </c>
      <c r="G1849" t="s">
        <v>118</v>
      </c>
      <c r="H1849" s="2">
        <v>0.44861111111111113</v>
      </c>
      <c r="I1849" s="2">
        <v>0.46458333333333335</v>
      </c>
      <c r="J1849">
        <v>12</v>
      </c>
      <c r="K1849">
        <v>2</v>
      </c>
      <c r="L1849" t="s">
        <v>84</v>
      </c>
      <c r="M1849">
        <v>22.5</v>
      </c>
      <c r="N1849">
        <v>52</v>
      </c>
      <c r="O1849">
        <v>1</v>
      </c>
      <c r="P1849">
        <v>4.4000000000000004</v>
      </c>
      <c r="Q1849" t="s">
        <v>31</v>
      </c>
      <c r="R1849">
        <v>50000</v>
      </c>
      <c r="S1849">
        <v>36</v>
      </c>
      <c r="T1849">
        <v>0</v>
      </c>
      <c r="U1849">
        <v>1</v>
      </c>
      <c r="V1849">
        <v>4</v>
      </c>
      <c r="W1849" t="s">
        <v>72</v>
      </c>
      <c r="X1849">
        <v>0</v>
      </c>
      <c r="Y1849" t="str">
        <f t="shared" si="28"/>
        <v>Medium</v>
      </c>
    </row>
    <row r="1850" spans="1:25">
      <c r="A1850" t="s">
        <v>1963</v>
      </c>
      <c r="B1850" s="1">
        <v>44946</v>
      </c>
      <c r="C1850" s="2">
        <v>0.45833333333333331</v>
      </c>
      <c r="D1850" t="s">
        <v>41</v>
      </c>
      <c r="E1850" t="s">
        <v>35</v>
      </c>
      <c r="F1850" t="s">
        <v>154</v>
      </c>
      <c r="G1850" t="s">
        <v>58</v>
      </c>
      <c r="H1850" s="2">
        <v>0.46041666666666664</v>
      </c>
      <c r="I1850" s="2">
        <v>0.47361111111111109</v>
      </c>
      <c r="J1850">
        <v>-2</v>
      </c>
      <c r="K1850">
        <v>12</v>
      </c>
      <c r="L1850" t="s">
        <v>45</v>
      </c>
      <c r="M1850">
        <v>9.1999999999999993</v>
      </c>
      <c r="N1850">
        <v>74</v>
      </c>
      <c r="O1850">
        <v>24</v>
      </c>
      <c r="P1850">
        <v>1.3</v>
      </c>
      <c r="Q1850" t="s">
        <v>31</v>
      </c>
      <c r="R1850">
        <v>10000</v>
      </c>
      <c r="S1850">
        <v>55</v>
      </c>
      <c r="T1850">
        <v>0</v>
      </c>
      <c r="U1850">
        <v>0</v>
      </c>
      <c r="V1850">
        <v>4</v>
      </c>
      <c r="W1850" t="s">
        <v>32</v>
      </c>
      <c r="X1850">
        <v>1</v>
      </c>
      <c r="Y1850" t="str">
        <f t="shared" si="28"/>
        <v>Medium</v>
      </c>
    </row>
    <row r="1851" spans="1:25">
      <c r="A1851" t="s">
        <v>1964</v>
      </c>
      <c r="B1851" s="1">
        <v>44946</v>
      </c>
      <c r="C1851" s="2">
        <v>0.46875</v>
      </c>
      <c r="D1851" t="s">
        <v>74</v>
      </c>
      <c r="E1851" t="s">
        <v>68</v>
      </c>
      <c r="F1851" t="s">
        <v>151</v>
      </c>
      <c r="G1851" t="s">
        <v>75</v>
      </c>
      <c r="H1851" s="2">
        <v>0.46944444444444444</v>
      </c>
      <c r="I1851" s="2">
        <v>0.50763888888888886</v>
      </c>
      <c r="J1851">
        <v>4</v>
      </c>
      <c r="K1851">
        <v>5</v>
      </c>
      <c r="L1851" t="s">
        <v>45</v>
      </c>
      <c r="M1851">
        <v>4.5999999999999996</v>
      </c>
      <c r="N1851">
        <v>52</v>
      </c>
      <c r="O1851">
        <v>9</v>
      </c>
      <c r="P1851">
        <v>14.9</v>
      </c>
      <c r="Q1851" t="s">
        <v>59</v>
      </c>
      <c r="R1851">
        <v>0</v>
      </c>
      <c r="S1851">
        <v>93</v>
      </c>
      <c r="T1851">
        <v>0</v>
      </c>
      <c r="U1851">
        <v>0</v>
      </c>
      <c r="V1851">
        <v>4</v>
      </c>
      <c r="W1851" t="s">
        <v>72</v>
      </c>
      <c r="X1851">
        <v>0</v>
      </c>
      <c r="Y1851" t="str">
        <f t="shared" si="28"/>
        <v>High</v>
      </c>
    </row>
    <row r="1852" spans="1:25">
      <c r="A1852" t="s">
        <v>1965</v>
      </c>
      <c r="B1852" s="1">
        <v>44946</v>
      </c>
      <c r="C1852" s="2">
        <v>0.47916666666666669</v>
      </c>
      <c r="D1852" t="s">
        <v>26</v>
      </c>
      <c r="E1852" t="s">
        <v>57</v>
      </c>
      <c r="F1852" t="s">
        <v>118</v>
      </c>
      <c r="G1852" t="s">
        <v>43</v>
      </c>
      <c r="H1852" s="2">
        <v>0.48055555555555557</v>
      </c>
      <c r="I1852" s="2">
        <v>0.5180555555555556</v>
      </c>
      <c r="J1852">
        <v>18</v>
      </c>
      <c r="K1852">
        <v>23</v>
      </c>
      <c r="L1852" t="s">
        <v>30</v>
      </c>
      <c r="M1852">
        <v>3.9</v>
      </c>
      <c r="N1852">
        <v>63</v>
      </c>
      <c r="O1852">
        <v>37</v>
      </c>
      <c r="P1852">
        <v>10.1</v>
      </c>
      <c r="Q1852" t="s">
        <v>46</v>
      </c>
      <c r="R1852">
        <v>0</v>
      </c>
      <c r="S1852">
        <v>74</v>
      </c>
      <c r="T1852">
        <v>0</v>
      </c>
      <c r="U1852">
        <v>0</v>
      </c>
      <c r="V1852">
        <v>4</v>
      </c>
      <c r="W1852" t="s">
        <v>39</v>
      </c>
      <c r="X1852">
        <v>1</v>
      </c>
      <c r="Y1852" t="str">
        <f t="shared" si="28"/>
        <v>High</v>
      </c>
    </row>
    <row r="1853" spans="1:25">
      <c r="A1853" t="s">
        <v>1966</v>
      </c>
      <c r="B1853" s="1">
        <v>44946</v>
      </c>
      <c r="C1853" s="2">
        <v>0.48958333333333331</v>
      </c>
      <c r="D1853" t="s">
        <v>41</v>
      </c>
      <c r="E1853" t="s">
        <v>48</v>
      </c>
      <c r="F1853" t="s">
        <v>28</v>
      </c>
      <c r="G1853" t="s">
        <v>28</v>
      </c>
      <c r="H1853" s="2">
        <v>0.49027777777777776</v>
      </c>
      <c r="I1853" s="2">
        <v>0.52847222222222223</v>
      </c>
      <c r="J1853">
        <v>17</v>
      </c>
      <c r="K1853">
        <v>9</v>
      </c>
      <c r="L1853" t="s">
        <v>30</v>
      </c>
      <c r="M1853">
        <v>33.1</v>
      </c>
      <c r="N1853">
        <v>45</v>
      </c>
      <c r="O1853">
        <v>43</v>
      </c>
      <c r="P1853">
        <v>4.8</v>
      </c>
      <c r="Q1853" t="s">
        <v>31</v>
      </c>
      <c r="R1853">
        <v>0</v>
      </c>
      <c r="S1853">
        <v>86</v>
      </c>
      <c r="T1853">
        <v>0</v>
      </c>
      <c r="U1853">
        <v>1</v>
      </c>
      <c r="V1853">
        <v>4</v>
      </c>
      <c r="W1853" t="s">
        <v>39</v>
      </c>
      <c r="X1853">
        <v>1</v>
      </c>
      <c r="Y1853" t="str">
        <f t="shared" si="28"/>
        <v>High</v>
      </c>
    </row>
    <row r="1854" spans="1:25">
      <c r="A1854" t="s">
        <v>1967</v>
      </c>
      <c r="B1854" s="1">
        <v>44946</v>
      </c>
      <c r="C1854" s="2">
        <v>0.5</v>
      </c>
      <c r="D1854" t="s">
        <v>74</v>
      </c>
      <c r="E1854" t="s">
        <v>48</v>
      </c>
      <c r="F1854" t="s">
        <v>148</v>
      </c>
      <c r="G1854" t="s">
        <v>194</v>
      </c>
      <c r="H1854" s="2">
        <v>0.50069444444444444</v>
      </c>
      <c r="I1854" s="2">
        <v>0.51527777777777772</v>
      </c>
      <c r="J1854">
        <v>17</v>
      </c>
      <c r="K1854">
        <v>23</v>
      </c>
      <c r="L1854" t="s">
        <v>38</v>
      </c>
      <c r="M1854">
        <v>33.299999999999997</v>
      </c>
      <c r="N1854">
        <v>92</v>
      </c>
      <c r="O1854">
        <v>5</v>
      </c>
      <c r="P1854">
        <v>11.1</v>
      </c>
      <c r="Q1854" t="s">
        <v>71</v>
      </c>
      <c r="R1854">
        <v>0</v>
      </c>
      <c r="S1854">
        <v>45</v>
      </c>
      <c r="T1854">
        <v>0</v>
      </c>
      <c r="U1854">
        <v>1</v>
      </c>
      <c r="V1854">
        <v>4</v>
      </c>
      <c r="W1854" t="s">
        <v>55</v>
      </c>
      <c r="X1854">
        <v>1</v>
      </c>
      <c r="Y1854" t="str">
        <f t="shared" si="28"/>
        <v>Medium</v>
      </c>
    </row>
    <row r="1855" spans="1:25">
      <c r="A1855" t="s">
        <v>1968</v>
      </c>
      <c r="B1855" s="1">
        <v>44946</v>
      </c>
      <c r="C1855" s="2">
        <v>0.51041666666666663</v>
      </c>
      <c r="D1855" t="s">
        <v>41</v>
      </c>
      <c r="E1855" t="s">
        <v>42</v>
      </c>
      <c r="F1855" t="s">
        <v>135</v>
      </c>
      <c r="G1855" t="s">
        <v>58</v>
      </c>
      <c r="H1855" s="2">
        <v>0.5131944444444444</v>
      </c>
      <c r="I1855" s="2">
        <v>0.54791666666666672</v>
      </c>
      <c r="J1855">
        <v>8</v>
      </c>
      <c r="K1855">
        <v>5</v>
      </c>
      <c r="L1855" t="s">
        <v>84</v>
      </c>
      <c r="M1855">
        <v>24</v>
      </c>
      <c r="N1855">
        <v>80</v>
      </c>
      <c r="O1855">
        <v>26</v>
      </c>
      <c r="P1855">
        <v>7.1</v>
      </c>
      <c r="Q1855" t="s">
        <v>59</v>
      </c>
      <c r="R1855">
        <v>10000</v>
      </c>
      <c r="S1855">
        <v>27</v>
      </c>
      <c r="T1855">
        <v>0</v>
      </c>
      <c r="U1855">
        <v>1</v>
      </c>
      <c r="V1855">
        <v>4</v>
      </c>
      <c r="W1855" t="s">
        <v>39</v>
      </c>
      <c r="X1855">
        <v>0</v>
      </c>
      <c r="Y1855" t="str">
        <f t="shared" si="28"/>
        <v>Low</v>
      </c>
    </row>
    <row r="1856" spans="1:25">
      <c r="A1856" t="s">
        <v>1969</v>
      </c>
      <c r="B1856" s="1">
        <v>44946</v>
      </c>
      <c r="C1856" s="2">
        <v>0.52083333333333337</v>
      </c>
      <c r="D1856" t="s">
        <v>34</v>
      </c>
      <c r="E1856" t="s">
        <v>35</v>
      </c>
      <c r="F1856" t="s">
        <v>109</v>
      </c>
      <c r="G1856" t="s">
        <v>144</v>
      </c>
      <c r="H1856" s="2">
        <v>0.52222222222222225</v>
      </c>
      <c r="I1856" s="2">
        <v>0.55000000000000004</v>
      </c>
      <c r="J1856">
        <v>11</v>
      </c>
      <c r="K1856">
        <v>1</v>
      </c>
      <c r="L1856" t="s">
        <v>54</v>
      </c>
      <c r="M1856">
        <v>30.4</v>
      </c>
      <c r="N1856">
        <v>61</v>
      </c>
      <c r="O1856">
        <v>34</v>
      </c>
      <c r="P1856">
        <v>16.7</v>
      </c>
      <c r="Q1856" t="s">
        <v>101</v>
      </c>
      <c r="R1856">
        <v>0</v>
      </c>
      <c r="S1856">
        <v>92</v>
      </c>
      <c r="T1856">
        <v>0</v>
      </c>
      <c r="U1856">
        <v>0</v>
      </c>
      <c r="V1856">
        <v>4</v>
      </c>
      <c r="W1856" t="s">
        <v>72</v>
      </c>
      <c r="X1856">
        <v>0</v>
      </c>
      <c r="Y1856" t="str">
        <f t="shared" si="28"/>
        <v>High</v>
      </c>
    </row>
    <row r="1857" spans="1:25">
      <c r="A1857" t="s">
        <v>1970</v>
      </c>
      <c r="B1857" s="1">
        <v>44946</v>
      </c>
      <c r="C1857" s="2">
        <v>0.53125</v>
      </c>
      <c r="D1857" t="s">
        <v>74</v>
      </c>
      <c r="E1857" t="s">
        <v>35</v>
      </c>
      <c r="F1857" t="s">
        <v>62</v>
      </c>
      <c r="G1857" t="s">
        <v>154</v>
      </c>
      <c r="H1857" s="2">
        <v>0.53125</v>
      </c>
      <c r="I1857" s="2">
        <v>0.56388888888888888</v>
      </c>
      <c r="J1857">
        <v>19</v>
      </c>
      <c r="K1857">
        <v>18</v>
      </c>
      <c r="L1857" t="s">
        <v>38</v>
      </c>
      <c r="M1857">
        <v>31.8</v>
      </c>
      <c r="N1857">
        <v>67</v>
      </c>
      <c r="O1857">
        <v>9</v>
      </c>
      <c r="P1857">
        <v>10.6</v>
      </c>
      <c r="Q1857" t="s">
        <v>31</v>
      </c>
      <c r="R1857">
        <v>0</v>
      </c>
      <c r="S1857">
        <v>51</v>
      </c>
      <c r="T1857">
        <v>0</v>
      </c>
      <c r="U1857">
        <v>1</v>
      </c>
      <c r="V1857">
        <v>4</v>
      </c>
      <c r="W1857" t="s">
        <v>39</v>
      </c>
      <c r="X1857">
        <v>1</v>
      </c>
      <c r="Y1857" t="str">
        <f t="shared" si="28"/>
        <v>Medium</v>
      </c>
    </row>
    <row r="1858" spans="1:25">
      <c r="A1858" t="s">
        <v>1971</v>
      </c>
      <c r="B1858" s="1">
        <v>44946</v>
      </c>
      <c r="C1858" s="2">
        <v>0.54166666666666663</v>
      </c>
      <c r="D1858" t="s">
        <v>41</v>
      </c>
      <c r="E1858" t="s">
        <v>126</v>
      </c>
      <c r="F1858" t="s">
        <v>58</v>
      </c>
      <c r="G1858" t="s">
        <v>197</v>
      </c>
      <c r="H1858" s="2">
        <v>0.54236111111111107</v>
      </c>
      <c r="I1858" s="2">
        <v>0.5756944444444444</v>
      </c>
      <c r="J1858">
        <v>13</v>
      </c>
      <c r="K1858">
        <v>27</v>
      </c>
      <c r="L1858" t="s">
        <v>54</v>
      </c>
      <c r="M1858">
        <v>15.5</v>
      </c>
      <c r="N1858">
        <v>85</v>
      </c>
      <c r="O1858">
        <v>8</v>
      </c>
      <c r="P1858">
        <v>0.6</v>
      </c>
      <c r="Q1858" t="s">
        <v>59</v>
      </c>
      <c r="R1858">
        <v>0</v>
      </c>
      <c r="S1858">
        <v>14</v>
      </c>
      <c r="T1858">
        <v>0</v>
      </c>
      <c r="U1858">
        <v>0</v>
      </c>
      <c r="V1858">
        <v>4</v>
      </c>
      <c r="W1858" t="s">
        <v>55</v>
      </c>
      <c r="X1858">
        <v>1</v>
      </c>
      <c r="Y1858" t="str">
        <f t="shared" ref="Y1858:Y1921" si="29">IF(S1858&lt;=33,"Low",IF(S1858&lt;=66,"Medium","High"))</f>
        <v>Low</v>
      </c>
    </row>
    <row r="1859" spans="1:25">
      <c r="A1859" t="s">
        <v>1972</v>
      </c>
      <c r="B1859" s="1">
        <v>44946</v>
      </c>
      <c r="C1859" s="2">
        <v>0.55208333333333337</v>
      </c>
      <c r="D1859" t="s">
        <v>41</v>
      </c>
      <c r="E1859" t="s">
        <v>68</v>
      </c>
      <c r="F1859" t="s">
        <v>70</v>
      </c>
      <c r="G1859" t="s">
        <v>50</v>
      </c>
      <c r="H1859" s="2">
        <v>0.55208333333333337</v>
      </c>
      <c r="I1859" s="2">
        <v>0.57777777777777772</v>
      </c>
      <c r="J1859">
        <v>11</v>
      </c>
      <c r="K1859">
        <v>-1</v>
      </c>
      <c r="L1859" t="s">
        <v>54</v>
      </c>
      <c r="M1859">
        <v>20.2</v>
      </c>
      <c r="N1859">
        <v>98</v>
      </c>
      <c r="O1859">
        <v>19</v>
      </c>
      <c r="P1859">
        <v>19.7</v>
      </c>
      <c r="Q1859" t="s">
        <v>31</v>
      </c>
      <c r="R1859">
        <v>0</v>
      </c>
      <c r="S1859">
        <v>44</v>
      </c>
      <c r="T1859">
        <v>0</v>
      </c>
      <c r="U1859">
        <v>0</v>
      </c>
      <c r="V1859">
        <v>4</v>
      </c>
      <c r="W1859" t="s">
        <v>72</v>
      </c>
      <c r="X1859">
        <v>0</v>
      </c>
      <c r="Y1859" t="str">
        <f t="shared" si="29"/>
        <v>Medium</v>
      </c>
    </row>
    <row r="1860" spans="1:25">
      <c r="A1860" t="s">
        <v>1973</v>
      </c>
      <c r="B1860" s="1">
        <v>44946</v>
      </c>
      <c r="C1860" s="2">
        <v>0.5625</v>
      </c>
      <c r="D1860" t="s">
        <v>26</v>
      </c>
      <c r="E1860" t="s">
        <v>157</v>
      </c>
      <c r="F1860" t="s">
        <v>151</v>
      </c>
      <c r="G1860" t="s">
        <v>151</v>
      </c>
      <c r="H1860" s="2">
        <v>0.56388888888888888</v>
      </c>
      <c r="I1860" s="2">
        <v>0.60069444444444442</v>
      </c>
      <c r="J1860">
        <v>9</v>
      </c>
      <c r="K1860">
        <v>26</v>
      </c>
      <c r="L1860" t="s">
        <v>54</v>
      </c>
      <c r="M1860">
        <v>11.8</v>
      </c>
      <c r="N1860">
        <v>46</v>
      </c>
      <c r="O1860">
        <v>36</v>
      </c>
      <c r="P1860">
        <v>1.5</v>
      </c>
      <c r="Q1860" t="s">
        <v>46</v>
      </c>
      <c r="R1860">
        <v>0</v>
      </c>
      <c r="S1860">
        <v>57</v>
      </c>
      <c r="T1860">
        <v>0</v>
      </c>
      <c r="U1860">
        <v>1</v>
      </c>
      <c r="V1860">
        <v>4</v>
      </c>
      <c r="W1860" t="s">
        <v>32</v>
      </c>
      <c r="X1860">
        <v>1</v>
      </c>
      <c r="Y1860" t="str">
        <f t="shared" si="29"/>
        <v>Medium</v>
      </c>
    </row>
    <row r="1861" spans="1:25">
      <c r="A1861" t="s">
        <v>1974</v>
      </c>
      <c r="B1861" s="1">
        <v>44946</v>
      </c>
      <c r="C1861" s="2">
        <v>0.57291666666666663</v>
      </c>
      <c r="D1861" t="s">
        <v>41</v>
      </c>
      <c r="E1861" t="s">
        <v>68</v>
      </c>
      <c r="F1861" t="s">
        <v>109</v>
      </c>
      <c r="G1861" t="s">
        <v>144</v>
      </c>
      <c r="H1861" s="2">
        <v>0.57361111111111107</v>
      </c>
      <c r="I1861" s="2">
        <v>0.60902777777777772</v>
      </c>
      <c r="J1861">
        <v>14</v>
      </c>
      <c r="K1861">
        <v>17</v>
      </c>
      <c r="L1861" t="s">
        <v>38</v>
      </c>
      <c r="M1861">
        <v>11.7</v>
      </c>
      <c r="N1861">
        <v>68</v>
      </c>
      <c r="O1861">
        <v>34</v>
      </c>
      <c r="P1861">
        <v>13.9</v>
      </c>
      <c r="Q1861" t="s">
        <v>31</v>
      </c>
      <c r="R1861">
        <v>2000</v>
      </c>
      <c r="S1861">
        <v>66</v>
      </c>
      <c r="T1861">
        <v>0</v>
      </c>
      <c r="U1861">
        <v>0</v>
      </c>
      <c r="V1861">
        <v>4</v>
      </c>
      <c r="W1861" t="s">
        <v>72</v>
      </c>
      <c r="X1861">
        <v>1</v>
      </c>
      <c r="Y1861" t="str">
        <f t="shared" si="29"/>
        <v>Medium</v>
      </c>
    </row>
    <row r="1862" spans="1:25">
      <c r="A1862" t="s">
        <v>1975</v>
      </c>
      <c r="B1862" s="1">
        <v>44946</v>
      </c>
      <c r="C1862" s="2">
        <v>0.58333333333333337</v>
      </c>
      <c r="D1862" t="s">
        <v>74</v>
      </c>
      <c r="E1862" t="s">
        <v>147</v>
      </c>
      <c r="F1862" t="s">
        <v>109</v>
      </c>
      <c r="G1862" t="s">
        <v>70</v>
      </c>
      <c r="H1862" s="2">
        <v>0.58611111111111114</v>
      </c>
      <c r="I1862" s="2">
        <v>0.61458333333333337</v>
      </c>
      <c r="J1862">
        <v>11</v>
      </c>
      <c r="K1862">
        <v>2</v>
      </c>
      <c r="L1862" t="s">
        <v>45</v>
      </c>
      <c r="M1862">
        <v>-3.5</v>
      </c>
      <c r="N1862">
        <v>70</v>
      </c>
      <c r="O1862">
        <v>36</v>
      </c>
      <c r="P1862">
        <v>8.6999999999999993</v>
      </c>
      <c r="Q1862" t="s">
        <v>71</v>
      </c>
      <c r="R1862">
        <v>0</v>
      </c>
      <c r="S1862">
        <v>72</v>
      </c>
      <c r="T1862">
        <v>0</v>
      </c>
      <c r="U1862">
        <v>0</v>
      </c>
      <c r="V1862">
        <v>4</v>
      </c>
      <c r="W1862" t="s">
        <v>55</v>
      </c>
      <c r="X1862">
        <v>0</v>
      </c>
      <c r="Y1862" t="str">
        <f t="shared" si="29"/>
        <v>High</v>
      </c>
    </row>
    <row r="1863" spans="1:25">
      <c r="A1863" t="s">
        <v>1976</v>
      </c>
      <c r="B1863" s="1">
        <v>44946</v>
      </c>
      <c r="C1863" s="2">
        <v>0.59375</v>
      </c>
      <c r="D1863" t="s">
        <v>74</v>
      </c>
      <c r="E1863" t="s">
        <v>161</v>
      </c>
      <c r="F1863" t="s">
        <v>44</v>
      </c>
      <c r="G1863" t="s">
        <v>118</v>
      </c>
      <c r="H1863" s="2">
        <v>0.59583333333333333</v>
      </c>
      <c r="I1863" s="2">
        <v>0.63472222222222219</v>
      </c>
      <c r="J1863">
        <v>7</v>
      </c>
      <c r="K1863">
        <v>24</v>
      </c>
      <c r="L1863" t="s">
        <v>30</v>
      </c>
      <c r="M1863">
        <v>12.4</v>
      </c>
      <c r="N1863">
        <v>77</v>
      </c>
      <c r="O1863">
        <v>39</v>
      </c>
      <c r="P1863">
        <v>5</v>
      </c>
      <c r="Q1863" t="s">
        <v>71</v>
      </c>
      <c r="R1863">
        <v>0</v>
      </c>
      <c r="S1863">
        <v>71</v>
      </c>
      <c r="T1863">
        <v>1</v>
      </c>
      <c r="U1863">
        <v>0</v>
      </c>
      <c r="V1863">
        <v>4</v>
      </c>
      <c r="W1863" t="s">
        <v>39</v>
      </c>
      <c r="X1863">
        <v>1</v>
      </c>
      <c r="Y1863" t="str">
        <f t="shared" si="29"/>
        <v>High</v>
      </c>
    </row>
    <row r="1864" spans="1:25">
      <c r="A1864" t="s">
        <v>1977</v>
      </c>
      <c r="B1864" s="1">
        <v>44946</v>
      </c>
      <c r="C1864" s="2">
        <v>0.60416666666666663</v>
      </c>
      <c r="D1864" t="s">
        <v>26</v>
      </c>
      <c r="E1864" t="s">
        <v>27</v>
      </c>
      <c r="F1864" t="s">
        <v>44</v>
      </c>
      <c r="G1864" t="s">
        <v>81</v>
      </c>
      <c r="H1864" s="2">
        <v>0.6069444444444444</v>
      </c>
      <c r="I1864" s="2">
        <v>0.62916666666666665</v>
      </c>
      <c r="J1864">
        <v>11</v>
      </c>
      <c r="K1864">
        <v>28</v>
      </c>
      <c r="L1864" t="s">
        <v>45</v>
      </c>
      <c r="M1864">
        <v>21.9</v>
      </c>
      <c r="N1864">
        <v>57</v>
      </c>
      <c r="O1864">
        <v>7</v>
      </c>
      <c r="P1864">
        <v>13.5</v>
      </c>
      <c r="Q1864" t="s">
        <v>31</v>
      </c>
      <c r="R1864">
        <v>2000</v>
      </c>
      <c r="S1864">
        <v>96</v>
      </c>
      <c r="T1864">
        <v>1</v>
      </c>
      <c r="U1864">
        <v>0</v>
      </c>
      <c r="V1864">
        <v>4</v>
      </c>
      <c r="W1864" t="s">
        <v>39</v>
      </c>
      <c r="X1864">
        <v>1</v>
      </c>
      <c r="Y1864" t="str">
        <f t="shared" si="29"/>
        <v>High</v>
      </c>
    </row>
    <row r="1865" spans="1:25">
      <c r="A1865" t="s">
        <v>1978</v>
      </c>
      <c r="B1865" s="1">
        <v>44946</v>
      </c>
      <c r="C1865" s="2">
        <v>0.61458333333333337</v>
      </c>
      <c r="D1865" t="s">
        <v>74</v>
      </c>
      <c r="E1865" t="s">
        <v>147</v>
      </c>
      <c r="F1865" t="s">
        <v>154</v>
      </c>
      <c r="G1865" t="s">
        <v>123</v>
      </c>
      <c r="H1865" s="2">
        <v>0.61736111111111114</v>
      </c>
      <c r="I1865" s="2">
        <v>0.65555555555555556</v>
      </c>
      <c r="J1865">
        <v>15</v>
      </c>
      <c r="K1865">
        <v>21</v>
      </c>
      <c r="L1865" t="s">
        <v>84</v>
      </c>
      <c r="M1865">
        <v>11.9</v>
      </c>
      <c r="N1865">
        <v>79</v>
      </c>
      <c r="O1865">
        <v>45</v>
      </c>
      <c r="P1865">
        <v>2.5</v>
      </c>
      <c r="Q1865" t="s">
        <v>31</v>
      </c>
      <c r="R1865">
        <v>2000</v>
      </c>
      <c r="S1865">
        <v>97</v>
      </c>
      <c r="T1865">
        <v>1</v>
      </c>
      <c r="U1865">
        <v>0</v>
      </c>
      <c r="V1865">
        <v>4</v>
      </c>
      <c r="W1865" t="s">
        <v>72</v>
      </c>
      <c r="X1865">
        <v>1</v>
      </c>
      <c r="Y1865" t="str">
        <f t="shared" si="29"/>
        <v>High</v>
      </c>
    </row>
    <row r="1866" spans="1:25">
      <c r="A1866" t="s">
        <v>1979</v>
      </c>
      <c r="B1866" s="1">
        <v>44946</v>
      </c>
      <c r="C1866" s="2">
        <v>0.625</v>
      </c>
      <c r="D1866" t="s">
        <v>34</v>
      </c>
      <c r="E1866" t="s">
        <v>48</v>
      </c>
      <c r="F1866" t="s">
        <v>53</v>
      </c>
      <c r="G1866" t="s">
        <v>83</v>
      </c>
      <c r="H1866" s="2">
        <v>0.62708333333333333</v>
      </c>
      <c r="I1866" s="2">
        <v>0.6430555555555556</v>
      </c>
      <c r="J1866">
        <v>19</v>
      </c>
      <c r="K1866">
        <v>28</v>
      </c>
      <c r="L1866" t="s">
        <v>38</v>
      </c>
      <c r="M1866">
        <v>29.9</v>
      </c>
      <c r="N1866">
        <v>30</v>
      </c>
      <c r="O1866">
        <v>55</v>
      </c>
      <c r="P1866">
        <v>17.2</v>
      </c>
      <c r="Q1866" t="s">
        <v>46</v>
      </c>
      <c r="R1866">
        <v>0</v>
      </c>
      <c r="S1866">
        <v>72</v>
      </c>
      <c r="T1866">
        <v>0</v>
      </c>
      <c r="U1866">
        <v>0</v>
      </c>
      <c r="V1866">
        <v>4</v>
      </c>
      <c r="W1866" t="s">
        <v>32</v>
      </c>
      <c r="X1866">
        <v>1</v>
      </c>
      <c r="Y1866" t="str">
        <f t="shared" si="29"/>
        <v>High</v>
      </c>
    </row>
    <row r="1867" spans="1:25">
      <c r="A1867" t="s">
        <v>1980</v>
      </c>
      <c r="B1867" s="1">
        <v>44946</v>
      </c>
      <c r="C1867" s="2">
        <v>0.63541666666666663</v>
      </c>
      <c r="D1867" t="s">
        <v>74</v>
      </c>
      <c r="E1867" t="s">
        <v>79</v>
      </c>
      <c r="F1867" t="s">
        <v>69</v>
      </c>
      <c r="G1867" t="s">
        <v>50</v>
      </c>
      <c r="H1867" s="2">
        <v>0.63749999999999996</v>
      </c>
      <c r="I1867" s="2">
        <v>0.65416666666666667</v>
      </c>
      <c r="J1867">
        <v>6</v>
      </c>
      <c r="K1867">
        <v>18</v>
      </c>
      <c r="L1867" t="s">
        <v>84</v>
      </c>
      <c r="M1867">
        <v>8.3000000000000007</v>
      </c>
      <c r="N1867">
        <v>79</v>
      </c>
      <c r="O1867">
        <v>53</v>
      </c>
      <c r="P1867">
        <v>5</v>
      </c>
      <c r="Q1867" t="s">
        <v>31</v>
      </c>
      <c r="R1867">
        <v>0</v>
      </c>
      <c r="S1867">
        <v>80</v>
      </c>
      <c r="T1867">
        <v>1</v>
      </c>
      <c r="U1867">
        <v>0</v>
      </c>
      <c r="V1867">
        <v>4</v>
      </c>
      <c r="W1867" t="s">
        <v>32</v>
      </c>
      <c r="X1867">
        <v>1</v>
      </c>
      <c r="Y1867" t="str">
        <f t="shared" si="29"/>
        <v>High</v>
      </c>
    </row>
    <row r="1868" spans="1:25">
      <c r="A1868" t="s">
        <v>1981</v>
      </c>
      <c r="B1868" s="1">
        <v>44946</v>
      </c>
      <c r="C1868" s="2">
        <v>0.64583333333333337</v>
      </c>
      <c r="D1868" t="s">
        <v>74</v>
      </c>
      <c r="E1868" t="s">
        <v>57</v>
      </c>
      <c r="F1868" t="s">
        <v>62</v>
      </c>
      <c r="G1868" t="s">
        <v>176</v>
      </c>
      <c r="H1868" s="2">
        <v>0.6479166666666667</v>
      </c>
      <c r="I1868" s="2">
        <v>0.68055555555555558</v>
      </c>
      <c r="J1868">
        <v>14</v>
      </c>
      <c r="K1868">
        <v>20</v>
      </c>
      <c r="L1868" t="s">
        <v>30</v>
      </c>
      <c r="M1868">
        <v>0.3</v>
      </c>
      <c r="N1868">
        <v>48</v>
      </c>
      <c r="O1868">
        <v>30</v>
      </c>
      <c r="P1868">
        <v>7.2</v>
      </c>
      <c r="Q1868" t="s">
        <v>31</v>
      </c>
      <c r="R1868">
        <v>0</v>
      </c>
      <c r="S1868">
        <v>40</v>
      </c>
      <c r="T1868">
        <v>0</v>
      </c>
      <c r="U1868">
        <v>0</v>
      </c>
      <c r="V1868">
        <v>4</v>
      </c>
      <c r="W1868" t="s">
        <v>32</v>
      </c>
      <c r="X1868">
        <v>1</v>
      </c>
      <c r="Y1868" t="str">
        <f t="shared" si="29"/>
        <v>Medium</v>
      </c>
    </row>
    <row r="1869" spans="1:25">
      <c r="A1869" t="s">
        <v>1982</v>
      </c>
      <c r="B1869" s="1">
        <v>44946</v>
      </c>
      <c r="C1869" s="2">
        <v>0.65625</v>
      </c>
      <c r="D1869" t="s">
        <v>41</v>
      </c>
      <c r="E1869" t="s">
        <v>48</v>
      </c>
      <c r="F1869" t="s">
        <v>65</v>
      </c>
      <c r="G1869" t="s">
        <v>80</v>
      </c>
      <c r="H1869" s="2">
        <v>0.65694444444444444</v>
      </c>
      <c r="I1869" s="2">
        <v>0.67777777777777781</v>
      </c>
      <c r="J1869">
        <v>3</v>
      </c>
      <c r="K1869">
        <v>26</v>
      </c>
      <c r="L1869" t="s">
        <v>30</v>
      </c>
      <c r="M1869">
        <v>27.5</v>
      </c>
      <c r="N1869">
        <v>88</v>
      </c>
      <c r="O1869">
        <v>48</v>
      </c>
      <c r="P1869">
        <v>12.7</v>
      </c>
      <c r="Q1869" t="s">
        <v>31</v>
      </c>
      <c r="R1869">
        <v>2000</v>
      </c>
      <c r="S1869">
        <v>64</v>
      </c>
      <c r="T1869">
        <v>0</v>
      </c>
      <c r="U1869">
        <v>1</v>
      </c>
      <c r="V1869">
        <v>4</v>
      </c>
      <c r="W1869" t="s">
        <v>32</v>
      </c>
      <c r="X1869">
        <v>1</v>
      </c>
      <c r="Y1869" t="str">
        <f t="shared" si="29"/>
        <v>Medium</v>
      </c>
    </row>
    <row r="1870" spans="1:25">
      <c r="A1870" t="s">
        <v>1983</v>
      </c>
      <c r="B1870" s="1">
        <v>44946</v>
      </c>
      <c r="C1870" s="2">
        <v>0.66666666666666663</v>
      </c>
      <c r="D1870" t="s">
        <v>41</v>
      </c>
      <c r="E1870" t="s">
        <v>111</v>
      </c>
      <c r="F1870" t="s">
        <v>123</v>
      </c>
      <c r="G1870" t="s">
        <v>86</v>
      </c>
      <c r="H1870" s="2">
        <v>0.66666666666666663</v>
      </c>
      <c r="I1870" s="2">
        <v>0.70138888888888884</v>
      </c>
      <c r="J1870">
        <v>5</v>
      </c>
      <c r="K1870">
        <v>28</v>
      </c>
      <c r="L1870" t="s">
        <v>77</v>
      </c>
      <c r="M1870">
        <v>22</v>
      </c>
      <c r="N1870">
        <v>97</v>
      </c>
      <c r="O1870">
        <v>42</v>
      </c>
      <c r="P1870">
        <v>0</v>
      </c>
      <c r="Q1870" t="s">
        <v>71</v>
      </c>
      <c r="R1870">
        <v>0</v>
      </c>
      <c r="S1870">
        <v>39</v>
      </c>
      <c r="T1870">
        <v>1</v>
      </c>
      <c r="U1870">
        <v>0</v>
      </c>
      <c r="V1870">
        <v>4</v>
      </c>
      <c r="W1870" t="s">
        <v>72</v>
      </c>
      <c r="X1870">
        <v>1</v>
      </c>
      <c r="Y1870" t="str">
        <f t="shared" si="29"/>
        <v>Medium</v>
      </c>
    </row>
    <row r="1871" spans="1:25">
      <c r="A1871" t="s">
        <v>1984</v>
      </c>
      <c r="B1871" s="1">
        <v>44946</v>
      </c>
      <c r="C1871" s="2">
        <v>0.67708333333333337</v>
      </c>
      <c r="D1871" t="s">
        <v>74</v>
      </c>
      <c r="E1871" t="s">
        <v>79</v>
      </c>
      <c r="F1871" t="s">
        <v>168</v>
      </c>
      <c r="G1871" t="s">
        <v>163</v>
      </c>
      <c r="H1871" s="2">
        <v>0.67708333333333337</v>
      </c>
      <c r="I1871" s="2">
        <v>0.70347222222222228</v>
      </c>
      <c r="J1871">
        <v>10</v>
      </c>
      <c r="K1871">
        <v>27</v>
      </c>
      <c r="L1871" t="s">
        <v>84</v>
      </c>
      <c r="M1871">
        <v>4.7</v>
      </c>
      <c r="N1871">
        <v>96</v>
      </c>
      <c r="O1871">
        <v>57</v>
      </c>
      <c r="P1871">
        <v>9.5</v>
      </c>
      <c r="Q1871" t="s">
        <v>59</v>
      </c>
      <c r="R1871">
        <v>0</v>
      </c>
      <c r="S1871">
        <v>4</v>
      </c>
      <c r="T1871">
        <v>1</v>
      </c>
      <c r="U1871">
        <v>0</v>
      </c>
      <c r="V1871">
        <v>4</v>
      </c>
      <c r="W1871" t="s">
        <v>39</v>
      </c>
      <c r="X1871">
        <v>1</v>
      </c>
      <c r="Y1871" t="str">
        <f t="shared" si="29"/>
        <v>Low</v>
      </c>
    </row>
    <row r="1872" spans="1:25">
      <c r="A1872" t="s">
        <v>1985</v>
      </c>
      <c r="B1872" s="1">
        <v>44946</v>
      </c>
      <c r="C1872" s="2">
        <v>0.6875</v>
      </c>
      <c r="D1872" t="s">
        <v>26</v>
      </c>
      <c r="E1872" t="s">
        <v>48</v>
      </c>
      <c r="F1872" t="s">
        <v>203</v>
      </c>
      <c r="G1872" t="s">
        <v>99</v>
      </c>
      <c r="H1872" s="2">
        <v>0.68958333333333333</v>
      </c>
      <c r="I1872" s="2">
        <v>0.70763888888888893</v>
      </c>
      <c r="J1872">
        <v>15</v>
      </c>
      <c r="K1872">
        <v>19</v>
      </c>
      <c r="L1872" t="s">
        <v>45</v>
      </c>
      <c r="M1872">
        <v>16.5</v>
      </c>
      <c r="N1872">
        <v>70</v>
      </c>
      <c r="O1872">
        <v>15</v>
      </c>
      <c r="P1872">
        <v>17.899999999999999</v>
      </c>
      <c r="Q1872" t="s">
        <v>46</v>
      </c>
      <c r="R1872">
        <v>0</v>
      </c>
      <c r="S1872">
        <v>93</v>
      </c>
      <c r="T1872">
        <v>0</v>
      </c>
      <c r="U1872">
        <v>0</v>
      </c>
      <c r="V1872">
        <v>4</v>
      </c>
      <c r="W1872" t="s">
        <v>32</v>
      </c>
      <c r="X1872">
        <v>1</v>
      </c>
      <c r="Y1872" t="str">
        <f t="shared" si="29"/>
        <v>High</v>
      </c>
    </row>
    <row r="1873" spans="1:25">
      <c r="A1873" t="s">
        <v>1986</v>
      </c>
      <c r="B1873" s="1">
        <v>44946</v>
      </c>
      <c r="C1873" s="2">
        <v>0.69791666666666663</v>
      </c>
      <c r="D1873" t="s">
        <v>41</v>
      </c>
      <c r="E1873" t="s">
        <v>27</v>
      </c>
      <c r="F1873" t="s">
        <v>86</v>
      </c>
      <c r="G1873" t="s">
        <v>76</v>
      </c>
      <c r="H1873" s="2">
        <v>0.7006944444444444</v>
      </c>
      <c r="I1873" s="2">
        <v>0.73819444444444449</v>
      </c>
      <c r="J1873">
        <v>2</v>
      </c>
      <c r="K1873">
        <v>29</v>
      </c>
      <c r="L1873" t="s">
        <v>84</v>
      </c>
      <c r="M1873">
        <v>11.1</v>
      </c>
      <c r="N1873">
        <v>39</v>
      </c>
      <c r="O1873">
        <v>27</v>
      </c>
      <c r="P1873">
        <v>13.6</v>
      </c>
      <c r="Q1873" t="s">
        <v>31</v>
      </c>
      <c r="R1873">
        <v>2000</v>
      </c>
      <c r="S1873">
        <v>74</v>
      </c>
      <c r="T1873">
        <v>0</v>
      </c>
      <c r="U1873">
        <v>1</v>
      </c>
      <c r="V1873">
        <v>4</v>
      </c>
      <c r="W1873" t="s">
        <v>72</v>
      </c>
      <c r="X1873">
        <v>1</v>
      </c>
      <c r="Y1873" t="str">
        <f t="shared" si="29"/>
        <v>High</v>
      </c>
    </row>
    <row r="1874" spans="1:25">
      <c r="A1874" t="s">
        <v>1987</v>
      </c>
      <c r="B1874" s="1">
        <v>44946</v>
      </c>
      <c r="C1874" s="2">
        <v>0.70833333333333337</v>
      </c>
      <c r="D1874" t="s">
        <v>26</v>
      </c>
      <c r="E1874" t="s">
        <v>27</v>
      </c>
      <c r="F1874" t="s">
        <v>151</v>
      </c>
      <c r="G1874" t="s">
        <v>75</v>
      </c>
      <c r="H1874" s="2">
        <v>0.70972222222222225</v>
      </c>
      <c r="I1874" s="2">
        <v>0.72986111111111107</v>
      </c>
      <c r="J1874">
        <v>3</v>
      </c>
      <c r="K1874">
        <v>21</v>
      </c>
      <c r="L1874" t="s">
        <v>38</v>
      </c>
      <c r="M1874">
        <v>32.6</v>
      </c>
      <c r="N1874">
        <v>57</v>
      </c>
      <c r="O1874">
        <v>5</v>
      </c>
      <c r="P1874">
        <v>7.8</v>
      </c>
      <c r="Q1874" t="s">
        <v>31</v>
      </c>
      <c r="R1874">
        <v>0</v>
      </c>
      <c r="S1874">
        <v>27</v>
      </c>
      <c r="T1874">
        <v>0</v>
      </c>
      <c r="U1874">
        <v>0</v>
      </c>
      <c r="V1874">
        <v>4</v>
      </c>
      <c r="W1874" t="s">
        <v>72</v>
      </c>
      <c r="X1874">
        <v>1</v>
      </c>
      <c r="Y1874" t="str">
        <f t="shared" si="29"/>
        <v>Low</v>
      </c>
    </row>
    <row r="1875" spans="1:25">
      <c r="A1875" t="s">
        <v>1988</v>
      </c>
      <c r="B1875" s="1">
        <v>44946</v>
      </c>
      <c r="C1875" s="2">
        <v>0.71875</v>
      </c>
      <c r="D1875" t="s">
        <v>74</v>
      </c>
      <c r="E1875" t="s">
        <v>157</v>
      </c>
      <c r="F1875" t="s">
        <v>69</v>
      </c>
      <c r="G1875" t="s">
        <v>36</v>
      </c>
      <c r="H1875" s="2">
        <v>0.72083333333333333</v>
      </c>
      <c r="I1875" s="2">
        <v>0.74583333333333335</v>
      </c>
      <c r="J1875">
        <v>18</v>
      </c>
      <c r="K1875">
        <v>20</v>
      </c>
      <c r="L1875" t="s">
        <v>30</v>
      </c>
      <c r="M1875">
        <v>19.3</v>
      </c>
      <c r="N1875">
        <v>63</v>
      </c>
      <c r="O1875">
        <v>31</v>
      </c>
      <c r="P1875">
        <v>13.2</v>
      </c>
      <c r="Q1875" t="s">
        <v>31</v>
      </c>
      <c r="R1875">
        <v>0</v>
      </c>
      <c r="S1875">
        <v>37</v>
      </c>
      <c r="T1875">
        <v>0</v>
      </c>
      <c r="U1875">
        <v>0</v>
      </c>
      <c r="V1875">
        <v>4</v>
      </c>
      <c r="W1875" t="s">
        <v>72</v>
      </c>
      <c r="X1875">
        <v>1</v>
      </c>
      <c r="Y1875" t="str">
        <f t="shared" si="29"/>
        <v>Medium</v>
      </c>
    </row>
    <row r="1876" spans="1:25">
      <c r="A1876" t="s">
        <v>1989</v>
      </c>
      <c r="B1876" s="1">
        <v>44946</v>
      </c>
      <c r="C1876" s="2">
        <v>0.72916666666666663</v>
      </c>
      <c r="D1876" t="s">
        <v>74</v>
      </c>
      <c r="E1876" t="s">
        <v>104</v>
      </c>
      <c r="F1876" t="s">
        <v>69</v>
      </c>
      <c r="G1876" t="s">
        <v>96</v>
      </c>
      <c r="H1876" s="2">
        <v>0.7319444444444444</v>
      </c>
      <c r="I1876" s="2">
        <v>0.7680555555555556</v>
      </c>
      <c r="J1876">
        <v>16</v>
      </c>
      <c r="K1876">
        <v>27</v>
      </c>
      <c r="L1876" t="s">
        <v>30</v>
      </c>
      <c r="M1876">
        <v>1.3</v>
      </c>
      <c r="N1876">
        <v>68</v>
      </c>
      <c r="O1876">
        <v>27</v>
      </c>
      <c r="P1876">
        <v>18.7</v>
      </c>
      <c r="Q1876" t="s">
        <v>63</v>
      </c>
      <c r="R1876">
        <v>500</v>
      </c>
      <c r="S1876">
        <v>80</v>
      </c>
      <c r="T1876">
        <v>0</v>
      </c>
      <c r="U1876">
        <v>1</v>
      </c>
      <c r="V1876">
        <v>4</v>
      </c>
      <c r="W1876" t="s">
        <v>32</v>
      </c>
      <c r="X1876">
        <v>1</v>
      </c>
      <c r="Y1876" t="str">
        <f t="shared" si="29"/>
        <v>High</v>
      </c>
    </row>
    <row r="1877" spans="1:25">
      <c r="A1877" t="s">
        <v>1990</v>
      </c>
      <c r="B1877" s="1">
        <v>44946</v>
      </c>
      <c r="C1877" s="2">
        <v>0.73958333333333337</v>
      </c>
      <c r="D1877" t="s">
        <v>34</v>
      </c>
      <c r="E1877" t="s">
        <v>93</v>
      </c>
      <c r="F1877" t="s">
        <v>49</v>
      </c>
      <c r="G1877" t="s">
        <v>197</v>
      </c>
      <c r="H1877" s="2">
        <v>0.74236111111111114</v>
      </c>
      <c r="I1877" s="2">
        <v>0.75763888888888886</v>
      </c>
      <c r="J1877">
        <v>1</v>
      </c>
      <c r="K1877">
        <v>9</v>
      </c>
      <c r="L1877" t="s">
        <v>84</v>
      </c>
      <c r="M1877">
        <v>15.1</v>
      </c>
      <c r="N1877">
        <v>85</v>
      </c>
      <c r="O1877">
        <v>10</v>
      </c>
      <c r="P1877">
        <v>3.8</v>
      </c>
      <c r="Q1877" t="s">
        <v>31</v>
      </c>
      <c r="R1877">
        <v>0</v>
      </c>
      <c r="S1877">
        <v>86</v>
      </c>
      <c r="T1877">
        <v>0</v>
      </c>
      <c r="U1877">
        <v>0</v>
      </c>
      <c r="V1877">
        <v>4</v>
      </c>
      <c r="W1877" t="s">
        <v>32</v>
      </c>
      <c r="X1877">
        <v>1</v>
      </c>
      <c r="Y1877" t="str">
        <f t="shared" si="29"/>
        <v>High</v>
      </c>
    </row>
    <row r="1878" spans="1:25">
      <c r="A1878" t="s">
        <v>1991</v>
      </c>
      <c r="B1878" s="1">
        <v>44946</v>
      </c>
      <c r="C1878" s="2">
        <v>0.75</v>
      </c>
      <c r="D1878" t="s">
        <v>41</v>
      </c>
      <c r="E1878" t="s">
        <v>130</v>
      </c>
      <c r="F1878" t="s">
        <v>128</v>
      </c>
      <c r="G1878" t="s">
        <v>49</v>
      </c>
      <c r="H1878" s="2">
        <v>0.75069444444444444</v>
      </c>
      <c r="I1878" s="2">
        <v>0.7729166666666667</v>
      </c>
      <c r="J1878">
        <v>4</v>
      </c>
      <c r="K1878">
        <v>6</v>
      </c>
      <c r="L1878" t="s">
        <v>84</v>
      </c>
      <c r="M1878">
        <v>29.5</v>
      </c>
      <c r="N1878">
        <v>81</v>
      </c>
      <c r="O1878">
        <v>41</v>
      </c>
      <c r="P1878">
        <v>10.6</v>
      </c>
      <c r="Q1878" t="s">
        <v>31</v>
      </c>
      <c r="R1878">
        <v>0</v>
      </c>
      <c r="S1878">
        <v>17</v>
      </c>
      <c r="T1878">
        <v>0</v>
      </c>
      <c r="U1878">
        <v>1</v>
      </c>
      <c r="V1878">
        <v>4</v>
      </c>
      <c r="W1878" t="s">
        <v>72</v>
      </c>
      <c r="X1878">
        <v>1</v>
      </c>
      <c r="Y1878" t="str">
        <f t="shared" si="29"/>
        <v>Low</v>
      </c>
    </row>
    <row r="1879" spans="1:25">
      <c r="A1879" t="s">
        <v>1992</v>
      </c>
      <c r="B1879" s="1">
        <v>44946</v>
      </c>
      <c r="C1879" s="2">
        <v>0.76041666666666663</v>
      </c>
      <c r="D1879" t="s">
        <v>74</v>
      </c>
      <c r="E1879" t="s">
        <v>42</v>
      </c>
      <c r="F1879" t="s">
        <v>69</v>
      </c>
      <c r="G1879" t="s">
        <v>122</v>
      </c>
      <c r="H1879" s="2">
        <v>0.76111111111111107</v>
      </c>
      <c r="I1879" s="2">
        <v>0.78125</v>
      </c>
      <c r="J1879">
        <v>1</v>
      </c>
      <c r="K1879">
        <v>19</v>
      </c>
      <c r="L1879" t="s">
        <v>54</v>
      </c>
      <c r="M1879">
        <v>21.9</v>
      </c>
      <c r="N1879">
        <v>32</v>
      </c>
      <c r="O1879">
        <v>22</v>
      </c>
      <c r="P1879">
        <v>4.7</v>
      </c>
      <c r="Q1879" t="s">
        <v>71</v>
      </c>
      <c r="R1879">
        <v>0</v>
      </c>
      <c r="S1879">
        <v>36</v>
      </c>
      <c r="T1879">
        <v>0</v>
      </c>
      <c r="U1879">
        <v>0</v>
      </c>
      <c r="V1879">
        <v>4</v>
      </c>
      <c r="W1879" t="s">
        <v>72</v>
      </c>
      <c r="X1879">
        <v>1</v>
      </c>
      <c r="Y1879" t="str">
        <f t="shared" si="29"/>
        <v>Medium</v>
      </c>
    </row>
    <row r="1880" spans="1:25">
      <c r="A1880" t="s">
        <v>1993</v>
      </c>
      <c r="B1880" s="1">
        <v>44946</v>
      </c>
      <c r="C1880" s="2">
        <v>0.77083333333333337</v>
      </c>
      <c r="D1880" t="s">
        <v>34</v>
      </c>
      <c r="E1880" t="s">
        <v>89</v>
      </c>
      <c r="F1880" t="s">
        <v>65</v>
      </c>
      <c r="G1880" t="s">
        <v>144</v>
      </c>
      <c r="H1880" s="2">
        <v>0.77083333333333337</v>
      </c>
      <c r="I1880" s="2">
        <v>0.78888888888888886</v>
      </c>
      <c r="J1880">
        <v>8</v>
      </c>
      <c r="K1880">
        <v>14</v>
      </c>
      <c r="L1880" t="s">
        <v>84</v>
      </c>
      <c r="M1880">
        <v>28.7</v>
      </c>
      <c r="N1880">
        <v>52</v>
      </c>
      <c r="O1880">
        <v>29</v>
      </c>
      <c r="P1880">
        <v>17.100000000000001</v>
      </c>
      <c r="Q1880" t="s">
        <v>101</v>
      </c>
      <c r="R1880">
        <v>0</v>
      </c>
      <c r="S1880">
        <v>26</v>
      </c>
      <c r="T1880">
        <v>0</v>
      </c>
      <c r="U1880">
        <v>0</v>
      </c>
      <c r="V1880">
        <v>4</v>
      </c>
      <c r="W1880" t="s">
        <v>72</v>
      </c>
      <c r="X1880">
        <v>1</v>
      </c>
      <c r="Y1880" t="str">
        <f t="shared" si="29"/>
        <v>Low</v>
      </c>
    </row>
    <row r="1881" spans="1:25">
      <c r="A1881" t="s">
        <v>1994</v>
      </c>
      <c r="B1881" s="1">
        <v>44946</v>
      </c>
      <c r="C1881" s="2">
        <v>0.78125</v>
      </c>
      <c r="D1881" t="s">
        <v>41</v>
      </c>
      <c r="E1881" t="s">
        <v>52</v>
      </c>
      <c r="F1881" t="s">
        <v>69</v>
      </c>
      <c r="G1881" t="s">
        <v>151</v>
      </c>
      <c r="H1881" s="2">
        <v>0.78125</v>
      </c>
      <c r="I1881" s="2">
        <v>0.81458333333333333</v>
      </c>
      <c r="J1881">
        <v>9</v>
      </c>
      <c r="K1881">
        <v>28</v>
      </c>
      <c r="L1881" t="s">
        <v>54</v>
      </c>
      <c r="M1881">
        <v>5</v>
      </c>
      <c r="N1881">
        <v>46</v>
      </c>
      <c r="O1881">
        <v>8</v>
      </c>
      <c r="P1881">
        <v>14.4</v>
      </c>
      <c r="Q1881" t="s">
        <v>31</v>
      </c>
      <c r="R1881">
        <v>10000</v>
      </c>
      <c r="S1881">
        <v>24</v>
      </c>
      <c r="T1881">
        <v>1</v>
      </c>
      <c r="U1881">
        <v>0</v>
      </c>
      <c r="V1881">
        <v>4</v>
      </c>
      <c r="W1881" t="s">
        <v>39</v>
      </c>
      <c r="X1881">
        <v>1</v>
      </c>
      <c r="Y1881" t="str">
        <f t="shared" si="29"/>
        <v>Low</v>
      </c>
    </row>
    <row r="1882" spans="1:25">
      <c r="A1882" t="s">
        <v>1995</v>
      </c>
      <c r="B1882" s="1">
        <v>44946</v>
      </c>
      <c r="C1882" s="2">
        <v>0.79166666666666663</v>
      </c>
      <c r="D1882" t="s">
        <v>74</v>
      </c>
      <c r="E1882" t="s">
        <v>126</v>
      </c>
      <c r="F1882" t="s">
        <v>87</v>
      </c>
      <c r="G1882" t="s">
        <v>128</v>
      </c>
      <c r="H1882" s="2">
        <v>0.79305555555555551</v>
      </c>
      <c r="I1882" s="2">
        <v>0.81180555555555556</v>
      </c>
      <c r="J1882">
        <v>11</v>
      </c>
      <c r="K1882">
        <v>29</v>
      </c>
      <c r="L1882" t="s">
        <v>38</v>
      </c>
      <c r="M1882">
        <v>30.5</v>
      </c>
      <c r="N1882">
        <v>55</v>
      </c>
      <c r="O1882">
        <v>27</v>
      </c>
      <c r="P1882">
        <v>16</v>
      </c>
      <c r="Q1882" t="s">
        <v>31</v>
      </c>
      <c r="R1882">
        <v>0</v>
      </c>
      <c r="S1882">
        <v>68</v>
      </c>
      <c r="T1882">
        <v>0</v>
      </c>
      <c r="U1882">
        <v>0</v>
      </c>
      <c r="V1882">
        <v>4</v>
      </c>
      <c r="W1882" t="s">
        <v>39</v>
      </c>
      <c r="X1882">
        <v>1</v>
      </c>
      <c r="Y1882" t="str">
        <f t="shared" si="29"/>
        <v>High</v>
      </c>
    </row>
    <row r="1883" spans="1:25">
      <c r="A1883" t="s">
        <v>1996</v>
      </c>
      <c r="B1883" s="1">
        <v>44946</v>
      </c>
      <c r="C1883" s="2">
        <v>0.80208333333333337</v>
      </c>
      <c r="D1883" t="s">
        <v>74</v>
      </c>
      <c r="E1883" t="s">
        <v>93</v>
      </c>
      <c r="F1883" t="s">
        <v>142</v>
      </c>
      <c r="G1883" t="s">
        <v>58</v>
      </c>
      <c r="H1883" s="2">
        <v>0.80347222222222225</v>
      </c>
      <c r="I1883" s="2">
        <v>0.8354166666666667</v>
      </c>
      <c r="J1883">
        <v>10</v>
      </c>
      <c r="K1883">
        <v>24</v>
      </c>
      <c r="L1883" t="s">
        <v>38</v>
      </c>
      <c r="M1883">
        <v>25.2</v>
      </c>
      <c r="N1883">
        <v>47</v>
      </c>
      <c r="O1883">
        <v>23</v>
      </c>
      <c r="P1883">
        <v>18.899999999999999</v>
      </c>
      <c r="Q1883" t="s">
        <v>31</v>
      </c>
      <c r="R1883">
        <v>2000</v>
      </c>
      <c r="S1883">
        <v>82</v>
      </c>
      <c r="T1883">
        <v>0</v>
      </c>
      <c r="U1883">
        <v>1</v>
      </c>
      <c r="V1883">
        <v>4</v>
      </c>
      <c r="W1883" t="s">
        <v>55</v>
      </c>
      <c r="X1883">
        <v>1</v>
      </c>
      <c r="Y1883" t="str">
        <f t="shared" si="29"/>
        <v>High</v>
      </c>
    </row>
    <row r="1884" spans="1:25">
      <c r="A1884" t="s">
        <v>1997</v>
      </c>
      <c r="B1884" s="1">
        <v>44946</v>
      </c>
      <c r="C1884" s="2">
        <v>0.8125</v>
      </c>
      <c r="D1884" t="s">
        <v>41</v>
      </c>
      <c r="E1884" t="s">
        <v>57</v>
      </c>
      <c r="F1884" t="s">
        <v>168</v>
      </c>
      <c r="G1884" t="s">
        <v>148</v>
      </c>
      <c r="H1884" s="2">
        <v>0.81388888888888888</v>
      </c>
      <c r="I1884" s="2">
        <v>0.83194444444444449</v>
      </c>
      <c r="J1884">
        <v>7</v>
      </c>
      <c r="K1884">
        <v>12</v>
      </c>
      <c r="L1884" t="s">
        <v>45</v>
      </c>
      <c r="M1884">
        <v>24.2</v>
      </c>
      <c r="N1884">
        <v>75</v>
      </c>
      <c r="O1884">
        <v>58</v>
      </c>
      <c r="P1884">
        <v>4.5999999999999996</v>
      </c>
      <c r="Q1884" t="s">
        <v>71</v>
      </c>
      <c r="R1884">
        <v>0</v>
      </c>
      <c r="S1884">
        <v>26</v>
      </c>
      <c r="T1884">
        <v>0</v>
      </c>
      <c r="U1884">
        <v>1</v>
      </c>
      <c r="V1884">
        <v>4</v>
      </c>
      <c r="W1884" t="s">
        <v>55</v>
      </c>
      <c r="X1884">
        <v>1</v>
      </c>
      <c r="Y1884" t="str">
        <f t="shared" si="29"/>
        <v>Low</v>
      </c>
    </row>
    <row r="1885" spans="1:25">
      <c r="A1885" t="s">
        <v>1998</v>
      </c>
      <c r="B1885" s="1">
        <v>44946</v>
      </c>
      <c r="C1885" s="2">
        <v>0.82291666666666663</v>
      </c>
      <c r="D1885" t="s">
        <v>41</v>
      </c>
      <c r="E1885" t="s">
        <v>57</v>
      </c>
      <c r="F1885" t="s">
        <v>29</v>
      </c>
      <c r="G1885" t="s">
        <v>107</v>
      </c>
      <c r="H1885" s="2">
        <v>0.82430555555555551</v>
      </c>
      <c r="I1885" s="2">
        <v>0.86111111111111116</v>
      </c>
      <c r="J1885">
        <v>15</v>
      </c>
      <c r="K1885">
        <v>12</v>
      </c>
      <c r="L1885" t="s">
        <v>84</v>
      </c>
      <c r="M1885">
        <v>8.9</v>
      </c>
      <c r="N1885">
        <v>99</v>
      </c>
      <c r="O1885">
        <v>27</v>
      </c>
      <c r="P1885">
        <v>1</v>
      </c>
      <c r="Q1885" t="s">
        <v>31</v>
      </c>
      <c r="R1885">
        <v>0</v>
      </c>
      <c r="S1885">
        <v>76</v>
      </c>
      <c r="T1885">
        <v>0</v>
      </c>
      <c r="U1885">
        <v>1</v>
      </c>
      <c r="V1885">
        <v>4</v>
      </c>
      <c r="W1885" t="s">
        <v>32</v>
      </c>
      <c r="X1885">
        <v>1</v>
      </c>
      <c r="Y1885" t="str">
        <f t="shared" si="29"/>
        <v>High</v>
      </c>
    </row>
    <row r="1886" spans="1:25">
      <c r="A1886" t="s">
        <v>1999</v>
      </c>
      <c r="B1886" s="1">
        <v>44946</v>
      </c>
      <c r="C1886" s="2">
        <v>0.83333333333333337</v>
      </c>
      <c r="D1886" t="s">
        <v>41</v>
      </c>
      <c r="E1886" t="s">
        <v>57</v>
      </c>
      <c r="F1886" t="s">
        <v>123</v>
      </c>
      <c r="G1886" t="s">
        <v>44</v>
      </c>
      <c r="H1886" s="2">
        <v>0.83611111111111114</v>
      </c>
      <c r="I1886" s="2">
        <v>0.85347222222222219</v>
      </c>
      <c r="J1886">
        <v>13</v>
      </c>
      <c r="K1886">
        <v>14</v>
      </c>
      <c r="L1886" t="s">
        <v>45</v>
      </c>
      <c r="M1886">
        <v>30.5</v>
      </c>
      <c r="N1886">
        <v>60</v>
      </c>
      <c r="O1886">
        <v>23</v>
      </c>
      <c r="P1886">
        <v>5.8</v>
      </c>
      <c r="Q1886" t="s">
        <v>71</v>
      </c>
      <c r="R1886">
        <v>0</v>
      </c>
      <c r="S1886">
        <v>53</v>
      </c>
      <c r="T1886">
        <v>0</v>
      </c>
      <c r="U1886">
        <v>1</v>
      </c>
      <c r="V1886">
        <v>4</v>
      </c>
      <c r="W1886" t="s">
        <v>39</v>
      </c>
      <c r="X1886">
        <v>1</v>
      </c>
      <c r="Y1886" t="str">
        <f t="shared" si="29"/>
        <v>Medium</v>
      </c>
    </row>
    <row r="1887" spans="1:25">
      <c r="A1887" t="s">
        <v>2000</v>
      </c>
      <c r="B1887" s="1">
        <v>44946</v>
      </c>
      <c r="C1887" s="2">
        <v>0.84375</v>
      </c>
      <c r="D1887" t="s">
        <v>74</v>
      </c>
      <c r="E1887" t="s">
        <v>161</v>
      </c>
      <c r="F1887" t="s">
        <v>176</v>
      </c>
      <c r="G1887" t="s">
        <v>113</v>
      </c>
      <c r="H1887" s="2">
        <v>0.84652777777777777</v>
      </c>
      <c r="I1887" s="2">
        <v>0.87013888888888891</v>
      </c>
      <c r="J1887">
        <v>2</v>
      </c>
      <c r="K1887">
        <v>4</v>
      </c>
      <c r="L1887" t="s">
        <v>77</v>
      </c>
      <c r="M1887">
        <v>20.5</v>
      </c>
      <c r="N1887">
        <v>38</v>
      </c>
      <c r="O1887">
        <v>14</v>
      </c>
      <c r="P1887">
        <v>8</v>
      </c>
      <c r="Q1887" t="s">
        <v>31</v>
      </c>
      <c r="R1887">
        <v>500</v>
      </c>
      <c r="S1887">
        <v>6</v>
      </c>
      <c r="T1887">
        <v>0</v>
      </c>
      <c r="U1887">
        <v>1</v>
      </c>
      <c r="V1887">
        <v>4</v>
      </c>
      <c r="W1887" t="s">
        <v>55</v>
      </c>
      <c r="X1887">
        <v>0</v>
      </c>
      <c r="Y1887" t="str">
        <f t="shared" si="29"/>
        <v>Low</v>
      </c>
    </row>
    <row r="1888" spans="1:25">
      <c r="A1888" t="s">
        <v>2001</v>
      </c>
      <c r="B1888" s="1">
        <v>44946</v>
      </c>
      <c r="C1888" s="2">
        <v>0.85416666666666663</v>
      </c>
      <c r="D1888" t="s">
        <v>74</v>
      </c>
      <c r="E1888" t="s">
        <v>52</v>
      </c>
      <c r="F1888" t="s">
        <v>142</v>
      </c>
      <c r="G1888" t="s">
        <v>50</v>
      </c>
      <c r="H1888" s="2">
        <v>0.85416666666666663</v>
      </c>
      <c r="I1888" s="2">
        <v>0.88888888888888884</v>
      </c>
      <c r="J1888">
        <v>5</v>
      </c>
      <c r="K1888">
        <v>12</v>
      </c>
      <c r="L1888" t="s">
        <v>38</v>
      </c>
      <c r="M1888">
        <v>29.1</v>
      </c>
      <c r="N1888">
        <v>64</v>
      </c>
      <c r="O1888">
        <v>38</v>
      </c>
      <c r="P1888">
        <v>12.5</v>
      </c>
      <c r="Q1888" t="s">
        <v>59</v>
      </c>
      <c r="R1888">
        <v>0</v>
      </c>
      <c r="S1888">
        <v>89</v>
      </c>
      <c r="T1888">
        <v>1</v>
      </c>
      <c r="U1888">
        <v>0</v>
      </c>
      <c r="V1888">
        <v>4</v>
      </c>
      <c r="W1888" t="s">
        <v>72</v>
      </c>
      <c r="X1888">
        <v>1</v>
      </c>
      <c r="Y1888" t="str">
        <f t="shared" si="29"/>
        <v>High</v>
      </c>
    </row>
    <row r="1889" spans="1:25">
      <c r="A1889" t="s">
        <v>2002</v>
      </c>
      <c r="B1889" s="1">
        <v>44946</v>
      </c>
      <c r="C1889" s="2">
        <v>0.86458333333333337</v>
      </c>
      <c r="D1889" t="s">
        <v>34</v>
      </c>
      <c r="E1889" t="s">
        <v>48</v>
      </c>
      <c r="F1889" t="s">
        <v>151</v>
      </c>
      <c r="G1889" t="s">
        <v>70</v>
      </c>
      <c r="H1889" s="2">
        <v>0.86527777777777781</v>
      </c>
      <c r="I1889" s="2">
        <v>0.88958333333333328</v>
      </c>
      <c r="J1889">
        <v>11</v>
      </c>
      <c r="K1889">
        <v>7</v>
      </c>
      <c r="L1889" t="s">
        <v>30</v>
      </c>
      <c r="M1889">
        <v>9.4</v>
      </c>
      <c r="N1889">
        <v>89</v>
      </c>
      <c r="O1889">
        <v>49</v>
      </c>
      <c r="P1889">
        <v>16</v>
      </c>
      <c r="Q1889" t="s">
        <v>31</v>
      </c>
      <c r="R1889">
        <v>0</v>
      </c>
      <c r="S1889">
        <v>77</v>
      </c>
      <c r="T1889">
        <v>0</v>
      </c>
      <c r="U1889">
        <v>1</v>
      </c>
      <c r="V1889">
        <v>4</v>
      </c>
      <c r="W1889" t="s">
        <v>72</v>
      </c>
      <c r="X1889">
        <v>1</v>
      </c>
      <c r="Y1889" t="str">
        <f t="shared" si="29"/>
        <v>High</v>
      </c>
    </row>
    <row r="1890" spans="1:25">
      <c r="A1890" t="s">
        <v>2003</v>
      </c>
      <c r="B1890" s="1">
        <v>44946</v>
      </c>
      <c r="C1890" s="2">
        <v>0.875</v>
      </c>
      <c r="D1890" t="s">
        <v>26</v>
      </c>
      <c r="E1890" t="s">
        <v>68</v>
      </c>
      <c r="F1890" t="s">
        <v>86</v>
      </c>
      <c r="G1890" t="s">
        <v>163</v>
      </c>
      <c r="H1890" s="2">
        <v>0.87569444444444444</v>
      </c>
      <c r="I1890" s="2">
        <v>0.89444444444444449</v>
      </c>
      <c r="J1890">
        <v>2</v>
      </c>
      <c r="K1890">
        <v>2</v>
      </c>
      <c r="L1890" t="s">
        <v>54</v>
      </c>
      <c r="M1890">
        <v>0.8</v>
      </c>
      <c r="N1890">
        <v>92</v>
      </c>
      <c r="O1890">
        <v>32</v>
      </c>
      <c r="P1890">
        <v>7</v>
      </c>
      <c r="Q1890" t="s">
        <v>31</v>
      </c>
      <c r="R1890">
        <v>2000</v>
      </c>
      <c r="S1890">
        <v>26</v>
      </c>
      <c r="T1890">
        <v>0</v>
      </c>
      <c r="U1890">
        <v>0</v>
      </c>
      <c r="V1890">
        <v>4</v>
      </c>
      <c r="W1890" t="s">
        <v>32</v>
      </c>
      <c r="X1890">
        <v>0</v>
      </c>
      <c r="Y1890" t="str">
        <f t="shared" si="29"/>
        <v>Low</v>
      </c>
    </row>
    <row r="1891" spans="1:25">
      <c r="A1891" t="s">
        <v>2004</v>
      </c>
      <c r="B1891" s="1">
        <v>44946</v>
      </c>
      <c r="C1891" s="2">
        <v>0.88541666666666663</v>
      </c>
      <c r="D1891" t="s">
        <v>41</v>
      </c>
      <c r="E1891" t="s">
        <v>130</v>
      </c>
      <c r="F1891" t="s">
        <v>53</v>
      </c>
      <c r="G1891" t="s">
        <v>113</v>
      </c>
      <c r="H1891" s="2">
        <v>0.88749999999999996</v>
      </c>
      <c r="I1891" s="2">
        <v>0.92152777777777772</v>
      </c>
      <c r="J1891">
        <v>5</v>
      </c>
      <c r="K1891">
        <v>-3</v>
      </c>
      <c r="L1891" t="s">
        <v>77</v>
      </c>
      <c r="M1891">
        <v>8.3000000000000007</v>
      </c>
      <c r="N1891">
        <v>81</v>
      </c>
      <c r="O1891">
        <v>46</v>
      </c>
      <c r="P1891">
        <v>9.5</v>
      </c>
      <c r="Q1891" t="s">
        <v>46</v>
      </c>
      <c r="R1891">
        <v>50000</v>
      </c>
      <c r="S1891">
        <v>58</v>
      </c>
      <c r="T1891">
        <v>0</v>
      </c>
      <c r="U1891">
        <v>0</v>
      </c>
      <c r="V1891">
        <v>4</v>
      </c>
      <c r="W1891" t="s">
        <v>32</v>
      </c>
      <c r="X1891">
        <v>0</v>
      </c>
      <c r="Y1891" t="str">
        <f t="shared" si="29"/>
        <v>Medium</v>
      </c>
    </row>
    <row r="1892" spans="1:25">
      <c r="A1892" t="s">
        <v>2005</v>
      </c>
      <c r="B1892" s="1">
        <v>44946</v>
      </c>
      <c r="C1892" s="2">
        <v>0.89583333333333337</v>
      </c>
      <c r="D1892" t="s">
        <v>74</v>
      </c>
      <c r="E1892" t="s">
        <v>61</v>
      </c>
      <c r="F1892" t="s">
        <v>116</v>
      </c>
      <c r="G1892" t="s">
        <v>75</v>
      </c>
      <c r="H1892" s="2">
        <v>0.89861111111111114</v>
      </c>
      <c r="I1892" s="2">
        <v>0.93263888888888891</v>
      </c>
      <c r="J1892">
        <v>3</v>
      </c>
      <c r="K1892">
        <v>8</v>
      </c>
      <c r="L1892" t="s">
        <v>30</v>
      </c>
      <c r="M1892">
        <v>13.2</v>
      </c>
      <c r="N1892">
        <v>77</v>
      </c>
      <c r="O1892">
        <v>33</v>
      </c>
      <c r="P1892">
        <v>15.7</v>
      </c>
      <c r="Q1892" t="s">
        <v>46</v>
      </c>
      <c r="R1892">
        <v>0</v>
      </c>
      <c r="S1892">
        <v>71</v>
      </c>
      <c r="T1892">
        <v>0</v>
      </c>
      <c r="U1892">
        <v>0</v>
      </c>
      <c r="V1892">
        <v>4</v>
      </c>
      <c r="W1892" t="s">
        <v>55</v>
      </c>
      <c r="X1892">
        <v>1</v>
      </c>
      <c r="Y1892" t="str">
        <f t="shared" si="29"/>
        <v>High</v>
      </c>
    </row>
    <row r="1893" spans="1:25">
      <c r="A1893" t="s">
        <v>2006</v>
      </c>
      <c r="B1893" s="1">
        <v>44946</v>
      </c>
      <c r="C1893" s="2">
        <v>0.90625</v>
      </c>
      <c r="D1893" t="s">
        <v>74</v>
      </c>
      <c r="E1893" t="s">
        <v>93</v>
      </c>
      <c r="F1893" t="s">
        <v>128</v>
      </c>
      <c r="G1893" t="s">
        <v>203</v>
      </c>
      <c r="H1893" s="2">
        <v>0.90763888888888888</v>
      </c>
      <c r="I1893" s="2">
        <v>0.93611111111111112</v>
      </c>
      <c r="J1893">
        <v>13</v>
      </c>
      <c r="K1893">
        <v>24</v>
      </c>
      <c r="L1893" t="s">
        <v>77</v>
      </c>
      <c r="M1893">
        <v>16.3</v>
      </c>
      <c r="N1893">
        <v>90</v>
      </c>
      <c r="O1893">
        <v>21</v>
      </c>
      <c r="P1893">
        <v>4.5</v>
      </c>
      <c r="Q1893" t="s">
        <v>46</v>
      </c>
      <c r="R1893">
        <v>0</v>
      </c>
      <c r="S1893">
        <v>30</v>
      </c>
      <c r="T1893">
        <v>0</v>
      </c>
      <c r="U1893">
        <v>1</v>
      </c>
      <c r="V1893">
        <v>4</v>
      </c>
      <c r="W1893" t="s">
        <v>72</v>
      </c>
      <c r="X1893">
        <v>1</v>
      </c>
      <c r="Y1893" t="str">
        <f t="shared" si="29"/>
        <v>Low</v>
      </c>
    </row>
    <row r="1894" spans="1:25">
      <c r="A1894" t="s">
        <v>2007</v>
      </c>
      <c r="B1894" s="1">
        <v>44946</v>
      </c>
      <c r="C1894" s="2">
        <v>0.91666666666666663</v>
      </c>
      <c r="D1894" t="s">
        <v>41</v>
      </c>
      <c r="E1894" t="s">
        <v>27</v>
      </c>
      <c r="F1894" t="s">
        <v>36</v>
      </c>
      <c r="G1894" t="s">
        <v>109</v>
      </c>
      <c r="H1894" s="2">
        <v>0.91805555555555551</v>
      </c>
      <c r="I1894" s="2">
        <v>0.93611111111111112</v>
      </c>
      <c r="J1894">
        <v>1</v>
      </c>
      <c r="K1894">
        <v>13</v>
      </c>
      <c r="L1894" t="s">
        <v>45</v>
      </c>
      <c r="M1894">
        <v>15.4</v>
      </c>
      <c r="N1894">
        <v>53</v>
      </c>
      <c r="O1894">
        <v>28</v>
      </c>
      <c r="P1894">
        <v>4.3</v>
      </c>
      <c r="Q1894" t="s">
        <v>46</v>
      </c>
      <c r="R1894">
        <v>0</v>
      </c>
      <c r="S1894">
        <v>98</v>
      </c>
      <c r="T1894">
        <v>0</v>
      </c>
      <c r="U1894">
        <v>0</v>
      </c>
      <c r="V1894">
        <v>4</v>
      </c>
      <c r="W1894" t="s">
        <v>32</v>
      </c>
      <c r="X1894">
        <v>1</v>
      </c>
      <c r="Y1894" t="str">
        <f t="shared" si="29"/>
        <v>High</v>
      </c>
    </row>
    <row r="1895" spans="1:25">
      <c r="A1895" t="s">
        <v>2008</v>
      </c>
      <c r="B1895" s="1">
        <v>44946</v>
      </c>
      <c r="C1895" s="2">
        <v>0.92708333333333337</v>
      </c>
      <c r="D1895" t="s">
        <v>26</v>
      </c>
      <c r="E1895" t="s">
        <v>111</v>
      </c>
      <c r="F1895" t="s">
        <v>28</v>
      </c>
      <c r="G1895" t="s">
        <v>135</v>
      </c>
      <c r="H1895" s="2">
        <v>0.9291666666666667</v>
      </c>
      <c r="I1895" s="2">
        <v>0.94513888888888886</v>
      </c>
      <c r="J1895">
        <v>9</v>
      </c>
      <c r="K1895">
        <v>-3</v>
      </c>
      <c r="L1895" t="s">
        <v>45</v>
      </c>
      <c r="M1895">
        <v>16.8</v>
      </c>
      <c r="N1895">
        <v>87</v>
      </c>
      <c r="O1895">
        <v>33</v>
      </c>
      <c r="P1895">
        <v>11.8</v>
      </c>
      <c r="Q1895" t="s">
        <v>31</v>
      </c>
      <c r="R1895">
        <v>2000</v>
      </c>
      <c r="S1895">
        <v>90</v>
      </c>
      <c r="T1895">
        <v>0</v>
      </c>
      <c r="U1895">
        <v>1</v>
      </c>
      <c r="V1895">
        <v>4</v>
      </c>
      <c r="W1895" t="s">
        <v>32</v>
      </c>
      <c r="X1895">
        <v>0</v>
      </c>
      <c r="Y1895" t="str">
        <f t="shared" si="29"/>
        <v>High</v>
      </c>
    </row>
    <row r="1896" spans="1:25">
      <c r="A1896" t="s">
        <v>2009</v>
      </c>
      <c r="B1896" s="1">
        <v>44946</v>
      </c>
      <c r="C1896" s="2">
        <v>0.9375</v>
      </c>
      <c r="D1896" t="s">
        <v>41</v>
      </c>
      <c r="E1896" t="s">
        <v>42</v>
      </c>
      <c r="F1896" t="s">
        <v>123</v>
      </c>
      <c r="G1896" t="s">
        <v>80</v>
      </c>
      <c r="H1896" s="2">
        <v>0.93819444444444444</v>
      </c>
      <c r="I1896" s="2">
        <v>0.96180555555555558</v>
      </c>
      <c r="J1896">
        <v>8</v>
      </c>
      <c r="K1896">
        <v>28</v>
      </c>
      <c r="L1896" t="s">
        <v>54</v>
      </c>
      <c r="M1896">
        <v>28.7</v>
      </c>
      <c r="N1896">
        <v>93</v>
      </c>
      <c r="O1896">
        <v>41</v>
      </c>
      <c r="P1896">
        <v>8.6999999999999993</v>
      </c>
      <c r="Q1896" t="s">
        <v>31</v>
      </c>
      <c r="R1896">
        <v>0</v>
      </c>
      <c r="S1896">
        <v>67</v>
      </c>
      <c r="T1896">
        <v>0</v>
      </c>
      <c r="U1896">
        <v>0</v>
      </c>
      <c r="V1896">
        <v>4</v>
      </c>
      <c r="W1896" t="s">
        <v>39</v>
      </c>
      <c r="X1896">
        <v>1</v>
      </c>
      <c r="Y1896" t="str">
        <f t="shared" si="29"/>
        <v>High</v>
      </c>
    </row>
    <row r="1897" spans="1:25">
      <c r="A1897" t="s">
        <v>2010</v>
      </c>
      <c r="B1897" s="1">
        <v>44946</v>
      </c>
      <c r="C1897" s="2">
        <v>0.94791666666666663</v>
      </c>
      <c r="D1897" t="s">
        <v>26</v>
      </c>
      <c r="E1897" t="s">
        <v>79</v>
      </c>
      <c r="F1897" t="s">
        <v>29</v>
      </c>
      <c r="G1897" t="s">
        <v>118</v>
      </c>
      <c r="H1897" s="2">
        <v>0.94930555555555551</v>
      </c>
      <c r="I1897" s="2">
        <v>0.97430555555555554</v>
      </c>
      <c r="J1897">
        <v>0</v>
      </c>
      <c r="K1897">
        <v>4</v>
      </c>
      <c r="L1897" t="s">
        <v>38</v>
      </c>
      <c r="M1897">
        <v>1.8</v>
      </c>
      <c r="N1897">
        <v>59</v>
      </c>
      <c r="O1897">
        <v>51</v>
      </c>
      <c r="P1897">
        <v>19</v>
      </c>
      <c r="Q1897" t="s">
        <v>31</v>
      </c>
      <c r="R1897">
        <v>0</v>
      </c>
      <c r="S1897">
        <v>3</v>
      </c>
      <c r="T1897">
        <v>0</v>
      </c>
      <c r="U1897">
        <v>1</v>
      </c>
      <c r="V1897">
        <v>4</v>
      </c>
      <c r="W1897" t="s">
        <v>55</v>
      </c>
      <c r="X1897">
        <v>0</v>
      </c>
      <c r="Y1897" t="str">
        <f t="shared" si="29"/>
        <v>Low</v>
      </c>
    </row>
    <row r="1898" spans="1:25">
      <c r="A1898" t="s">
        <v>2011</v>
      </c>
      <c r="B1898" s="1">
        <v>44946</v>
      </c>
      <c r="C1898" s="2">
        <v>0.95833333333333337</v>
      </c>
      <c r="D1898" t="s">
        <v>74</v>
      </c>
      <c r="E1898" t="s">
        <v>147</v>
      </c>
      <c r="F1898" t="s">
        <v>95</v>
      </c>
      <c r="G1898" t="s">
        <v>86</v>
      </c>
      <c r="H1898" s="2">
        <v>0.95902777777777781</v>
      </c>
      <c r="I1898" s="2">
        <v>0.99861111111111112</v>
      </c>
      <c r="J1898">
        <v>9</v>
      </c>
      <c r="K1898">
        <v>20</v>
      </c>
      <c r="L1898" t="s">
        <v>54</v>
      </c>
      <c r="M1898">
        <v>7.6</v>
      </c>
      <c r="N1898">
        <v>58</v>
      </c>
      <c r="O1898">
        <v>46</v>
      </c>
      <c r="P1898">
        <v>7.1</v>
      </c>
      <c r="Q1898" t="s">
        <v>101</v>
      </c>
      <c r="R1898">
        <v>0</v>
      </c>
      <c r="S1898">
        <v>17</v>
      </c>
      <c r="T1898">
        <v>0</v>
      </c>
      <c r="U1898">
        <v>1</v>
      </c>
      <c r="V1898">
        <v>4</v>
      </c>
      <c r="W1898" t="s">
        <v>32</v>
      </c>
      <c r="X1898">
        <v>1</v>
      </c>
      <c r="Y1898" t="str">
        <f t="shared" si="29"/>
        <v>Low</v>
      </c>
    </row>
    <row r="1899" spans="1:25">
      <c r="A1899" t="s">
        <v>2012</v>
      </c>
      <c r="B1899" s="1">
        <v>44946</v>
      </c>
      <c r="C1899" s="2">
        <v>0.96875</v>
      </c>
      <c r="D1899" t="s">
        <v>26</v>
      </c>
      <c r="E1899" t="s">
        <v>130</v>
      </c>
      <c r="F1899" t="s">
        <v>62</v>
      </c>
      <c r="G1899" t="s">
        <v>50</v>
      </c>
      <c r="H1899" s="2">
        <v>0.97083333333333333</v>
      </c>
      <c r="I1899" s="2">
        <v>0.98611111111111116</v>
      </c>
      <c r="J1899">
        <v>2</v>
      </c>
      <c r="K1899">
        <v>6</v>
      </c>
      <c r="L1899" t="s">
        <v>30</v>
      </c>
      <c r="M1899">
        <v>30.5</v>
      </c>
      <c r="N1899">
        <v>39</v>
      </c>
      <c r="O1899">
        <v>9</v>
      </c>
      <c r="P1899">
        <v>15.2</v>
      </c>
      <c r="Q1899" t="s">
        <v>31</v>
      </c>
      <c r="R1899">
        <v>0</v>
      </c>
      <c r="S1899">
        <v>62</v>
      </c>
      <c r="T1899">
        <v>1</v>
      </c>
      <c r="U1899">
        <v>0</v>
      </c>
      <c r="V1899">
        <v>4</v>
      </c>
      <c r="W1899" t="s">
        <v>55</v>
      </c>
      <c r="X1899">
        <v>1</v>
      </c>
      <c r="Y1899" t="str">
        <f t="shared" si="29"/>
        <v>Medium</v>
      </c>
    </row>
    <row r="1900" spans="1:25">
      <c r="A1900" t="s">
        <v>2013</v>
      </c>
      <c r="B1900" s="1">
        <v>44946</v>
      </c>
      <c r="C1900" s="2">
        <v>0.97916666666666663</v>
      </c>
      <c r="D1900" t="s">
        <v>34</v>
      </c>
      <c r="E1900" t="s">
        <v>98</v>
      </c>
      <c r="F1900" t="s">
        <v>36</v>
      </c>
      <c r="G1900" t="s">
        <v>87</v>
      </c>
      <c r="H1900" s="2">
        <v>0.97986111111111107</v>
      </c>
      <c r="I1900" s="2">
        <v>0</v>
      </c>
      <c r="J1900">
        <v>3</v>
      </c>
      <c r="K1900">
        <v>6</v>
      </c>
      <c r="L1900" t="s">
        <v>77</v>
      </c>
      <c r="M1900">
        <v>17.399999999999999</v>
      </c>
      <c r="N1900">
        <v>68</v>
      </c>
      <c r="O1900">
        <v>50</v>
      </c>
      <c r="P1900">
        <v>11.7</v>
      </c>
      <c r="Q1900" t="s">
        <v>31</v>
      </c>
      <c r="R1900">
        <v>0</v>
      </c>
      <c r="S1900">
        <v>86</v>
      </c>
      <c r="T1900">
        <v>0</v>
      </c>
      <c r="U1900">
        <v>1</v>
      </c>
      <c r="V1900">
        <v>4</v>
      </c>
      <c r="W1900" t="s">
        <v>72</v>
      </c>
      <c r="X1900">
        <v>1</v>
      </c>
      <c r="Y1900" t="str">
        <f t="shared" si="29"/>
        <v>High</v>
      </c>
    </row>
    <row r="1901" spans="1:25">
      <c r="A1901" t="s">
        <v>2014</v>
      </c>
      <c r="B1901" s="1">
        <v>44946</v>
      </c>
      <c r="C1901" s="2">
        <v>0.98958333333333337</v>
      </c>
      <c r="D1901" t="s">
        <v>74</v>
      </c>
      <c r="E1901" t="s">
        <v>98</v>
      </c>
      <c r="F1901" t="s">
        <v>75</v>
      </c>
      <c r="G1901" t="s">
        <v>95</v>
      </c>
      <c r="H1901" s="2">
        <v>0.99027777777777781</v>
      </c>
      <c r="I1901" s="2">
        <v>1.1111111111111112E-2</v>
      </c>
      <c r="J1901">
        <v>16</v>
      </c>
      <c r="K1901">
        <v>21</v>
      </c>
      <c r="L1901" t="s">
        <v>54</v>
      </c>
      <c r="M1901">
        <v>18.3</v>
      </c>
      <c r="N1901">
        <v>84</v>
      </c>
      <c r="O1901">
        <v>53</v>
      </c>
      <c r="P1901">
        <v>1.1000000000000001</v>
      </c>
      <c r="Q1901" t="s">
        <v>31</v>
      </c>
      <c r="R1901">
        <v>0</v>
      </c>
      <c r="S1901">
        <v>95</v>
      </c>
      <c r="T1901">
        <v>0</v>
      </c>
      <c r="U1901">
        <v>0</v>
      </c>
      <c r="V1901">
        <v>4</v>
      </c>
      <c r="W1901" t="s">
        <v>55</v>
      </c>
      <c r="X1901">
        <v>1</v>
      </c>
      <c r="Y1901" t="str">
        <f t="shared" si="29"/>
        <v>High</v>
      </c>
    </row>
    <row r="1902" spans="1:25">
      <c r="A1902" t="s">
        <v>2015</v>
      </c>
      <c r="B1902" s="1">
        <v>44947</v>
      </c>
      <c r="C1902" s="2">
        <v>0</v>
      </c>
      <c r="D1902" t="s">
        <v>34</v>
      </c>
      <c r="E1902" t="s">
        <v>42</v>
      </c>
      <c r="F1902" t="s">
        <v>148</v>
      </c>
      <c r="G1902" t="s">
        <v>49</v>
      </c>
      <c r="H1902" s="2">
        <v>6.9444444444444447E-4</v>
      </c>
      <c r="I1902" s="2">
        <v>2.2222222222222223E-2</v>
      </c>
      <c r="J1902">
        <v>15</v>
      </c>
      <c r="K1902">
        <v>6</v>
      </c>
      <c r="L1902" t="s">
        <v>84</v>
      </c>
      <c r="M1902">
        <v>14.1</v>
      </c>
      <c r="N1902">
        <v>57</v>
      </c>
      <c r="O1902">
        <v>59</v>
      </c>
      <c r="P1902">
        <v>1.7</v>
      </c>
      <c r="Q1902" t="s">
        <v>101</v>
      </c>
      <c r="R1902">
        <v>0</v>
      </c>
      <c r="S1902">
        <v>75</v>
      </c>
      <c r="T1902">
        <v>0</v>
      </c>
      <c r="U1902">
        <v>0</v>
      </c>
      <c r="V1902">
        <v>5</v>
      </c>
      <c r="W1902" t="s">
        <v>32</v>
      </c>
      <c r="X1902">
        <v>1</v>
      </c>
      <c r="Y1902" t="str">
        <f t="shared" si="29"/>
        <v>High</v>
      </c>
    </row>
    <row r="1903" spans="1:25">
      <c r="A1903" t="s">
        <v>2016</v>
      </c>
      <c r="B1903" s="1">
        <v>44947</v>
      </c>
      <c r="C1903" s="2">
        <v>1.0416666666666666E-2</v>
      </c>
      <c r="D1903" t="s">
        <v>41</v>
      </c>
      <c r="E1903" t="s">
        <v>35</v>
      </c>
      <c r="F1903" t="s">
        <v>118</v>
      </c>
      <c r="G1903" t="s">
        <v>163</v>
      </c>
      <c r="H1903" s="2">
        <v>1.1805555555555555E-2</v>
      </c>
      <c r="I1903" s="2">
        <v>3.1944444444444442E-2</v>
      </c>
      <c r="J1903">
        <v>13</v>
      </c>
      <c r="K1903">
        <v>15</v>
      </c>
      <c r="L1903" t="s">
        <v>84</v>
      </c>
      <c r="M1903">
        <v>17</v>
      </c>
      <c r="N1903">
        <v>47</v>
      </c>
      <c r="O1903">
        <v>59</v>
      </c>
      <c r="P1903">
        <v>4.0999999999999996</v>
      </c>
      <c r="Q1903" t="s">
        <v>59</v>
      </c>
      <c r="R1903">
        <v>0</v>
      </c>
      <c r="S1903">
        <v>51</v>
      </c>
      <c r="T1903">
        <v>0</v>
      </c>
      <c r="U1903">
        <v>1</v>
      </c>
      <c r="V1903">
        <v>5</v>
      </c>
      <c r="W1903" t="s">
        <v>39</v>
      </c>
      <c r="X1903">
        <v>1</v>
      </c>
      <c r="Y1903" t="str">
        <f t="shared" si="29"/>
        <v>Medium</v>
      </c>
    </row>
    <row r="1904" spans="1:25">
      <c r="A1904" t="s">
        <v>2017</v>
      </c>
      <c r="B1904" s="1">
        <v>44947</v>
      </c>
      <c r="C1904" s="2">
        <v>2.0833333333333332E-2</v>
      </c>
      <c r="D1904" t="s">
        <v>41</v>
      </c>
      <c r="E1904" t="s">
        <v>141</v>
      </c>
      <c r="F1904" t="s">
        <v>49</v>
      </c>
      <c r="G1904" t="s">
        <v>128</v>
      </c>
      <c r="H1904" s="2">
        <v>2.0833333333333332E-2</v>
      </c>
      <c r="I1904" s="2">
        <v>4.8611111111111112E-2</v>
      </c>
      <c r="J1904">
        <v>8</v>
      </c>
      <c r="K1904">
        <v>11</v>
      </c>
      <c r="L1904" t="s">
        <v>38</v>
      </c>
      <c r="M1904">
        <v>2.9</v>
      </c>
      <c r="N1904">
        <v>70</v>
      </c>
      <c r="O1904">
        <v>44</v>
      </c>
      <c r="P1904">
        <v>2.9</v>
      </c>
      <c r="Q1904" t="s">
        <v>101</v>
      </c>
      <c r="R1904">
        <v>0</v>
      </c>
      <c r="S1904">
        <v>83</v>
      </c>
      <c r="T1904">
        <v>0</v>
      </c>
      <c r="U1904">
        <v>0</v>
      </c>
      <c r="V1904">
        <v>5</v>
      </c>
      <c r="W1904" t="s">
        <v>55</v>
      </c>
      <c r="X1904">
        <v>1</v>
      </c>
      <c r="Y1904" t="str">
        <f t="shared" si="29"/>
        <v>High</v>
      </c>
    </row>
    <row r="1905" spans="1:25">
      <c r="A1905" t="s">
        <v>2018</v>
      </c>
      <c r="B1905" s="1">
        <v>44947</v>
      </c>
      <c r="C1905" s="2">
        <v>3.125E-2</v>
      </c>
      <c r="D1905" t="s">
        <v>41</v>
      </c>
      <c r="E1905" t="s">
        <v>89</v>
      </c>
      <c r="F1905" t="s">
        <v>151</v>
      </c>
      <c r="G1905" t="s">
        <v>113</v>
      </c>
      <c r="H1905" s="2">
        <v>3.4027777777777775E-2</v>
      </c>
      <c r="I1905" s="2">
        <v>5.1388888888888887E-2</v>
      </c>
      <c r="J1905">
        <v>2</v>
      </c>
      <c r="K1905">
        <v>12</v>
      </c>
      <c r="L1905" t="s">
        <v>54</v>
      </c>
      <c r="M1905">
        <v>16.899999999999999</v>
      </c>
      <c r="N1905">
        <v>94</v>
      </c>
      <c r="O1905">
        <v>29</v>
      </c>
      <c r="P1905">
        <v>6.6</v>
      </c>
      <c r="Q1905" t="s">
        <v>31</v>
      </c>
      <c r="R1905">
        <v>500</v>
      </c>
      <c r="S1905">
        <v>62</v>
      </c>
      <c r="T1905">
        <v>0</v>
      </c>
      <c r="U1905">
        <v>0</v>
      </c>
      <c r="V1905">
        <v>5</v>
      </c>
      <c r="W1905" t="s">
        <v>55</v>
      </c>
      <c r="X1905">
        <v>1</v>
      </c>
      <c r="Y1905" t="str">
        <f t="shared" si="29"/>
        <v>Medium</v>
      </c>
    </row>
    <row r="1906" spans="1:25">
      <c r="A1906" t="s">
        <v>2019</v>
      </c>
      <c r="B1906" s="1">
        <v>44947</v>
      </c>
      <c r="C1906" s="2">
        <v>4.1666666666666664E-2</v>
      </c>
      <c r="D1906" t="s">
        <v>26</v>
      </c>
      <c r="E1906" t="s">
        <v>130</v>
      </c>
      <c r="F1906" t="s">
        <v>95</v>
      </c>
      <c r="G1906" t="s">
        <v>43</v>
      </c>
      <c r="H1906" s="2">
        <v>4.2361111111111113E-2</v>
      </c>
      <c r="I1906" s="2">
        <v>6.8750000000000006E-2</v>
      </c>
      <c r="J1906">
        <v>6</v>
      </c>
      <c r="K1906">
        <v>-2</v>
      </c>
      <c r="L1906" t="s">
        <v>30</v>
      </c>
      <c r="M1906">
        <v>34.9</v>
      </c>
      <c r="N1906">
        <v>75</v>
      </c>
      <c r="O1906">
        <v>55</v>
      </c>
      <c r="P1906">
        <v>11.6</v>
      </c>
      <c r="Q1906" t="s">
        <v>71</v>
      </c>
      <c r="R1906">
        <v>0</v>
      </c>
      <c r="S1906">
        <v>44</v>
      </c>
      <c r="T1906">
        <v>0</v>
      </c>
      <c r="U1906">
        <v>0</v>
      </c>
      <c r="V1906">
        <v>5</v>
      </c>
      <c r="W1906" t="s">
        <v>72</v>
      </c>
      <c r="X1906">
        <v>0</v>
      </c>
      <c r="Y1906" t="str">
        <f t="shared" si="29"/>
        <v>Medium</v>
      </c>
    </row>
    <row r="1907" spans="1:25">
      <c r="A1907" t="s">
        <v>2020</v>
      </c>
      <c r="B1907" s="1">
        <v>44947</v>
      </c>
      <c r="C1907" s="2">
        <v>5.2083333333333336E-2</v>
      </c>
      <c r="D1907" t="s">
        <v>74</v>
      </c>
      <c r="E1907" t="s">
        <v>27</v>
      </c>
      <c r="F1907" t="s">
        <v>49</v>
      </c>
      <c r="G1907" t="s">
        <v>91</v>
      </c>
      <c r="H1907" s="2">
        <v>5.2777777777777778E-2</v>
      </c>
      <c r="I1907" s="2">
        <v>9.0277777777777776E-2</v>
      </c>
      <c r="J1907">
        <v>0</v>
      </c>
      <c r="K1907">
        <v>25</v>
      </c>
      <c r="L1907" t="s">
        <v>84</v>
      </c>
      <c r="M1907">
        <v>17.600000000000001</v>
      </c>
      <c r="N1907">
        <v>89</v>
      </c>
      <c r="O1907">
        <v>10</v>
      </c>
      <c r="P1907">
        <v>12</v>
      </c>
      <c r="Q1907" t="s">
        <v>31</v>
      </c>
      <c r="R1907">
        <v>0</v>
      </c>
      <c r="S1907">
        <v>11</v>
      </c>
      <c r="T1907">
        <v>0</v>
      </c>
      <c r="U1907">
        <v>0</v>
      </c>
      <c r="V1907">
        <v>5</v>
      </c>
      <c r="W1907" t="s">
        <v>39</v>
      </c>
      <c r="X1907">
        <v>1</v>
      </c>
      <c r="Y1907" t="str">
        <f t="shared" si="29"/>
        <v>Low</v>
      </c>
    </row>
    <row r="1908" spans="1:25">
      <c r="A1908" t="s">
        <v>2021</v>
      </c>
      <c r="B1908" s="1">
        <v>44947</v>
      </c>
      <c r="C1908" s="2">
        <v>6.25E-2</v>
      </c>
      <c r="D1908" t="s">
        <v>41</v>
      </c>
      <c r="E1908" t="s">
        <v>130</v>
      </c>
      <c r="F1908" t="s">
        <v>81</v>
      </c>
      <c r="G1908" t="s">
        <v>49</v>
      </c>
      <c r="H1908" s="2">
        <v>6.3194444444444442E-2</v>
      </c>
      <c r="I1908" s="2">
        <v>9.5138888888888884E-2</v>
      </c>
      <c r="J1908">
        <v>5</v>
      </c>
      <c r="K1908">
        <v>0</v>
      </c>
      <c r="L1908" t="s">
        <v>38</v>
      </c>
      <c r="M1908">
        <v>-3.2</v>
      </c>
      <c r="N1908">
        <v>38</v>
      </c>
      <c r="O1908">
        <v>53</v>
      </c>
      <c r="P1908">
        <v>11.8</v>
      </c>
      <c r="Q1908" t="s">
        <v>31</v>
      </c>
      <c r="R1908">
        <v>0</v>
      </c>
      <c r="S1908">
        <v>7</v>
      </c>
      <c r="T1908">
        <v>0</v>
      </c>
      <c r="U1908">
        <v>0</v>
      </c>
      <c r="V1908">
        <v>5</v>
      </c>
      <c r="W1908" t="s">
        <v>55</v>
      </c>
      <c r="X1908">
        <v>0</v>
      </c>
      <c r="Y1908" t="str">
        <f t="shared" si="29"/>
        <v>Low</v>
      </c>
    </row>
    <row r="1909" spans="1:25">
      <c r="A1909" t="s">
        <v>2022</v>
      </c>
      <c r="B1909" s="1">
        <v>44947</v>
      </c>
      <c r="C1909" s="2">
        <v>7.2916666666666671E-2</v>
      </c>
      <c r="D1909" t="s">
        <v>41</v>
      </c>
      <c r="E1909" t="s">
        <v>48</v>
      </c>
      <c r="F1909" t="s">
        <v>29</v>
      </c>
      <c r="G1909" t="s">
        <v>58</v>
      </c>
      <c r="H1909" s="2">
        <v>7.2916666666666671E-2</v>
      </c>
      <c r="I1909" s="2">
        <v>0.10277777777777777</v>
      </c>
      <c r="J1909">
        <v>3</v>
      </c>
      <c r="K1909">
        <v>25</v>
      </c>
      <c r="L1909" t="s">
        <v>54</v>
      </c>
      <c r="M1909">
        <v>26.9</v>
      </c>
      <c r="N1909">
        <v>74</v>
      </c>
      <c r="O1909">
        <v>33</v>
      </c>
      <c r="P1909">
        <v>2.4</v>
      </c>
      <c r="Q1909" t="s">
        <v>31</v>
      </c>
      <c r="R1909">
        <v>500</v>
      </c>
      <c r="S1909">
        <v>21</v>
      </c>
      <c r="T1909">
        <v>0</v>
      </c>
      <c r="U1909">
        <v>0</v>
      </c>
      <c r="V1909">
        <v>5</v>
      </c>
      <c r="W1909" t="s">
        <v>39</v>
      </c>
      <c r="X1909">
        <v>1</v>
      </c>
      <c r="Y1909" t="str">
        <f t="shared" si="29"/>
        <v>Low</v>
      </c>
    </row>
    <row r="1910" spans="1:25">
      <c r="A1910" t="s">
        <v>2023</v>
      </c>
      <c r="B1910" s="1">
        <v>44947</v>
      </c>
      <c r="C1910" s="2">
        <v>8.3333333333333329E-2</v>
      </c>
      <c r="D1910" t="s">
        <v>74</v>
      </c>
      <c r="E1910" t="s">
        <v>79</v>
      </c>
      <c r="F1910" t="s">
        <v>29</v>
      </c>
      <c r="G1910" t="s">
        <v>135</v>
      </c>
      <c r="H1910" s="2">
        <v>8.5416666666666669E-2</v>
      </c>
      <c r="I1910" s="2">
        <v>0.1</v>
      </c>
      <c r="J1910">
        <v>1</v>
      </c>
      <c r="K1910">
        <v>27</v>
      </c>
      <c r="L1910" t="s">
        <v>38</v>
      </c>
      <c r="M1910">
        <v>10.9</v>
      </c>
      <c r="N1910">
        <v>89</v>
      </c>
      <c r="O1910">
        <v>20</v>
      </c>
      <c r="P1910">
        <v>12</v>
      </c>
      <c r="Q1910" t="s">
        <v>31</v>
      </c>
      <c r="R1910">
        <v>10000</v>
      </c>
      <c r="S1910">
        <v>90</v>
      </c>
      <c r="T1910">
        <v>0</v>
      </c>
      <c r="U1910">
        <v>1</v>
      </c>
      <c r="V1910">
        <v>5</v>
      </c>
      <c r="W1910" t="s">
        <v>32</v>
      </c>
      <c r="X1910">
        <v>1</v>
      </c>
      <c r="Y1910" t="str">
        <f t="shared" si="29"/>
        <v>High</v>
      </c>
    </row>
    <row r="1911" spans="1:25">
      <c r="A1911" t="s">
        <v>2024</v>
      </c>
      <c r="B1911" s="1">
        <v>44947</v>
      </c>
      <c r="C1911" s="2">
        <v>9.375E-2</v>
      </c>
      <c r="D1911" t="s">
        <v>41</v>
      </c>
      <c r="E1911" t="s">
        <v>52</v>
      </c>
      <c r="F1911" t="s">
        <v>83</v>
      </c>
      <c r="G1911" t="s">
        <v>197</v>
      </c>
      <c r="H1911" s="2">
        <v>9.5138888888888884E-2</v>
      </c>
      <c r="I1911" s="2">
        <v>0.13263888888888889</v>
      </c>
      <c r="J1911">
        <v>9</v>
      </c>
      <c r="K1911">
        <v>13</v>
      </c>
      <c r="L1911" t="s">
        <v>30</v>
      </c>
      <c r="M1911">
        <v>1.1000000000000001</v>
      </c>
      <c r="N1911">
        <v>57</v>
      </c>
      <c r="O1911">
        <v>58</v>
      </c>
      <c r="P1911">
        <v>8.1999999999999993</v>
      </c>
      <c r="Q1911" t="s">
        <v>71</v>
      </c>
      <c r="R1911">
        <v>10000</v>
      </c>
      <c r="S1911">
        <v>40</v>
      </c>
      <c r="T1911">
        <v>1</v>
      </c>
      <c r="U1911">
        <v>0</v>
      </c>
      <c r="V1911">
        <v>5</v>
      </c>
      <c r="W1911" t="s">
        <v>39</v>
      </c>
      <c r="X1911">
        <v>1</v>
      </c>
      <c r="Y1911" t="str">
        <f t="shared" si="29"/>
        <v>Medium</v>
      </c>
    </row>
    <row r="1912" spans="1:25">
      <c r="A1912" t="s">
        <v>2025</v>
      </c>
      <c r="B1912" s="1">
        <v>44947</v>
      </c>
      <c r="C1912" s="2">
        <v>0.10416666666666667</v>
      </c>
      <c r="D1912" t="s">
        <v>34</v>
      </c>
      <c r="E1912" t="s">
        <v>57</v>
      </c>
      <c r="F1912" t="s">
        <v>50</v>
      </c>
      <c r="G1912" t="s">
        <v>96</v>
      </c>
      <c r="H1912" s="2">
        <v>0.10416666666666667</v>
      </c>
      <c r="I1912" s="2">
        <v>0.12569444444444444</v>
      </c>
      <c r="J1912">
        <v>9</v>
      </c>
      <c r="K1912">
        <v>6</v>
      </c>
      <c r="L1912" t="s">
        <v>84</v>
      </c>
      <c r="M1912">
        <v>29.5</v>
      </c>
      <c r="N1912">
        <v>32</v>
      </c>
      <c r="O1912">
        <v>12</v>
      </c>
      <c r="P1912">
        <v>18.100000000000001</v>
      </c>
      <c r="Q1912" t="s">
        <v>101</v>
      </c>
      <c r="R1912">
        <v>0</v>
      </c>
      <c r="S1912">
        <v>40</v>
      </c>
      <c r="T1912">
        <v>0</v>
      </c>
      <c r="U1912">
        <v>0</v>
      </c>
      <c r="V1912">
        <v>5</v>
      </c>
      <c r="W1912" t="s">
        <v>32</v>
      </c>
      <c r="X1912">
        <v>1</v>
      </c>
      <c r="Y1912" t="str">
        <f t="shared" si="29"/>
        <v>Medium</v>
      </c>
    </row>
    <row r="1913" spans="1:25">
      <c r="A1913" t="s">
        <v>2026</v>
      </c>
      <c r="B1913" s="1">
        <v>44947</v>
      </c>
      <c r="C1913" s="2">
        <v>0.11458333333333333</v>
      </c>
      <c r="D1913" t="s">
        <v>74</v>
      </c>
      <c r="E1913" t="s">
        <v>52</v>
      </c>
      <c r="F1913" t="s">
        <v>107</v>
      </c>
      <c r="G1913" t="s">
        <v>99</v>
      </c>
      <c r="H1913" s="2">
        <v>0.11527777777777778</v>
      </c>
      <c r="I1913" s="2">
        <v>0.15208333333333332</v>
      </c>
      <c r="J1913">
        <v>18</v>
      </c>
      <c r="K1913">
        <v>23</v>
      </c>
      <c r="L1913" t="s">
        <v>84</v>
      </c>
      <c r="M1913">
        <v>2.9</v>
      </c>
      <c r="N1913">
        <v>80</v>
      </c>
      <c r="O1913">
        <v>53</v>
      </c>
      <c r="P1913">
        <v>18.2</v>
      </c>
      <c r="Q1913" t="s">
        <v>31</v>
      </c>
      <c r="R1913">
        <v>0</v>
      </c>
      <c r="S1913">
        <v>80</v>
      </c>
      <c r="T1913">
        <v>0</v>
      </c>
      <c r="U1913">
        <v>1</v>
      </c>
      <c r="V1913">
        <v>5</v>
      </c>
      <c r="W1913" t="s">
        <v>72</v>
      </c>
      <c r="X1913">
        <v>1</v>
      </c>
      <c r="Y1913" t="str">
        <f t="shared" si="29"/>
        <v>High</v>
      </c>
    </row>
    <row r="1914" spans="1:25">
      <c r="A1914" t="s">
        <v>2027</v>
      </c>
      <c r="B1914" s="1">
        <v>44947</v>
      </c>
      <c r="C1914" s="2">
        <v>0.125</v>
      </c>
      <c r="D1914" t="s">
        <v>74</v>
      </c>
      <c r="E1914" t="s">
        <v>104</v>
      </c>
      <c r="F1914" t="s">
        <v>69</v>
      </c>
      <c r="G1914" t="s">
        <v>105</v>
      </c>
      <c r="H1914" s="2">
        <v>0.125</v>
      </c>
      <c r="I1914" s="2">
        <v>0.16597222222222222</v>
      </c>
      <c r="J1914">
        <v>13</v>
      </c>
      <c r="K1914">
        <v>11</v>
      </c>
      <c r="L1914" t="s">
        <v>84</v>
      </c>
      <c r="M1914">
        <v>31.8</v>
      </c>
      <c r="N1914">
        <v>37</v>
      </c>
      <c r="O1914">
        <v>24</v>
      </c>
      <c r="P1914">
        <v>15.4</v>
      </c>
      <c r="Q1914" t="s">
        <v>101</v>
      </c>
      <c r="R1914">
        <v>2000</v>
      </c>
      <c r="S1914">
        <v>56</v>
      </c>
      <c r="T1914">
        <v>0</v>
      </c>
      <c r="U1914">
        <v>1</v>
      </c>
      <c r="V1914">
        <v>5</v>
      </c>
      <c r="W1914" t="s">
        <v>72</v>
      </c>
      <c r="X1914">
        <v>1</v>
      </c>
      <c r="Y1914" t="str">
        <f t="shared" si="29"/>
        <v>Medium</v>
      </c>
    </row>
    <row r="1915" spans="1:25">
      <c r="A1915" t="s">
        <v>2028</v>
      </c>
      <c r="B1915" s="1">
        <v>44947</v>
      </c>
      <c r="C1915" s="2">
        <v>0.13541666666666666</v>
      </c>
      <c r="D1915" t="s">
        <v>74</v>
      </c>
      <c r="E1915" t="s">
        <v>104</v>
      </c>
      <c r="F1915" t="s">
        <v>142</v>
      </c>
      <c r="G1915" t="s">
        <v>50</v>
      </c>
      <c r="H1915" s="2">
        <v>0.13541666666666666</v>
      </c>
      <c r="I1915" s="2">
        <v>0.15</v>
      </c>
      <c r="J1915">
        <v>7</v>
      </c>
      <c r="K1915">
        <v>27</v>
      </c>
      <c r="L1915" t="s">
        <v>45</v>
      </c>
      <c r="M1915">
        <v>12.7</v>
      </c>
      <c r="N1915">
        <v>99</v>
      </c>
      <c r="O1915">
        <v>53</v>
      </c>
      <c r="P1915">
        <v>14.1</v>
      </c>
      <c r="Q1915" t="s">
        <v>31</v>
      </c>
      <c r="R1915">
        <v>0</v>
      </c>
      <c r="S1915">
        <v>31</v>
      </c>
      <c r="T1915">
        <v>0</v>
      </c>
      <c r="U1915">
        <v>1</v>
      </c>
      <c r="V1915">
        <v>5</v>
      </c>
      <c r="W1915" t="s">
        <v>72</v>
      </c>
      <c r="X1915">
        <v>1</v>
      </c>
      <c r="Y1915" t="str">
        <f t="shared" si="29"/>
        <v>Low</v>
      </c>
    </row>
    <row r="1916" spans="1:25">
      <c r="A1916" t="s">
        <v>2029</v>
      </c>
      <c r="B1916" s="1">
        <v>44947</v>
      </c>
      <c r="C1916" s="2">
        <v>0.14583333333333334</v>
      </c>
      <c r="D1916" t="s">
        <v>34</v>
      </c>
      <c r="E1916" t="s">
        <v>130</v>
      </c>
      <c r="F1916" t="s">
        <v>142</v>
      </c>
      <c r="G1916" t="s">
        <v>128</v>
      </c>
      <c r="H1916" s="2">
        <v>0.14583333333333334</v>
      </c>
      <c r="I1916" s="2">
        <v>0.18611111111111112</v>
      </c>
      <c r="J1916">
        <v>19</v>
      </c>
      <c r="K1916">
        <v>17</v>
      </c>
      <c r="L1916" t="s">
        <v>84</v>
      </c>
      <c r="M1916">
        <v>24.7</v>
      </c>
      <c r="N1916">
        <v>88</v>
      </c>
      <c r="O1916">
        <v>57</v>
      </c>
      <c r="P1916">
        <v>2.2999999999999998</v>
      </c>
      <c r="Q1916" t="s">
        <v>31</v>
      </c>
      <c r="R1916">
        <v>500</v>
      </c>
      <c r="S1916">
        <v>96</v>
      </c>
      <c r="T1916">
        <v>0</v>
      </c>
      <c r="U1916">
        <v>0</v>
      </c>
      <c r="V1916">
        <v>5</v>
      </c>
      <c r="W1916" t="s">
        <v>32</v>
      </c>
      <c r="X1916">
        <v>1</v>
      </c>
      <c r="Y1916" t="str">
        <f t="shared" si="29"/>
        <v>High</v>
      </c>
    </row>
    <row r="1917" spans="1:25">
      <c r="A1917" t="s">
        <v>2030</v>
      </c>
      <c r="B1917" s="1">
        <v>44947</v>
      </c>
      <c r="C1917" s="2">
        <v>0.15625</v>
      </c>
      <c r="D1917" t="s">
        <v>74</v>
      </c>
      <c r="E1917" t="s">
        <v>161</v>
      </c>
      <c r="F1917" t="s">
        <v>128</v>
      </c>
      <c r="G1917" t="s">
        <v>70</v>
      </c>
      <c r="H1917" s="2">
        <v>0.15833333333333333</v>
      </c>
      <c r="I1917" s="2">
        <v>0.17569444444444443</v>
      </c>
      <c r="J1917">
        <v>11</v>
      </c>
      <c r="K1917">
        <v>22</v>
      </c>
      <c r="L1917" t="s">
        <v>77</v>
      </c>
      <c r="M1917">
        <v>16.899999999999999</v>
      </c>
      <c r="N1917">
        <v>90</v>
      </c>
      <c r="O1917">
        <v>20</v>
      </c>
      <c r="P1917">
        <v>1.7</v>
      </c>
      <c r="Q1917" t="s">
        <v>31</v>
      </c>
      <c r="R1917">
        <v>10000</v>
      </c>
      <c r="S1917">
        <v>94</v>
      </c>
      <c r="T1917">
        <v>0</v>
      </c>
      <c r="U1917">
        <v>0</v>
      </c>
      <c r="V1917">
        <v>5</v>
      </c>
      <c r="W1917" t="s">
        <v>55</v>
      </c>
      <c r="X1917">
        <v>1</v>
      </c>
      <c r="Y1917" t="str">
        <f t="shared" si="29"/>
        <v>High</v>
      </c>
    </row>
    <row r="1918" spans="1:25">
      <c r="A1918" t="s">
        <v>2031</v>
      </c>
      <c r="B1918" s="1">
        <v>44947</v>
      </c>
      <c r="C1918" s="2">
        <v>0.16666666666666666</v>
      </c>
      <c r="D1918" t="s">
        <v>34</v>
      </c>
      <c r="E1918" t="s">
        <v>157</v>
      </c>
      <c r="F1918" t="s">
        <v>194</v>
      </c>
      <c r="G1918" t="s">
        <v>62</v>
      </c>
      <c r="H1918" s="2">
        <v>0.16944444444444445</v>
      </c>
      <c r="I1918" s="2">
        <v>0.19513888888888889</v>
      </c>
      <c r="J1918">
        <v>10</v>
      </c>
      <c r="K1918">
        <v>13</v>
      </c>
      <c r="L1918" t="s">
        <v>45</v>
      </c>
      <c r="M1918">
        <v>5.3</v>
      </c>
      <c r="N1918">
        <v>87</v>
      </c>
      <c r="O1918">
        <v>0</v>
      </c>
      <c r="P1918">
        <v>16.8</v>
      </c>
      <c r="Q1918" t="s">
        <v>31</v>
      </c>
      <c r="R1918">
        <v>0</v>
      </c>
      <c r="S1918">
        <v>54</v>
      </c>
      <c r="T1918">
        <v>1</v>
      </c>
      <c r="U1918">
        <v>0</v>
      </c>
      <c r="V1918">
        <v>5</v>
      </c>
      <c r="W1918" t="s">
        <v>32</v>
      </c>
      <c r="X1918">
        <v>1</v>
      </c>
      <c r="Y1918" t="str">
        <f t="shared" si="29"/>
        <v>Medium</v>
      </c>
    </row>
    <row r="1919" spans="1:25">
      <c r="A1919" t="s">
        <v>2032</v>
      </c>
      <c r="B1919" s="1">
        <v>44947</v>
      </c>
      <c r="C1919" s="2">
        <v>0.17708333333333334</v>
      </c>
      <c r="D1919" t="s">
        <v>74</v>
      </c>
      <c r="E1919" t="s">
        <v>61</v>
      </c>
      <c r="F1919" t="s">
        <v>99</v>
      </c>
      <c r="G1919" t="s">
        <v>135</v>
      </c>
      <c r="H1919" s="2">
        <v>0.17847222222222223</v>
      </c>
      <c r="I1919" s="2">
        <v>0.19375000000000001</v>
      </c>
      <c r="J1919">
        <v>6</v>
      </c>
      <c r="K1919">
        <v>-1</v>
      </c>
      <c r="L1919" t="s">
        <v>54</v>
      </c>
      <c r="M1919">
        <v>21.8</v>
      </c>
      <c r="N1919">
        <v>99</v>
      </c>
      <c r="O1919">
        <v>57</v>
      </c>
      <c r="P1919">
        <v>8.5</v>
      </c>
      <c r="Q1919" t="s">
        <v>31</v>
      </c>
      <c r="R1919">
        <v>0</v>
      </c>
      <c r="S1919">
        <v>5</v>
      </c>
      <c r="T1919">
        <v>0</v>
      </c>
      <c r="U1919">
        <v>0</v>
      </c>
      <c r="V1919">
        <v>5</v>
      </c>
      <c r="W1919" t="s">
        <v>39</v>
      </c>
      <c r="X1919">
        <v>0</v>
      </c>
      <c r="Y1919" t="str">
        <f t="shared" si="29"/>
        <v>Low</v>
      </c>
    </row>
    <row r="1920" spans="1:25">
      <c r="A1920" t="s">
        <v>2033</v>
      </c>
      <c r="B1920" s="1">
        <v>44947</v>
      </c>
      <c r="C1920" s="2">
        <v>0.1875</v>
      </c>
      <c r="D1920" t="s">
        <v>26</v>
      </c>
      <c r="E1920" t="s">
        <v>161</v>
      </c>
      <c r="F1920" t="s">
        <v>53</v>
      </c>
      <c r="G1920" t="s">
        <v>197</v>
      </c>
      <c r="H1920" s="2">
        <v>0.18958333333333333</v>
      </c>
      <c r="I1920" s="2">
        <v>0.20902777777777778</v>
      </c>
      <c r="J1920">
        <v>4</v>
      </c>
      <c r="K1920">
        <v>10</v>
      </c>
      <c r="L1920" t="s">
        <v>45</v>
      </c>
      <c r="M1920">
        <v>33.299999999999997</v>
      </c>
      <c r="N1920">
        <v>41</v>
      </c>
      <c r="O1920">
        <v>4</v>
      </c>
      <c r="P1920">
        <v>9</v>
      </c>
      <c r="Q1920" t="s">
        <v>71</v>
      </c>
      <c r="R1920">
        <v>500</v>
      </c>
      <c r="S1920">
        <v>38</v>
      </c>
      <c r="T1920">
        <v>0</v>
      </c>
      <c r="U1920">
        <v>1</v>
      </c>
      <c r="V1920">
        <v>5</v>
      </c>
      <c r="W1920" t="s">
        <v>39</v>
      </c>
      <c r="X1920">
        <v>1</v>
      </c>
      <c r="Y1920" t="str">
        <f t="shared" si="29"/>
        <v>Medium</v>
      </c>
    </row>
    <row r="1921" spans="1:25">
      <c r="A1921" t="s">
        <v>2034</v>
      </c>
      <c r="B1921" s="1">
        <v>44947</v>
      </c>
      <c r="C1921" s="2">
        <v>0.19791666666666666</v>
      </c>
      <c r="D1921" t="s">
        <v>41</v>
      </c>
      <c r="E1921" t="s">
        <v>27</v>
      </c>
      <c r="F1921" t="s">
        <v>113</v>
      </c>
      <c r="G1921" t="s">
        <v>70</v>
      </c>
      <c r="H1921" s="2">
        <v>0.2</v>
      </c>
      <c r="I1921" s="2">
        <v>0.21180555555555555</v>
      </c>
      <c r="J1921">
        <v>9</v>
      </c>
      <c r="K1921">
        <v>9</v>
      </c>
      <c r="L1921" t="s">
        <v>45</v>
      </c>
      <c r="M1921">
        <v>25.8</v>
      </c>
      <c r="N1921">
        <v>38</v>
      </c>
      <c r="O1921">
        <v>52</v>
      </c>
      <c r="P1921">
        <v>17</v>
      </c>
      <c r="Q1921" t="s">
        <v>46</v>
      </c>
      <c r="R1921">
        <v>0</v>
      </c>
      <c r="S1921">
        <v>8</v>
      </c>
      <c r="T1921">
        <v>0</v>
      </c>
      <c r="U1921">
        <v>0</v>
      </c>
      <c r="V1921">
        <v>5</v>
      </c>
      <c r="W1921" t="s">
        <v>32</v>
      </c>
      <c r="X1921">
        <v>1</v>
      </c>
      <c r="Y1921" t="str">
        <f t="shared" si="29"/>
        <v>Low</v>
      </c>
    </row>
    <row r="1922" spans="1:25">
      <c r="A1922" t="s">
        <v>2035</v>
      </c>
      <c r="B1922" s="1">
        <v>44947</v>
      </c>
      <c r="C1922" s="2">
        <v>0.20833333333333334</v>
      </c>
      <c r="D1922" t="s">
        <v>26</v>
      </c>
      <c r="E1922" t="s">
        <v>61</v>
      </c>
      <c r="F1922" t="s">
        <v>100</v>
      </c>
      <c r="G1922" t="s">
        <v>194</v>
      </c>
      <c r="H1922" s="2">
        <v>0.21111111111111111</v>
      </c>
      <c r="I1922" s="2">
        <v>0.23680555555555555</v>
      </c>
      <c r="J1922">
        <v>2</v>
      </c>
      <c r="K1922">
        <v>23</v>
      </c>
      <c r="L1922" t="s">
        <v>45</v>
      </c>
      <c r="M1922">
        <v>19.2</v>
      </c>
      <c r="N1922">
        <v>78</v>
      </c>
      <c r="O1922">
        <v>21</v>
      </c>
      <c r="P1922">
        <v>12.4</v>
      </c>
      <c r="Q1922" t="s">
        <v>59</v>
      </c>
      <c r="R1922">
        <v>0</v>
      </c>
      <c r="S1922">
        <v>31</v>
      </c>
      <c r="T1922">
        <v>0</v>
      </c>
      <c r="U1922">
        <v>0</v>
      </c>
      <c r="V1922">
        <v>5</v>
      </c>
      <c r="W1922" t="s">
        <v>72</v>
      </c>
      <c r="X1922">
        <v>1</v>
      </c>
      <c r="Y1922" t="str">
        <f t="shared" ref="Y1922:Y1985" si="30">IF(S1922&lt;=33,"Low",IF(S1922&lt;=66,"Medium","High"))</f>
        <v>Low</v>
      </c>
    </row>
    <row r="1923" spans="1:25">
      <c r="A1923" t="s">
        <v>2036</v>
      </c>
      <c r="B1923" s="1">
        <v>44947</v>
      </c>
      <c r="C1923" s="2">
        <v>0.21875</v>
      </c>
      <c r="D1923" t="s">
        <v>41</v>
      </c>
      <c r="E1923" t="s">
        <v>93</v>
      </c>
      <c r="F1923" t="s">
        <v>151</v>
      </c>
      <c r="G1923" t="s">
        <v>49</v>
      </c>
      <c r="H1923" s="2">
        <v>0.22083333333333333</v>
      </c>
      <c r="I1923" s="2">
        <v>0.25833333333333336</v>
      </c>
      <c r="J1923">
        <v>15</v>
      </c>
      <c r="K1923">
        <v>-3</v>
      </c>
      <c r="L1923" t="s">
        <v>38</v>
      </c>
      <c r="M1923">
        <v>34.6</v>
      </c>
      <c r="N1923">
        <v>46</v>
      </c>
      <c r="O1923">
        <v>6</v>
      </c>
      <c r="P1923">
        <v>3.6</v>
      </c>
      <c r="Q1923" t="s">
        <v>31</v>
      </c>
      <c r="R1923">
        <v>0</v>
      </c>
      <c r="S1923">
        <v>35</v>
      </c>
      <c r="T1923">
        <v>0</v>
      </c>
      <c r="U1923">
        <v>0</v>
      </c>
      <c r="V1923">
        <v>5</v>
      </c>
      <c r="W1923" t="s">
        <v>72</v>
      </c>
      <c r="X1923">
        <v>0</v>
      </c>
      <c r="Y1923" t="str">
        <f t="shared" si="30"/>
        <v>Medium</v>
      </c>
    </row>
    <row r="1924" spans="1:25">
      <c r="A1924" t="s">
        <v>2037</v>
      </c>
      <c r="B1924" s="1">
        <v>44947</v>
      </c>
      <c r="C1924" s="2">
        <v>0.22916666666666666</v>
      </c>
      <c r="D1924" t="s">
        <v>34</v>
      </c>
      <c r="E1924" t="s">
        <v>52</v>
      </c>
      <c r="F1924" t="s">
        <v>99</v>
      </c>
      <c r="G1924" t="s">
        <v>49</v>
      </c>
      <c r="H1924" s="2">
        <v>0.22916666666666666</v>
      </c>
      <c r="I1924" s="2">
        <v>0.25555555555555554</v>
      </c>
      <c r="J1924">
        <v>1</v>
      </c>
      <c r="K1924">
        <v>13</v>
      </c>
      <c r="L1924" t="s">
        <v>77</v>
      </c>
      <c r="M1924">
        <v>5.6</v>
      </c>
      <c r="N1924">
        <v>83</v>
      </c>
      <c r="O1924">
        <v>12</v>
      </c>
      <c r="P1924">
        <v>4.2</v>
      </c>
      <c r="Q1924" t="s">
        <v>46</v>
      </c>
      <c r="R1924">
        <v>0</v>
      </c>
      <c r="S1924">
        <v>15</v>
      </c>
      <c r="T1924">
        <v>0</v>
      </c>
      <c r="U1924">
        <v>0</v>
      </c>
      <c r="V1924">
        <v>5</v>
      </c>
      <c r="W1924" t="s">
        <v>39</v>
      </c>
      <c r="X1924">
        <v>1</v>
      </c>
      <c r="Y1924" t="str">
        <f t="shared" si="30"/>
        <v>Low</v>
      </c>
    </row>
    <row r="1925" spans="1:25">
      <c r="A1925" t="s">
        <v>2038</v>
      </c>
      <c r="B1925" s="1">
        <v>44947</v>
      </c>
      <c r="C1925" s="2">
        <v>0.23958333333333334</v>
      </c>
      <c r="D1925" t="s">
        <v>26</v>
      </c>
      <c r="E1925" t="s">
        <v>52</v>
      </c>
      <c r="F1925" t="s">
        <v>123</v>
      </c>
      <c r="G1925" t="s">
        <v>80</v>
      </c>
      <c r="H1925" s="2">
        <v>0.23958333333333334</v>
      </c>
      <c r="I1925" s="2">
        <v>0.2638888888888889</v>
      </c>
      <c r="J1925">
        <v>-1</v>
      </c>
      <c r="K1925">
        <v>10</v>
      </c>
      <c r="L1925" t="s">
        <v>30</v>
      </c>
      <c r="M1925">
        <v>-2.5</v>
      </c>
      <c r="N1925">
        <v>73</v>
      </c>
      <c r="O1925">
        <v>44</v>
      </c>
      <c r="P1925">
        <v>0.1</v>
      </c>
      <c r="Q1925" t="s">
        <v>71</v>
      </c>
      <c r="R1925">
        <v>0</v>
      </c>
      <c r="S1925">
        <v>11</v>
      </c>
      <c r="T1925">
        <v>0</v>
      </c>
      <c r="U1925">
        <v>0</v>
      </c>
      <c r="V1925">
        <v>5</v>
      </c>
      <c r="W1925" t="s">
        <v>39</v>
      </c>
      <c r="X1925">
        <v>1</v>
      </c>
      <c r="Y1925" t="str">
        <f t="shared" si="30"/>
        <v>Low</v>
      </c>
    </row>
    <row r="1926" spans="1:25">
      <c r="A1926" t="s">
        <v>2039</v>
      </c>
      <c r="B1926" s="1">
        <v>44947</v>
      </c>
      <c r="C1926" s="2">
        <v>0.25</v>
      </c>
      <c r="D1926" t="s">
        <v>74</v>
      </c>
      <c r="E1926" t="s">
        <v>61</v>
      </c>
      <c r="F1926" t="s">
        <v>69</v>
      </c>
      <c r="G1926" t="s">
        <v>135</v>
      </c>
      <c r="H1926" s="2">
        <v>0.25069444444444444</v>
      </c>
      <c r="I1926" s="2">
        <v>0.28472222222222221</v>
      </c>
      <c r="J1926">
        <v>0</v>
      </c>
      <c r="K1926">
        <v>13</v>
      </c>
      <c r="L1926" t="s">
        <v>84</v>
      </c>
      <c r="M1926">
        <v>-3.7</v>
      </c>
      <c r="N1926">
        <v>61</v>
      </c>
      <c r="O1926">
        <v>51</v>
      </c>
      <c r="P1926">
        <v>14.2</v>
      </c>
      <c r="Q1926" t="s">
        <v>63</v>
      </c>
      <c r="R1926">
        <v>0</v>
      </c>
      <c r="S1926">
        <v>40</v>
      </c>
      <c r="T1926">
        <v>1</v>
      </c>
      <c r="U1926">
        <v>1</v>
      </c>
      <c r="V1926">
        <v>5</v>
      </c>
      <c r="W1926" t="s">
        <v>55</v>
      </c>
      <c r="X1926">
        <v>1</v>
      </c>
      <c r="Y1926" t="str">
        <f t="shared" si="30"/>
        <v>Medium</v>
      </c>
    </row>
    <row r="1927" spans="1:25">
      <c r="A1927" t="s">
        <v>2040</v>
      </c>
      <c r="B1927" s="1">
        <v>44947</v>
      </c>
      <c r="C1927" s="2">
        <v>0.26041666666666669</v>
      </c>
      <c r="D1927" t="s">
        <v>41</v>
      </c>
      <c r="E1927" t="s">
        <v>89</v>
      </c>
      <c r="F1927" t="s">
        <v>123</v>
      </c>
      <c r="G1927" t="s">
        <v>203</v>
      </c>
      <c r="H1927" s="2">
        <v>0.26250000000000001</v>
      </c>
      <c r="I1927" s="2">
        <v>0.27569444444444446</v>
      </c>
      <c r="J1927">
        <v>9</v>
      </c>
      <c r="K1927">
        <v>-1</v>
      </c>
      <c r="L1927" t="s">
        <v>45</v>
      </c>
      <c r="M1927">
        <v>23.4</v>
      </c>
      <c r="N1927">
        <v>64</v>
      </c>
      <c r="O1927">
        <v>22</v>
      </c>
      <c r="P1927">
        <v>9.6999999999999993</v>
      </c>
      <c r="Q1927" t="s">
        <v>31</v>
      </c>
      <c r="R1927">
        <v>0</v>
      </c>
      <c r="S1927">
        <v>66</v>
      </c>
      <c r="T1927">
        <v>0</v>
      </c>
      <c r="U1927">
        <v>0</v>
      </c>
      <c r="V1927">
        <v>5</v>
      </c>
      <c r="W1927" t="s">
        <v>55</v>
      </c>
      <c r="X1927">
        <v>0</v>
      </c>
      <c r="Y1927" t="str">
        <f t="shared" si="30"/>
        <v>Medium</v>
      </c>
    </row>
    <row r="1928" spans="1:25">
      <c r="A1928" t="s">
        <v>2041</v>
      </c>
      <c r="B1928" s="1">
        <v>44947</v>
      </c>
      <c r="C1928" s="2">
        <v>0.27083333333333331</v>
      </c>
      <c r="D1928" t="s">
        <v>41</v>
      </c>
      <c r="E1928" t="s">
        <v>161</v>
      </c>
      <c r="F1928" t="s">
        <v>113</v>
      </c>
      <c r="G1928" t="s">
        <v>75</v>
      </c>
      <c r="H1928" s="2">
        <v>0.27152777777777776</v>
      </c>
      <c r="I1928" s="2">
        <v>0.3</v>
      </c>
      <c r="J1928">
        <v>0</v>
      </c>
      <c r="K1928">
        <v>21</v>
      </c>
      <c r="L1928" t="s">
        <v>30</v>
      </c>
      <c r="M1928">
        <v>28.2</v>
      </c>
      <c r="N1928">
        <v>78</v>
      </c>
      <c r="O1928">
        <v>20</v>
      </c>
      <c r="P1928">
        <v>19</v>
      </c>
      <c r="Q1928" t="s">
        <v>63</v>
      </c>
      <c r="R1928">
        <v>500</v>
      </c>
      <c r="S1928">
        <v>57</v>
      </c>
      <c r="T1928">
        <v>0</v>
      </c>
      <c r="U1928">
        <v>0</v>
      </c>
      <c r="V1928">
        <v>5</v>
      </c>
      <c r="W1928" t="s">
        <v>55</v>
      </c>
      <c r="X1928">
        <v>1</v>
      </c>
      <c r="Y1928" t="str">
        <f t="shared" si="30"/>
        <v>Medium</v>
      </c>
    </row>
    <row r="1929" spans="1:25">
      <c r="A1929" t="s">
        <v>2042</v>
      </c>
      <c r="B1929" s="1">
        <v>44947</v>
      </c>
      <c r="C1929" s="2">
        <v>0.28125</v>
      </c>
      <c r="D1929" t="s">
        <v>26</v>
      </c>
      <c r="E1929" t="s">
        <v>157</v>
      </c>
      <c r="F1929" t="s">
        <v>81</v>
      </c>
      <c r="G1929" t="s">
        <v>58</v>
      </c>
      <c r="H1929" s="2">
        <v>0.28263888888888888</v>
      </c>
      <c r="I1929" s="2">
        <v>0.30694444444444446</v>
      </c>
      <c r="J1929">
        <v>1</v>
      </c>
      <c r="K1929">
        <v>-2</v>
      </c>
      <c r="L1929" t="s">
        <v>38</v>
      </c>
      <c r="M1929">
        <v>20.399999999999999</v>
      </c>
      <c r="N1929">
        <v>83</v>
      </c>
      <c r="O1929">
        <v>5</v>
      </c>
      <c r="P1929">
        <v>14.3</v>
      </c>
      <c r="Q1929" t="s">
        <v>46</v>
      </c>
      <c r="R1929">
        <v>0</v>
      </c>
      <c r="S1929">
        <v>90</v>
      </c>
      <c r="T1929">
        <v>1</v>
      </c>
      <c r="U1929">
        <v>0</v>
      </c>
      <c r="V1929">
        <v>5</v>
      </c>
      <c r="W1929" t="s">
        <v>39</v>
      </c>
      <c r="X1929">
        <v>0</v>
      </c>
      <c r="Y1929" t="str">
        <f t="shared" si="30"/>
        <v>High</v>
      </c>
    </row>
    <row r="1930" spans="1:25">
      <c r="A1930" t="s">
        <v>2043</v>
      </c>
      <c r="B1930" s="1">
        <v>44947</v>
      </c>
      <c r="C1930" s="2">
        <v>0.29166666666666669</v>
      </c>
      <c r="D1930" t="s">
        <v>34</v>
      </c>
      <c r="E1930" t="s">
        <v>130</v>
      </c>
      <c r="F1930" t="s">
        <v>122</v>
      </c>
      <c r="G1930" t="s">
        <v>66</v>
      </c>
      <c r="H1930" s="2">
        <v>0.29166666666666669</v>
      </c>
      <c r="I1930" s="2">
        <v>0.32291666666666669</v>
      </c>
      <c r="J1930">
        <v>3</v>
      </c>
      <c r="K1930">
        <v>22</v>
      </c>
      <c r="L1930" t="s">
        <v>30</v>
      </c>
      <c r="M1930">
        <v>31.2</v>
      </c>
      <c r="N1930">
        <v>45</v>
      </c>
      <c r="O1930">
        <v>19</v>
      </c>
      <c r="P1930">
        <v>2.1</v>
      </c>
      <c r="Q1930" t="s">
        <v>46</v>
      </c>
      <c r="R1930">
        <v>0</v>
      </c>
      <c r="S1930">
        <v>90</v>
      </c>
      <c r="T1930">
        <v>0</v>
      </c>
      <c r="U1930">
        <v>0</v>
      </c>
      <c r="V1930">
        <v>5</v>
      </c>
      <c r="W1930" t="s">
        <v>55</v>
      </c>
      <c r="X1930">
        <v>1</v>
      </c>
      <c r="Y1930" t="str">
        <f t="shared" si="30"/>
        <v>High</v>
      </c>
    </row>
    <row r="1931" spans="1:25">
      <c r="A1931" t="s">
        <v>2044</v>
      </c>
      <c r="B1931" s="1">
        <v>44947</v>
      </c>
      <c r="C1931" s="2">
        <v>0.30208333333333331</v>
      </c>
      <c r="D1931" t="s">
        <v>26</v>
      </c>
      <c r="E1931" t="s">
        <v>141</v>
      </c>
      <c r="F1931" t="s">
        <v>123</v>
      </c>
      <c r="G1931" t="s">
        <v>37</v>
      </c>
      <c r="H1931" s="2">
        <v>0.3034722222222222</v>
      </c>
      <c r="I1931" s="2">
        <v>0.32430555555555557</v>
      </c>
      <c r="J1931">
        <v>9</v>
      </c>
      <c r="K1931">
        <v>27</v>
      </c>
      <c r="L1931" t="s">
        <v>45</v>
      </c>
      <c r="M1931">
        <v>22.9</v>
      </c>
      <c r="N1931">
        <v>41</v>
      </c>
      <c r="O1931">
        <v>11</v>
      </c>
      <c r="P1931">
        <v>3.2</v>
      </c>
      <c r="Q1931" t="s">
        <v>31</v>
      </c>
      <c r="R1931">
        <v>0</v>
      </c>
      <c r="S1931">
        <v>8</v>
      </c>
      <c r="T1931">
        <v>0</v>
      </c>
      <c r="U1931">
        <v>0</v>
      </c>
      <c r="V1931">
        <v>5</v>
      </c>
      <c r="W1931" t="s">
        <v>39</v>
      </c>
      <c r="X1931">
        <v>1</v>
      </c>
      <c r="Y1931" t="str">
        <f t="shared" si="30"/>
        <v>Low</v>
      </c>
    </row>
    <row r="1932" spans="1:25">
      <c r="A1932" t="s">
        <v>2045</v>
      </c>
      <c r="B1932" s="1">
        <v>44947</v>
      </c>
      <c r="C1932" s="2">
        <v>0.3125</v>
      </c>
      <c r="D1932" t="s">
        <v>34</v>
      </c>
      <c r="E1932" t="s">
        <v>52</v>
      </c>
      <c r="F1932" t="s">
        <v>37</v>
      </c>
      <c r="G1932" t="s">
        <v>53</v>
      </c>
      <c r="H1932" s="2">
        <v>0.31527777777777777</v>
      </c>
      <c r="I1932" s="2">
        <v>0.33819444444444446</v>
      </c>
      <c r="J1932">
        <v>16</v>
      </c>
      <c r="K1932">
        <v>5</v>
      </c>
      <c r="L1932" t="s">
        <v>54</v>
      </c>
      <c r="M1932">
        <v>9.8000000000000007</v>
      </c>
      <c r="N1932">
        <v>37</v>
      </c>
      <c r="O1932">
        <v>39</v>
      </c>
      <c r="P1932">
        <v>10</v>
      </c>
      <c r="Q1932" t="s">
        <v>31</v>
      </c>
      <c r="R1932">
        <v>0</v>
      </c>
      <c r="S1932">
        <v>16</v>
      </c>
      <c r="T1932">
        <v>0</v>
      </c>
      <c r="U1932">
        <v>0</v>
      </c>
      <c r="V1932">
        <v>5</v>
      </c>
      <c r="W1932" t="s">
        <v>39</v>
      </c>
      <c r="X1932">
        <v>0</v>
      </c>
      <c r="Y1932" t="str">
        <f t="shared" si="30"/>
        <v>Low</v>
      </c>
    </row>
    <row r="1933" spans="1:25">
      <c r="A1933" t="s">
        <v>2046</v>
      </c>
      <c r="B1933" s="1">
        <v>44947</v>
      </c>
      <c r="C1933" s="2">
        <v>0.32291666666666669</v>
      </c>
      <c r="D1933" t="s">
        <v>34</v>
      </c>
      <c r="E1933" t="s">
        <v>89</v>
      </c>
      <c r="F1933" t="s">
        <v>87</v>
      </c>
      <c r="G1933" t="s">
        <v>70</v>
      </c>
      <c r="H1933" s="2">
        <v>0.32291666666666669</v>
      </c>
      <c r="I1933" s="2">
        <v>0.33819444444444446</v>
      </c>
      <c r="J1933">
        <v>7</v>
      </c>
      <c r="K1933">
        <v>26</v>
      </c>
      <c r="L1933" t="s">
        <v>77</v>
      </c>
      <c r="M1933">
        <v>2.2999999999999998</v>
      </c>
      <c r="N1933">
        <v>50</v>
      </c>
      <c r="O1933">
        <v>8</v>
      </c>
      <c r="P1933">
        <v>18.5</v>
      </c>
      <c r="Q1933" t="s">
        <v>31</v>
      </c>
      <c r="R1933">
        <v>0</v>
      </c>
      <c r="S1933">
        <v>4</v>
      </c>
      <c r="T1933">
        <v>1</v>
      </c>
      <c r="U1933">
        <v>0</v>
      </c>
      <c r="V1933">
        <v>5</v>
      </c>
      <c r="W1933" t="s">
        <v>32</v>
      </c>
      <c r="X1933">
        <v>1</v>
      </c>
      <c r="Y1933" t="str">
        <f t="shared" si="30"/>
        <v>Low</v>
      </c>
    </row>
    <row r="1934" spans="1:25">
      <c r="A1934" t="s">
        <v>2047</v>
      </c>
      <c r="B1934" s="1">
        <v>44947</v>
      </c>
      <c r="C1934" s="2">
        <v>0.33333333333333331</v>
      </c>
      <c r="D1934" t="s">
        <v>41</v>
      </c>
      <c r="E1934" t="s">
        <v>141</v>
      </c>
      <c r="F1934" t="s">
        <v>99</v>
      </c>
      <c r="G1934" t="s">
        <v>128</v>
      </c>
      <c r="H1934" s="2">
        <v>0.3347222222222222</v>
      </c>
      <c r="I1934" s="2">
        <v>0.36249999999999999</v>
      </c>
      <c r="J1934">
        <v>-2</v>
      </c>
      <c r="K1934">
        <v>16</v>
      </c>
      <c r="L1934" t="s">
        <v>30</v>
      </c>
      <c r="M1934">
        <v>32</v>
      </c>
      <c r="N1934">
        <v>77</v>
      </c>
      <c r="O1934">
        <v>49</v>
      </c>
      <c r="P1934">
        <v>4.9000000000000004</v>
      </c>
      <c r="Q1934" t="s">
        <v>31</v>
      </c>
      <c r="R1934">
        <v>0</v>
      </c>
      <c r="S1934">
        <v>25</v>
      </c>
      <c r="T1934">
        <v>0</v>
      </c>
      <c r="U1934">
        <v>1</v>
      </c>
      <c r="V1934">
        <v>5</v>
      </c>
      <c r="W1934" t="s">
        <v>55</v>
      </c>
      <c r="X1934">
        <v>1</v>
      </c>
      <c r="Y1934" t="str">
        <f t="shared" si="30"/>
        <v>Low</v>
      </c>
    </row>
    <row r="1935" spans="1:25">
      <c r="A1935" t="s">
        <v>2048</v>
      </c>
      <c r="B1935" s="1">
        <v>44947</v>
      </c>
      <c r="C1935" s="2">
        <v>0.34375</v>
      </c>
      <c r="D1935" t="s">
        <v>26</v>
      </c>
      <c r="E1935" t="s">
        <v>111</v>
      </c>
      <c r="F1935" t="s">
        <v>58</v>
      </c>
      <c r="G1935" t="s">
        <v>95</v>
      </c>
      <c r="H1935" s="2">
        <v>0.34652777777777777</v>
      </c>
      <c r="I1935" s="2">
        <v>0.35902777777777778</v>
      </c>
      <c r="J1935">
        <v>14</v>
      </c>
      <c r="K1935">
        <v>17</v>
      </c>
      <c r="L1935" t="s">
        <v>45</v>
      </c>
      <c r="M1935">
        <v>-0.9</v>
      </c>
      <c r="N1935">
        <v>37</v>
      </c>
      <c r="O1935">
        <v>27</v>
      </c>
      <c r="P1935">
        <v>16.5</v>
      </c>
      <c r="Q1935" t="s">
        <v>31</v>
      </c>
      <c r="R1935">
        <v>500</v>
      </c>
      <c r="S1935">
        <v>84</v>
      </c>
      <c r="T1935">
        <v>0</v>
      </c>
      <c r="U1935">
        <v>0</v>
      </c>
      <c r="V1935">
        <v>5</v>
      </c>
      <c r="W1935" t="s">
        <v>32</v>
      </c>
      <c r="X1935">
        <v>1</v>
      </c>
      <c r="Y1935" t="str">
        <f t="shared" si="30"/>
        <v>High</v>
      </c>
    </row>
    <row r="1936" spans="1:25">
      <c r="A1936" t="s">
        <v>2049</v>
      </c>
      <c r="B1936" s="1">
        <v>44947</v>
      </c>
      <c r="C1936" s="2">
        <v>0.35416666666666669</v>
      </c>
      <c r="D1936" t="s">
        <v>26</v>
      </c>
      <c r="E1936" t="s">
        <v>111</v>
      </c>
      <c r="F1936" t="s">
        <v>80</v>
      </c>
      <c r="G1936" t="s">
        <v>96</v>
      </c>
      <c r="H1936" s="2">
        <v>0.35555555555555557</v>
      </c>
      <c r="I1936" s="2">
        <v>0.38472222222222224</v>
      </c>
      <c r="J1936">
        <v>13</v>
      </c>
      <c r="K1936">
        <v>25</v>
      </c>
      <c r="L1936" t="s">
        <v>45</v>
      </c>
      <c r="M1936">
        <v>16.7</v>
      </c>
      <c r="N1936">
        <v>57</v>
      </c>
      <c r="O1936">
        <v>10</v>
      </c>
      <c r="P1936">
        <v>6.2</v>
      </c>
      <c r="Q1936" t="s">
        <v>63</v>
      </c>
      <c r="R1936">
        <v>0</v>
      </c>
      <c r="S1936">
        <v>0</v>
      </c>
      <c r="T1936">
        <v>0</v>
      </c>
      <c r="U1936">
        <v>0</v>
      </c>
      <c r="V1936">
        <v>5</v>
      </c>
      <c r="W1936" t="s">
        <v>32</v>
      </c>
      <c r="X1936">
        <v>1</v>
      </c>
      <c r="Y1936" t="str">
        <f t="shared" si="30"/>
        <v>Low</v>
      </c>
    </row>
    <row r="1937" spans="1:25">
      <c r="A1937" t="s">
        <v>2050</v>
      </c>
      <c r="B1937" s="1">
        <v>44947</v>
      </c>
      <c r="C1937" s="2">
        <v>0.36458333333333331</v>
      </c>
      <c r="D1937" t="s">
        <v>34</v>
      </c>
      <c r="E1937" t="s">
        <v>157</v>
      </c>
      <c r="F1937" t="s">
        <v>69</v>
      </c>
      <c r="G1937" t="s">
        <v>76</v>
      </c>
      <c r="H1937" s="2">
        <v>0.36736111111111114</v>
      </c>
      <c r="I1937" s="2">
        <v>0.39652777777777776</v>
      </c>
      <c r="J1937">
        <v>6</v>
      </c>
      <c r="K1937">
        <v>21</v>
      </c>
      <c r="L1937" t="s">
        <v>84</v>
      </c>
      <c r="M1937">
        <v>7.6</v>
      </c>
      <c r="N1937">
        <v>39</v>
      </c>
      <c r="O1937">
        <v>51</v>
      </c>
      <c r="P1937">
        <v>5.4</v>
      </c>
      <c r="Q1937" t="s">
        <v>31</v>
      </c>
      <c r="R1937">
        <v>0</v>
      </c>
      <c r="S1937">
        <v>0</v>
      </c>
      <c r="T1937">
        <v>0</v>
      </c>
      <c r="U1937">
        <v>0</v>
      </c>
      <c r="V1937">
        <v>5</v>
      </c>
      <c r="W1937" t="s">
        <v>55</v>
      </c>
      <c r="X1937">
        <v>1</v>
      </c>
      <c r="Y1937" t="str">
        <f t="shared" si="30"/>
        <v>Low</v>
      </c>
    </row>
    <row r="1938" spans="1:25">
      <c r="A1938" t="s">
        <v>2051</v>
      </c>
      <c r="B1938" s="1">
        <v>44947</v>
      </c>
      <c r="C1938" s="2">
        <v>0.375</v>
      </c>
      <c r="D1938" t="s">
        <v>26</v>
      </c>
      <c r="E1938" t="s">
        <v>68</v>
      </c>
      <c r="F1938" t="s">
        <v>194</v>
      </c>
      <c r="G1938" t="s">
        <v>128</v>
      </c>
      <c r="H1938" s="2">
        <v>0.37777777777777777</v>
      </c>
      <c r="I1938" s="2">
        <v>0.40694444444444444</v>
      </c>
      <c r="J1938">
        <v>18</v>
      </c>
      <c r="K1938">
        <v>21</v>
      </c>
      <c r="L1938" t="s">
        <v>54</v>
      </c>
      <c r="M1938">
        <v>5.9</v>
      </c>
      <c r="N1938">
        <v>81</v>
      </c>
      <c r="O1938">
        <v>31</v>
      </c>
      <c r="P1938">
        <v>18</v>
      </c>
      <c r="Q1938" t="s">
        <v>31</v>
      </c>
      <c r="R1938">
        <v>2000</v>
      </c>
      <c r="S1938">
        <v>34</v>
      </c>
      <c r="T1938">
        <v>0</v>
      </c>
      <c r="U1938">
        <v>0</v>
      </c>
      <c r="V1938">
        <v>5</v>
      </c>
      <c r="W1938" t="s">
        <v>39</v>
      </c>
      <c r="X1938">
        <v>1</v>
      </c>
      <c r="Y1938" t="str">
        <f t="shared" si="30"/>
        <v>Medium</v>
      </c>
    </row>
    <row r="1939" spans="1:25">
      <c r="A1939" t="s">
        <v>2052</v>
      </c>
      <c r="B1939" s="1">
        <v>44947</v>
      </c>
      <c r="C1939" s="2">
        <v>0.38541666666666669</v>
      </c>
      <c r="D1939" t="s">
        <v>74</v>
      </c>
      <c r="E1939" t="s">
        <v>147</v>
      </c>
      <c r="F1939" t="s">
        <v>100</v>
      </c>
      <c r="G1939" t="s">
        <v>90</v>
      </c>
      <c r="H1939" s="2">
        <v>0.38541666666666669</v>
      </c>
      <c r="I1939" s="2">
        <v>0.42569444444444443</v>
      </c>
      <c r="J1939">
        <v>6</v>
      </c>
      <c r="K1939">
        <v>5</v>
      </c>
      <c r="L1939" t="s">
        <v>84</v>
      </c>
      <c r="M1939">
        <v>20.8</v>
      </c>
      <c r="N1939">
        <v>44</v>
      </c>
      <c r="O1939">
        <v>10</v>
      </c>
      <c r="P1939">
        <v>0.9</v>
      </c>
      <c r="Q1939" t="s">
        <v>31</v>
      </c>
      <c r="R1939">
        <v>0</v>
      </c>
      <c r="S1939">
        <v>8</v>
      </c>
      <c r="T1939">
        <v>0</v>
      </c>
      <c r="U1939">
        <v>0</v>
      </c>
      <c r="V1939">
        <v>5</v>
      </c>
      <c r="W1939" t="s">
        <v>39</v>
      </c>
      <c r="X1939">
        <v>0</v>
      </c>
      <c r="Y1939" t="str">
        <f t="shared" si="30"/>
        <v>Low</v>
      </c>
    </row>
    <row r="1940" spans="1:25">
      <c r="A1940" t="s">
        <v>2053</v>
      </c>
      <c r="B1940" s="1">
        <v>44947</v>
      </c>
      <c r="C1940" s="2">
        <v>0.39583333333333331</v>
      </c>
      <c r="D1940" t="s">
        <v>74</v>
      </c>
      <c r="E1940" t="s">
        <v>130</v>
      </c>
      <c r="F1940" t="s">
        <v>83</v>
      </c>
      <c r="G1940" t="s">
        <v>176</v>
      </c>
      <c r="H1940" s="2">
        <v>0.39652777777777776</v>
      </c>
      <c r="I1940" s="2">
        <v>0.42638888888888887</v>
      </c>
      <c r="J1940">
        <v>6</v>
      </c>
      <c r="K1940">
        <v>22</v>
      </c>
      <c r="L1940" t="s">
        <v>54</v>
      </c>
      <c r="M1940">
        <v>4.2</v>
      </c>
      <c r="N1940">
        <v>33</v>
      </c>
      <c r="O1940">
        <v>23</v>
      </c>
      <c r="P1940">
        <v>13.2</v>
      </c>
      <c r="Q1940" t="s">
        <v>31</v>
      </c>
      <c r="R1940">
        <v>0</v>
      </c>
      <c r="S1940">
        <v>86</v>
      </c>
      <c r="T1940">
        <v>1</v>
      </c>
      <c r="U1940">
        <v>0</v>
      </c>
      <c r="V1940">
        <v>5</v>
      </c>
      <c r="W1940" t="s">
        <v>39</v>
      </c>
      <c r="X1940">
        <v>1</v>
      </c>
      <c r="Y1940" t="str">
        <f t="shared" si="30"/>
        <v>High</v>
      </c>
    </row>
    <row r="1941" spans="1:25">
      <c r="A1941" t="s">
        <v>2054</v>
      </c>
      <c r="B1941" s="1">
        <v>44947</v>
      </c>
      <c r="C1941" s="2">
        <v>0.40625</v>
      </c>
      <c r="D1941" t="s">
        <v>26</v>
      </c>
      <c r="E1941" t="s">
        <v>52</v>
      </c>
      <c r="F1941" t="s">
        <v>109</v>
      </c>
      <c r="G1941" t="s">
        <v>83</v>
      </c>
      <c r="H1941" s="2">
        <v>0.40902777777777777</v>
      </c>
      <c r="I1941" s="2">
        <v>0.43611111111111112</v>
      </c>
      <c r="J1941">
        <v>9</v>
      </c>
      <c r="K1941">
        <v>12</v>
      </c>
      <c r="L1941" t="s">
        <v>77</v>
      </c>
      <c r="M1941">
        <v>31.7</v>
      </c>
      <c r="N1941">
        <v>91</v>
      </c>
      <c r="O1941">
        <v>55</v>
      </c>
      <c r="P1941">
        <v>0.9</v>
      </c>
      <c r="Q1941" t="s">
        <v>31</v>
      </c>
      <c r="R1941">
        <v>10000</v>
      </c>
      <c r="S1941">
        <v>37</v>
      </c>
      <c r="T1941">
        <v>0</v>
      </c>
      <c r="U1941">
        <v>0</v>
      </c>
      <c r="V1941">
        <v>5</v>
      </c>
      <c r="W1941" t="s">
        <v>55</v>
      </c>
      <c r="X1941">
        <v>1</v>
      </c>
      <c r="Y1941" t="str">
        <f t="shared" si="30"/>
        <v>Medium</v>
      </c>
    </row>
    <row r="1942" spans="1:25">
      <c r="A1942" t="s">
        <v>2055</v>
      </c>
      <c r="B1942" s="1">
        <v>44947</v>
      </c>
      <c r="C1942" s="2">
        <v>0.41666666666666669</v>
      </c>
      <c r="D1942" t="s">
        <v>26</v>
      </c>
      <c r="E1942" t="s">
        <v>130</v>
      </c>
      <c r="F1942" t="s">
        <v>123</v>
      </c>
      <c r="G1942" t="s">
        <v>53</v>
      </c>
      <c r="H1942" s="2">
        <v>0.41944444444444445</v>
      </c>
      <c r="I1942" s="2">
        <v>0.43541666666666667</v>
      </c>
      <c r="J1942">
        <v>6</v>
      </c>
      <c r="K1942">
        <v>8</v>
      </c>
      <c r="L1942" t="s">
        <v>84</v>
      </c>
      <c r="M1942">
        <v>11.2</v>
      </c>
      <c r="N1942">
        <v>33</v>
      </c>
      <c r="O1942">
        <v>14</v>
      </c>
      <c r="P1942">
        <v>16</v>
      </c>
      <c r="Q1942" t="s">
        <v>31</v>
      </c>
      <c r="R1942">
        <v>0</v>
      </c>
      <c r="S1942">
        <v>3</v>
      </c>
      <c r="T1942">
        <v>0</v>
      </c>
      <c r="U1942">
        <v>0</v>
      </c>
      <c r="V1942">
        <v>5</v>
      </c>
      <c r="W1942" t="s">
        <v>39</v>
      </c>
      <c r="X1942">
        <v>1</v>
      </c>
      <c r="Y1942" t="str">
        <f t="shared" si="30"/>
        <v>Low</v>
      </c>
    </row>
    <row r="1943" spans="1:25">
      <c r="A1943" t="s">
        <v>2056</v>
      </c>
      <c r="B1943" s="1">
        <v>44947</v>
      </c>
      <c r="C1943" s="2">
        <v>0.42708333333333331</v>
      </c>
      <c r="D1943" t="s">
        <v>34</v>
      </c>
      <c r="E1943" t="s">
        <v>111</v>
      </c>
      <c r="F1943" t="s">
        <v>37</v>
      </c>
      <c r="G1943" t="s">
        <v>44</v>
      </c>
      <c r="H1943" s="2">
        <v>0.42708333333333331</v>
      </c>
      <c r="I1943" s="2">
        <v>0.4465277777777778</v>
      </c>
      <c r="J1943">
        <v>12</v>
      </c>
      <c r="K1943">
        <v>20</v>
      </c>
      <c r="L1943" t="s">
        <v>77</v>
      </c>
      <c r="M1943">
        <v>22.1</v>
      </c>
      <c r="N1943">
        <v>70</v>
      </c>
      <c r="O1943">
        <v>40</v>
      </c>
      <c r="P1943">
        <v>16.600000000000001</v>
      </c>
      <c r="Q1943" t="s">
        <v>31</v>
      </c>
      <c r="R1943">
        <v>50000</v>
      </c>
      <c r="S1943">
        <v>51</v>
      </c>
      <c r="T1943">
        <v>0</v>
      </c>
      <c r="U1943">
        <v>0</v>
      </c>
      <c r="V1943">
        <v>5</v>
      </c>
      <c r="W1943" t="s">
        <v>32</v>
      </c>
      <c r="X1943">
        <v>1</v>
      </c>
      <c r="Y1943" t="str">
        <f t="shared" si="30"/>
        <v>Medium</v>
      </c>
    </row>
    <row r="1944" spans="1:25">
      <c r="A1944" t="s">
        <v>2057</v>
      </c>
      <c r="B1944" s="1">
        <v>44947</v>
      </c>
      <c r="C1944" s="2">
        <v>0.4375</v>
      </c>
      <c r="D1944" t="s">
        <v>74</v>
      </c>
      <c r="E1944" t="s">
        <v>93</v>
      </c>
      <c r="F1944" t="s">
        <v>122</v>
      </c>
      <c r="G1944" t="s">
        <v>194</v>
      </c>
      <c r="H1944" s="2">
        <v>0.43819444444444444</v>
      </c>
      <c r="I1944" s="2">
        <v>0.47638888888888886</v>
      </c>
      <c r="J1944">
        <v>-1</v>
      </c>
      <c r="K1944">
        <v>22</v>
      </c>
      <c r="L1944" t="s">
        <v>38</v>
      </c>
      <c r="M1944">
        <v>24.1</v>
      </c>
      <c r="N1944">
        <v>84</v>
      </c>
      <c r="O1944">
        <v>34</v>
      </c>
      <c r="P1944">
        <v>17.899999999999999</v>
      </c>
      <c r="Q1944" t="s">
        <v>46</v>
      </c>
      <c r="R1944">
        <v>50000</v>
      </c>
      <c r="S1944">
        <v>18</v>
      </c>
      <c r="T1944">
        <v>0</v>
      </c>
      <c r="U1944">
        <v>0</v>
      </c>
      <c r="V1944">
        <v>5</v>
      </c>
      <c r="W1944" t="s">
        <v>72</v>
      </c>
      <c r="X1944">
        <v>1</v>
      </c>
      <c r="Y1944" t="str">
        <f t="shared" si="30"/>
        <v>Low</v>
      </c>
    </row>
    <row r="1945" spans="1:25">
      <c r="A1945" t="s">
        <v>2058</v>
      </c>
      <c r="B1945" s="1">
        <v>44947</v>
      </c>
      <c r="C1945" s="2">
        <v>0.44791666666666669</v>
      </c>
      <c r="D1945" t="s">
        <v>74</v>
      </c>
      <c r="E1945" t="s">
        <v>93</v>
      </c>
      <c r="F1945" t="s">
        <v>128</v>
      </c>
      <c r="G1945" t="s">
        <v>58</v>
      </c>
      <c r="H1945" s="2">
        <v>0.45</v>
      </c>
      <c r="I1945" s="2">
        <v>0.48194444444444445</v>
      </c>
      <c r="J1945">
        <v>8</v>
      </c>
      <c r="K1945">
        <v>16</v>
      </c>
      <c r="L1945" t="s">
        <v>38</v>
      </c>
      <c r="M1945">
        <v>22.3</v>
      </c>
      <c r="N1945">
        <v>57</v>
      </c>
      <c r="O1945">
        <v>16</v>
      </c>
      <c r="P1945">
        <v>3.7</v>
      </c>
      <c r="Q1945" t="s">
        <v>31</v>
      </c>
      <c r="R1945">
        <v>0</v>
      </c>
      <c r="S1945">
        <v>4</v>
      </c>
      <c r="T1945">
        <v>1</v>
      </c>
      <c r="U1945">
        <v>0</v>
      </c>
      <c r="V1945">
        <v>5</v>
      </c>
      <c r="W1945" t="s">
        <v>55</v>
      </c>
      <c r="X1945">
        <v>1</v>
      </c>
      <c r="Y1945" t="str">
        <f t="shared" si="30"/>
        <v>Low</v>
      </c>
    </row>
    <row r="1946" spans="1:25">
      <c r="A1946" t="s">
        <v>2059</v>
      </c>
      <c r="B1946" s="1">
        <v>44947</v>
      </c>
      <c r="C1946" s="2">
        <v>0.45833333333333331</v>
      </c>
      <c r="D1946" t="s">
        <v>41</v>
      </c>
      <c r="E1946" t="s">
        <v>141</v>
      </c>
      <c r="F1946" t="s">
        <v>29</v>
      </c>
      <c r="G1946" t="s">
        <v>105</v>
      </c>
      <c r="H1946" s="2">
        <v>0.46041666666666664</v>
      </c>
      <c r="I1946" s="2">
        <v>0.48472222222222222</v>
      </c>
      <c r="J1946">
        <v>8</v>
      </c>
      <c r="K1946">
        <v>5</v>
      </c>
      <c r="L1946" t="s">
        <v>54</v>
      </c>
      <c r="M1946">
        <v>31.1</v>
      </c>
      <c r="N1946">
        <v>76</v>
      </c>
      <c r="O1946">
        <v>24</v>
      </c>
      <c r="P1946">
        <v>2.5</v>
      </c>
      <c r="Q1946" t="s">
        <v>101</v>
      </c>
      <c r="R1946">
        <v>10000</v>
      </c>
      <c r="S1946">
        <v>91</v>
      </c>
      <c r="T1946">
        <v>0</v>
      </c>
      <c r="U1946">
        <v>1</v>
      </c>
      <c r="V1946">
        <v>5</v>
      </c>
      <c r="W1946" t="s">
        <v>72</v>
      </c>
      <c r="X1946">
        <v>0</v>
      </c>
      <c r="Y1946" t="str">
        <f t="shared" si="30"/>
        <v>High</v>
      </c>
    </row>
    <row r="1947" spans="1:25">
      <c r="A1947" t="s">
        <v>2060</v>
      </c>
      <c r="B1947" s="1">
        <v>44947</v>
      </c>
      <c r="C1947" s="2">
        <v>0.46875</v>
      </c>
      <c r="D1947" t="s">
        <v>34</v>
      </c>
      <c r="E1947" t="s">
        <v>93</v>
      </c>
      <c r="F1947" t="s">
        <v>142</v>
      </c>
      <c r="G1947" t="s">
        <v>37</v>
      </c>
      <c r="H1947" s="2">
        <v>0.46944444444444444</v>
      </c>
      <c r="I1947" s="2">
        <v>0.49305555555555558</v>
      </c>
      <c r="J1947">
        <v>5</v>
      </c>
      <c r="K1947">
        <v>19</v>
      </c>
      <c r="L1947" t="s">
        <v>54</v>
      </c>
      <c r="M1947">
        <v>4.2</v>
      </c>
      <c r="N1947">
        <v>38</v>
      </c>
      <c r="O1947">
        <v>48</v>
      </c>
      <c r="P1947">
        <v>10.1</v>
      </c>
      <c r="Q1947" t="s">
        <v>63</v>
      </c>
      <c r="R1947">
        <v>2000</v>
      </c>
      <c r="S1947">
        <v>47</v>
      </c>
      <c r="T1947">
        <v>0</v>
      </c>
      <c r="U1947">
        <v>0</v>
      </c>
      <c r="V1947">
        <v>5</v>
      </c>
      <c r="W1947" t="s">
        <v>32</v>
      </c>
      <c r="X1947">
        <v>1</v>
      </c>
      <c r="Y1947" t="str">
        <f t="shared" si="30"/>
        <v>Medium</v>
      </c>
    </row>
    <row r="1948" spans="1:25">
      <c r="A1948" t="s">
        <v>2061</v>
      </c>
      <c r="B1948" s="1">
        <v>44947</v>
      </c>
      <c r="C1948" s="2">
        <v>0.47916666666666669</v>
      </c>
      <c r="D1948" t="s">
        <v>41</v>
      </c>
      <c r="E1948" t="s">
        <v>48</v>
      </c>
      <c r="F1948" t="s">
        <v>70</v>
      </c>
      <c r="G1948" t="s">
        <v>123</v>
      </c>
      <c r="H1948" s="2">
        <v>0.48055555555555557</v>
      </c>
      <c r="I1948" s="2">
        <v>0.50902777777777775</v>
      </c>
      <c r="J1948">
        <v>3</v>
      </c>
      <c r="K1948">
        <v>25</v>
      </c>
      <c r="L1948" t="s">
        <v>84</v>
      </c>
      <c r="M1948">
        <v>-1.6</v>
      </c>
      <c r="N1948">
        <v>31</v>
      </c>
      <c r="O1948">
        <v>34</v>
      </c>
      <c r="P1948">
        <v>5.4</v>
      </c>
      <c r="Q1948" t="s">
        <v>31</v>
      </c>
      <c r="R1948">
        <v>50000</v>
      </c>
      <c r="S1948">
        <v>86</v>
      </c>
      <c r="T1948">
        <v>0</v>
      </c>
      <c r="U1948">
        <v>0</v>
      </c>
      <c r="V1948">
        <v>5</v>
      </c>
      <c r="W1948" t="s">
        <v>72</v>
      </c>
      <c r="X1948">
        <v>1</v>
      </c>
      <c r="Y1948" t="str">
        <f t="shared" si="30"/>
        <v>High</v>
      </c>
    </row>
    <row r="1949" spans="1:25">
      <c r="A1949" t="s">
        <v>2062</v>
      </c>
      <c r="B1949" s="1">
        <v>44947</v>
      </c>
      <c r="C1949" s="2">
        <v>0.48958333333333331</v>
      </c>
      <c r="D1949" t="s">
        <v>74</v>
      </c>
      <c r="E1949" t="s">
        <v>68</v>
      </c>
      <c r="F1949" t="s">
        <v>87</v>
      </c>
      <c r="G1949" t="s">
        <v>53</v>
      </c>
      <c r="H1949" s="2">
        <v>0.48958333333333331</v>
      </c>
      <c r="I1949" s="2">
        <v>0.51736111111111116</v>
      </c>
      <c r="J1949">
        <v>18</v>
      </c>
      <c r="K1949">
        <v>27</v>
      </c>
      <c r="L1949" t="s">
        <v>38</v>
      </c>
      <c r="M1949">
        <v>-2.8</v>
      </c>
      <c r="N1949">
        <v>96</v>
      </c>
      <c r="O1949">
        <v>18</v>
      </c>
      <c r="P1949">
        <v>12.1</v>
      </c>
      <c r="Q1949" t="s">
        <v>59</v>
      </c>
      <c r="R1949">
        <v>500</v>
      </c>
      <c r="S1949">
        <v>62</v>
      </c>
      <c r="T1949">
        <v>0</v>
      </c>
      <c r="U1949">
        <v>1</v>
      </c>
      <c r="V1949">
        <v>5</v>
      </c>
      <c r="W1949" t="s">
        <v>32</v>
      </c>
      <c r="X1949">
        <v>1</v>
      </c>
      <c r="Y1949" t="str">
        <f t="shared" si="30"/>
        <v>Medium</v>
      </c>
    </row>
    <row r="1950" spans="1:25">
      <c r="A1950" t="s">
        <v>2063</v>
      </c>
      <c r="B1950" s="1">
        <v>44947</v>
      </c>
      <c r="C1950" s="2">
        <v>0.5</v>
      </c>
      <c r="D1950" t="s">
        <v>34</v>
      </c>
      <c r="E1950" t="s">
        <v>42</v>
      </c>
      <c r="F1950" t="s">
        <v>53</v>
      </c>
      <c r="G1950" t="s">
        <v>87</v>
      </c>
      <c r="H1950" s="2">
        <v>0.50069444444444444</v>
      </c>
      <c r="I1950" s="2">
        <v>0.53819444444444442</v>
      </c>
      <c r="J1950">
        <v>17</v>
      </c>
      <c r="K1950">
        <v>15</v>
      </c>
      <c r="L1950" t="s">
        <v>30</v>
      </c>
      <c r="M1950">
        <v>30.1</v>
      </c>
      <c r="N1950">
        <v>77</v>
      </c>
      <c r="O1950">
        <v>40</v>
      </c>
      <c r="P1950">
        <v>10.3</v>
      </c>
      <c r="Q1950" t="s">
        <v>31</v>
      </c>
      <c r="R1950">
        <v>500</v>
      </c>
      <c r="S1950">
        <v>37</v>
      </c>
      <c r="T1950">
        <v>0</v>
      </c>
      <c r="U1950">
        <v>0</v>
      </c>
      <c r="V1950">
        <v>5</v>
      </c>
      <c r="W1950" t="s">
        <v>72</v>
      </c>
      <c r="X1950">
        <v>1</v>
      </c>
      <c r="Y1950" t="str">
        <f t="shared" si="30"/>
        <v>Medium</v>
      </c>
    </row>
    <row r="1951" spans="1:25">
      <c r="A1951" t="s">
        <v>2064</v>
      </c>
      <c r="B1951" s="1">
        <v>44947</v>
      </c>
      <c r="C1951" s="2">
        <v>0.51041666666666663</v>
      </c>
      <c r="D1951" t="s">
        <v>26</v>
      </c>
      <c r="E1951" t="s">
        <v>141</v>
      </c>
      <c r="F1951" t="s">
        <v>151</v>
      </c>
      <c r="G1951" t="s">
        <v>122</v>
      </c>
      <c r="H1951" s="2">
        <v>0.51249999999999996</v>
      </c>
      <c r="I1951" s="2">
        <v>0.55138888888888893</v>
      </c>
      <c r="J1951">
        <v>4</v>
      </c>
      <c r="K1951">
        <v>16</v>
      </c>
      <c r="L1951" t="s">
        <v>30</v>
      </c>
      <c r="M1951">
        <v>33.9</v>
      </c>
      <c r="N1951">
        <v>98</v>
      </c>
      <c r="O1951">
        <v>30</v>
      </c>
      <c r="P1951">
        <v>2.9</v>
      </c>
      <c r="Q1951" t="s">
        <v>31</v>
      </c>
      <c r="R1951">
        <v>0</v>
      </c>
      <c r="S1951">
        <v>51</v>
      </c>
      <c r="T1951">
        <v>0</v>
      </c>
      <c r="U1951">
        <v>0</v>
      </c>
      <c r="V1951">
        <v>5</v>
      </c>
      <c r="W1951" t="s">
        <v>72</v>
      </c>
      <c r="X1951">
        <v>1</v>
      </c>
      <c r="Y1951" t="str">
        <f t="shared" si="30"/>
        <v>Medium</v>
      </c>
    </row>
    <row r="1952" spans="1:25">
      <c r="A1952" t="s">
        <v>2065</v>
      </c>
      <c r="B1952" s="1">
        <v>44947</v>
      </c>
      <c r="C1952" s="2">
        <v>0.52083333333333337</v>
      </c>
      <c r="D1952" t="s">
        <v>34</v>
      </c>
      <c r="E1952" t="s">
        <v>52</v>
      </c>
      <c r="F1952" t="s">
        <v>107</v>
      </c>
      <c r="G1952" t="s">
        <v>154</v>
      </c>
      <c r="H1952" s="2">
        <v>0.52361111111111114</v>
      </c>
      <c r="I1952" s="2">
        <v>0.56111111111111112</v>
      </c>
      <c r="J1952">
        <v>0</v>
      </c>
      <c r="K1952">
        <v>19</v>
      </c>
      <c r="L1952" t="s">
        <v>30</v>
      </c>
      <c r="M1952">
        <v>7.1</v>
      </c>
      <c r="N1952">
        <v>57</v>
      </c>
      <c r="O1952">
        <v>16</v>
      </c>
      <c r="P1952">
        <v>14.8</v>
      </c>
      <c r="Q1952" t="s">
        <v>31</v>
      </c>
      <c r="R1952">
        <v>0</v>
      </c>
      <c r="S1952">
        <v>86</v>
      </c>
      <c r="T1952">
        <v>0</v>
      </c>
      <c r="U1952">
        <v>1</v>
      </c>
      <c r="V1952">
        <v>5</v>
      </c>
      <c r="W1952" t="s">
        <v>39</v>
      </c>
      <c r="X1952">
        <v>1</v>
      </c>
      <c r="Y1952" t="str">
        <f t="shared" si="30"/>
        <v>High</v>
      </c>
    </row>
    <row r="1953" spans="1:25">
      <c r="A1953" t="s">
        <v>2066</v>
      </c>
      <c r="B1953" s="1">
        <v>44947</v>
      </c>
      <c r="C1953" s="2">
        <v>0.53125</v>
      </c>
      <c r="D1953" t="s">
        <v>26</v>
      </c>
      <c r="E1953" t="s">
        <v>57</v>
      </c>
      <c r="F1953" t="s">
        <v>58</v>
      </c>
      <c r="G1953" t="s">
        <v>29</v>
      </c>
      <c r="H1953" s="2">
        <v>0.53333333333333333</v>
      </c>
      <c r="I1953" s="2">
        <v>0.54861111111111116</v>
      </c>
      <c r="J1953">
        <v>5</v>
      </c>
      <c r="K1953">
        <v>23</v>
      </c>
      <c r="L1953" t="s">
        <v>38</v>
      </c>
      <c r="M1953">
        <v>22.7</v>
      </c>
      <c r="N1953">
        <v>43</v>
      </c>
      <c r="O1953">
        <v>54</v>
      </c>
      <c r="P1953">
        <v>16.100000000000001</v>
      </c>
      <c r="Q1953" t="s">
        <v>31</v>
      </c>
      <c r="R1953">
        <v>0</v>
      </c>
      <c r="S1953">
        <v>45</v>
      </c>
      <c r="T1953">
        <v>0</v>
      </c>
      <c r="U1953">
        <v>0</v>
      </c>
      <c r="V1953">
        <v>5</v>
      </c>
      <c r="W1953" t="s">
        <v>72</v>
      </c>
      <c r="X1953">
        <v>1</v>
      </c>
      <c r="Y1953" t="str">
        <f t="shared" si="30"/>
        <v>Medium</v>
      </c>
    </row>
    <row r="1954" spans="1:25">
      <c r="A1954" t="s">
        <v>2067</v>
      </c>
      <c r="B1954" s="1">
        <v>44947</v>
      </c>
      <c r="C1954" s="2">
        <v>0.54166666666666663</v>
      </c>
      <c r="D1954" t="s">
        <v>26</v>
      </c>
      <c r="E1954" t="s">
        <v>141</v>
      </c>
      <c r="F1954" t="s">
        <v>203</v>
      </c>
      <c r="G1954" t="s">
        <v>109</v>
      </c>
      <c r="H1954" s="2">
        <v>0.5444444444444444</v>
      </c>
      <c r="I1954" s="2">
        <v>0.55833333333333335</v>
      </c>
      <c r="J1954">
        <v>15</v>
      </c>
      <c r="K1954">
        <v>26</v>
      </c>
      <c r="L1954" t="s">
        <v>30</v>
      </c>
      <c r="M1954">
        <v>-4.5999999999999996</v>
      </c>
      <c r="N1954">
        <v>75</v>
      </c>
      <c r="O1954">
        <v>49</v>
      </c>
      <c r="P1954">
        <v>19.3</v>
      </c>
      <c r="Q1954" t="s">
        <v>63</v>
      </c>
      <c r="R1954">
        <v>0</v>
      </c>
      <c r="S1954">
        <v>81</v>
      </c>
      <c r="T1954">
        <v>0</v>
      </c>
      <c r="U1954">
        <v>1</v>
      </c>
      <c r="V1954">
        <v>5</v>
      </c>
      <c r="W1954" t="s">
        <v>32</v>
      </c>
      <c r="X1954">
        <v>1</v>
      </c>
      <c r="Y1954" t="str">
        <f t="shared" si="30"/>
        <v>High</v>
      </c>
    </row>
    <row r="1955" spans="1:25">
      <c r="A1955" t="s">
        <v>2068</v>
      </c>
      <c r="B1955" s="1">
        <v>44947</v>
      </c>
      <c r="C1955" s="2">
        <v>0.55208333333333337</v>
      </c>
      <c r="D1955" t="s">
        <v>34</v>
      </c>
      <c r="E1955" t="s">
        <v>98</v>
      </c>
      <c r="F1955" t="s">
        <v>105</v>
      </c>
      <c r="G1955" t="s">
        <v>107</v>
      </c>
      <c r="H1955" s="2">
        <v>0.55208333333333337</v>
      </c>
      <c r="I1955" s="2">
        <v>0.57499999999999996</v>
      </c>
      <c r="J1955">
        <v>14</v>
      </c>
      <c r="K1955">
        <v>17</v>
      </c>
      <c r="L1955" t="s">
        <v>77</v>
      </c>
      <c r="M1955">
        <v>2.5</v>
      </c>
      <c r="N1955">
        <v>42</v>
      </c>
      <c r="O1955">
        <v>22</v>
      </c>
      <c r="P1955">
        <v>7.9</v>
      </c>
      <c r="Q1955" t="s">
        <v>31</v>
      </c>
      <c r="R1955">
        <v>50000</v>
      </c>
      <c r="S1955">
        <v>92</v>
      </c>
      <c r="T1955">
        <v>0</v>
      </c>
      <c r="U1955">
        <v>0</v>
      </c>
      <c r="V1955">
        <v>5</v>
      </c>
      <c r="W1955" t="s">
        <v>32</v>
      </c>
      <c r="X1955">
        <v>1</v>
      </c>
      <c r="Y1955" t="str">
        <f t="shared" si="30"/>
        <v>High</v>
      </c>
    </row>
    <row r="1956" spans="1:25">
      <c r="A1956" t="s">
        <v>2069</v>
      </c>
      <c r="B1956" s="1">
        <v>44947</v>
      </c>
      <c r="C1956" s="2">
        <v>0.5625</v>
      </c>
      <c r="D1956" t="s">
        <v>26</v>
      </c>
      <c r="E1956" t="s">
        <v>42</v>
      </c>
      <c r="F1956" t="s">
        <v>203</v>
      </c>
      <c r="G1956" t="s">
        <v>96</v>
      </c>
      <c r="H1956" s="2">
        <v>0.56527777777777777</v>
      </c>
      <c r="I1956" s="2">
        <v>0.57847222222222228</v>
      </c>
      <c r="J1956">
        <v>8</v>
      </c>
      <c r="K1956">
        <v>3</v>
      </c>
      <c r="L1956" t="s">
        <v>45</v>
      </c>
      <c r="M1956">
        <v>22.6</v>
      </c>
      <c r="N1956">
        <v>45</v>
      </c>
      <c r="O1956">
        <v>46</v>
      </c>
      <c r="P1956">
        <v>6.8</v>
      </c>
      <c r="Q1956" t="s">
        <v>31</v>
      </c>
      <c r="R1956">
        <v>0</v>
      </c>
      <c r="S1956">
        <v>91</v>
      </c>
      <c r="T1956">
        <v>0</v>
      </c>
      <c r="U1956">
        <v>0</v>
      </c>
      <c r="V1956">
        <v>5</v>
      </c>
      <c r="W1956" t="s">
        <v>32</v>
      </c>
      <c r="X1956">
        <v>0</v>
      </c>
      <c r="Y1956" t="str">
        <f t="shared" si="30"/>
        <v>High</v>
      </c>
    </row>
    <row r="1957" spans="1:25">
      <c r="A1957" t="s">
        <v>2070</v>
      </c>
      <c r="B1957" s="1">
        <v>44947</v>
      </c>
      <c r="C1957" s="2">
        <v>0.57291666666666663</v>
      </c>
      <c r="D1957" t="s">
        <v>41</v>
      </c>
      <c r="E1957" t="s">
        <v>68</v>
      </c>
      <c r="F1957" t="s">
        <v>107</v>
      </c>
      <c r="G1957" t="s">
        <v>99</v>
      </c>
      <c r="H1957" s="2">
        <v>0.57361111111111107</v>
      </c>
      <c r="I1957" s="2">
        <v>0.59166666666666667</v>
      </c>
      <c r="J1957">
        <v>-1</v>
      </c>
      <c r="K1957">
        <v>18</v>
      </c>
      <c r="L1957" t="s">
        <v>54</v>
      </c>
      <c r="M1957">
        <v>-2.4</v>
      </c>
      <c r="N1957">
        <v>69</v>
      </c>
      <c r="O1957">
        <v>0</v>
      </c>
      <c r="P1957">
        <v>3.8</v>
      </c>
      <c r="Q1957" t="s">
        <v>31</v>
      </c>
      <c r="R1957">
        <v>2000</v>
      </c>
      <c r="S1957">
        <v>8</v>
      </c>
      <c r="T1957">
        <v>0</v>
      </c>
      <c r="U1957">
        <v>0</v>
      </c>
      <c r="V1957">
        <v>5</v>
      </c>
      <c r="W1957" t="s">
        <v>55</v>
      </c>
      <c r="X1957">
        <v>1</v>
      </c>
      <c r="Y1957" t="str">
        <f t="shared" si="30"/>
        <v>Low</v>
      </c>
    </row>
    <row r="1958" spans="1:25">
      <c r="A1958" t="s">
        <v>2071</v>
      </c>
      <c r="B1958" s="1">
        <v>44947</v>
      </c>
      <c r="C1958" s="2">
        <v>0.58333333333333337</v>
      </c>
      <c r="D1958" t="s">
        <v>74</v>
      </c>
      <c r="E1958" t="s">
        <v>141</v>
      </c>
      <c r="F1958" t="s">
        <v>168</v>
      </c>
      <c r="G1958" t="s">
        <v>49</v>
      </c>
      <c r="H1958" s="2">
        <v>0.58611111111111114</v>
      </c>
      <c r="I1958" s="2">
        <v>0.61319444444444449</v>
      </c>
      <c r="J1958">
        <v>18</v>
      </c>
      <c r="K1958">
        <v>6</v>
      </c>
      <c r="L1958" t="s">
        <v>84</v>
      </c>
      <c r="M1958">
        <v>13.7</v>
      </c>
      <c r="N1958">
        <v>59</v>
      </c>
      <c r="O1958">
        <v>57</v>
      </c>
      <c r="P1958">
        <v>3.6</v>
      </c>
      <c r="Q1958" t="s">
        <v>31</v>
      </c>
      <c r="R1958">
        <v>0</v>
      </c>
      <c r="S1958">
        <v>49</v>
      </c>
      <c r="T1958">
        <v>0</v>
      </c>
      <c r="U1958">
        <v>0</v>
      </c>
      <c r="V1958">
        <v>5</v>
      </c>
      <c r="W1958" t="s">
        <v>32</v>
      </c>
      <c r="X1958">
        <v>1</v>
      </c>
      <c r="Y1958" t="str">
        <f t="shared" si="30"/>
        <v>Medium</v>
      </c>
    </row>
    <row r="1959" spans="1:25">
      <c r="A1959" t="s">
        <v>2072</v>
      </c>
      <c r="B1959" s="1">
        <v>44947</v>
      </c>
      <c r="C1959" s="2">
        <v>0.59375</v>
      </c>
      <c r="D1959" t="s">
        <v>26</v>
      </c>
      <c r="E1959" t="s">
        <v>141</v>
      </c>
      <c r="F1959" t="s">
        <v>49</v>
      </c>
      <c r="G1959" t="s">
        <v>70</v>
      </c>
      <c r="H1959" s="2">
        <v>0.59513888888888888</v>
      </c>
      <c r="I1959" s="2">
        <v>0.61458333333333337</v>
      </c>
      <c r="J1959">
        <v>16</v>
      </c>
      <c r="K1959">
        <v>19</v>
      </c>
      <c r="L1959" t="s">
        <v>77</v>
      </c>
      <c r="M1959">
        <v>21.5</v>
      </c>
      <c r="N1959">
        <v>94</v>
      </c>
      <c r="O1959">
        <v>9</v>
      </c>
      <c r="P1959">
        <v>6.4</v>
      </c>
      <c r="Q1959" t="s">
        <v>101</v>
      </c>
      <c r="R1959">
        <v>0</v>
      </c>
      <c r="S1959">
        <v>73</v>
      </c>
      <c r="T1959">
        <v>1</v>
      </c>
      <c r="U1959">
        <v>0</v>
      </c>
      <c r="V1959">
        <v>5</v>
      </c>
      <c r="W1959" t="s">
        <v>55</v>
      </c>
      <c r="X1959">
        <v>1</v>
      </c>
      <c r="Y1959" t="str">
        <f t="shared" si="30"/>
        <v>High</v>
      </c>
    </row>
    <row r="1960" spans="1:25">
      <c r="A1960" t="s">
        <v>2073</v>
      </c>
      <c r="B1960" s="1">
        <v>44947</v>
      </c>
      <c r="C1960" s="2">
        <v>0.60416666666666663</v>
      </c>
      <c r="D1960" t="s">
        <v>41</v>
      </c>
      <c r="E1960" t="s">
        <v>93</v>
      </c>
      <c r="F1960" t="s">
        <v>105</v>
      </c>
      <c r="G1960" t="s">
        <v>75</v>
      </c>
      <c r="H1960" s="2">
        <v>0.60486111111111107</v>
      </c>
      <c r="I1960" s="2">
        <v>0.62916666666666665</v>
      </c>
      <c r="J1960">
        <v>4</v>
      </c>
      <c r="K1960">
        <v>11</v>
      </c>
      <c r="L1960" t="s">
        <v>30</v>
      </c>
      <c r="M1960">
        <v>25.6</v>
      </c>
      <c r="N1960">
        <v>87</v>
      </c>
      <c r="O1960">
        <v>7</v>
      </c>
      <c r="P1960">
        <v>19.600000000000001</v>
      </c>
      <c r="Q1960" t="s">
        <v>31</v>
      </c>
      <c r="R1960">
        <v>0</v>
      </c>
      <c r="S1960">
        <v>65</v>
      </c>
      <c r="T1960">
        <v>0</v>
      </c>
      <c r="U1960">
        <v>0</v>
      </c>
      <c r="V1960">
        <v>5</v>
      </c>
      <c r="W1960" t="s">
        <v>32</v>
      </c>
      <c r="X1960">
        <v>1</v>
      </c>
      <c r="Y1960" t="str">
        <f t="shared" si="30"/>
        <v>Medium</v>
      </c>
    </row>
    <row r="1961" spans="1:25">
      <c r="A1961" t="s">
        <v>2074</v>
      </c>
      <c r="B1961" s="1">
        <v>44947</v>
      </c>
      <c r="C1961" s="2">
        <v>0.61458333333333337</v>
      </c>
      <c r="D1961" t="s">
        <v>26</v>
      </c>
      <c r="E1961" t="s">
        <v>27</v>
      </c>
      <c r="F1961" t="s">
        <v>37</v>
      </c>
      <c r="G1961" t="s">
        <v>43</v>
      </c>
      <c r="H1961" s="2">
        <v>0.61458333333333337</v>
      </c>
      <c r="I1961" s="2">
        <v>0.64236111111111116</v>
      </c>
      <c r="J1961">
        <v>15</v>
      </c>
      <c r="K1961">
        <v>26</v>
      </c>
      <c r="L1961" t="s">
        <v>45</v>
      </c>
      <c r="M1961">
        <v>13.2</v>
      </c>
      <c r="N1961">
        <v>77</v>
      </c>
      <c r="O1961">
        <v>41</v>
      </c>
      <c r="P1961">
        <v>1.8</v>
      </c>
      <c r="Q1961" t="s">
        <v>31</v>
      </c>
      <c r="R1961">
        <v>0</v>
      </c>
      <c r="S1961">
        <v>76</v>
      </c>
      <c r="T1961">
        <v>0</v>
      </c>
      <c r="U1961">
        <v>0</v>
      </c>
      <c r="V1961">
        <v>5</v>
      </c>
      <c r="W1961" t="s">
        <v>55</v>
      </c>
      <c r="X1961">
        <v>1</v>
      </c>
      <c r="Y1961" t="str">
        <f t="shared" si="30"/>
        <v>High</v>
      </c>
    </row>
    <row r="1962" spans="1:25">
      <c r="A1962" t="s">
        <v>2075</v>
      </c>
      <c r="B1962" s="1">
        <v>44947</v>
      </c>
      <c r="C1962" s="2">
        <v>0.625</v>
      </c>
      <c r="D1962" t="s">
        <v>74</v>
      </c>
      <c r="E1962" t="s">
        <v>141</v>
      </c>
      <c r="F1962" t="s">
        <v>168</v>
      </c>
      <c r="G1962" t="s">
        <v>154</v>
      </c>
      <c r="H1962" s="2">
        <v>0.62569444444444444</v>
      </c>
      <c r="I1962" s="2">
        <v>0.65625</v>
      </c>
      <c r="J1962">
        <v>5</v>
      </c>
      <c r="K1962">
        <v>9</v>
      </c>
      <c r="L1962" t="s">
        <v>84</v>
      </c>
      <c r="M1962">
        <v>20.2</v>
      </c>
      <c r="N1962">
        <v>78</v>
      </c>
      <c r="O1962">
        <v>25</v>
      </c>
      <c r="P1962">
        <v>5.2</v>
      </c>
      <c r="Q1962" t="s">
        <v>31</v>
      </c>
      <c r="R1962">
        <v>50000</v>
      </c>
      <c r="S1962">
        <v>37</v>
      </c>
      <c r="T1962">
        <v>0</v>
      </c>
      <c r="U1962">
        <v>0</v>
      </c>
      <c r="V1962">
        <v>5</v>
      </c>
      <c r="W1962" t="s">
        <v>72</v>
      </c>
      <c r="X1962">
        <v>1</v>
      </c>
      <c r="Y1962" t="str">
        <f t="shared" si="30"/>
        <v>Medium</v>
      </c>
    </row>
    <row r="1963" spans="1:25">
      <c r="A1963" t="s">
        <v>2076</v>
      </c>
      <c r="B1963" s="1">
        <v>44947</v>
      </c>
      <c r="C1963" s="2">
        <v>0.63541666666666663</v>
      </c>
      <c r="D1963" t="s">
        <v>41</v>
      </c>
      <c r="E1963" t="s">
        <v>104</v>
      </c>
      <c r="F1963" t="s">
        <v>197</v>
      </c>
      <c r="G1963" t="s">
        <v>87</v>
      </c>
      <c r="H1963" s="2">
        <v>0.63680555555555551</v>
      </c>
      <c r="I1963" s="2">
        <v>0.66736111111111107</v>
      </c>
      <c r="J1963">
        <v>11</v>
      </c>
      <c r="K1963">
        <v>0</v>
      </c>
      <c r="L1963" t="s">
        <v>77</v>
      </c>
      <c r="M1963">
        <v>16.600000000000001</v>
      </c>
      <c r="N1963">
        <v>31</v>
      </c>
      <c r="O1963">
        <v>33</v>
      </c>
      <c r="P1963">
        <v>1.7</v>
      </c>
      <c r="Q1963" t="s">
        <v>31</v>
      </c>
      <c r="R1963">
        <v>0</v>
      </c>
      <c r="S1963">
        <v>26</v>
      </c>
      <c r="T1963">
        <v>0</v>
      </c>
      <c r="U1963">
        <v>0</v>
      </c>
      <c r="V1963">
        <v>5</v>
      </c>
      <c r="W1963" t="s">
        <v>72</v>
      </c>
      <c r="X1963">
        <v>0</v>
      </c>
      <c r="Y1963" t="str">
        <f t="shared" si="30"/>
        <v>Low</v>
      </c>
    </row>
    <row r="1964" spans="1:25">
      <c r="A1964" t="s">
        <v>2077</v>
      </c>
      <c r="B1964" s="1">
        <v>44947</v>
      </c>
      <c r="C1964" s="2">
        <v>0.64583333333333337</v>
      </c>
      <c r="D1964" t="s">
        <v>74</v>
      </c>
      <c r="E1964" t="s">
        <v>130</v>
      </c>
      <c r="F1964" t="s">
        <v>28</v>
      </c>
      <c r="G1964" t="s">
        <v>168</v>
      </c>
      <c r="H1964" s="2">
        <v>0.64583333333333337</v>
      </c>
      <c r="I1964" s="2">
        <v>0.67013888888888884</v>
      </c>
      <c r="J1964">
        <v>4</v>
      </c>
      <c r="K1964">
        <v>14</v>
      </c>
      <c r="L1964" t="s">
        <v>84</v>
      </c>
      <c r="M1964">
        <v>-2.9</v>
      </c>
      <c r="N1964">
        <v>43</v>
      </c>
      <c r="O1964">
        <v>18</v>
      </c>
      <c r="P1964">
        <v>5.5</v>
      </c>
      <c r="Q1964" t="s">
        <v>31</v>
      </c>
      <c r="R1964">
        <v>0</v>
      </c>
      <c r="S1964">
        <v>19</v>
      </c>
      <c r="T1964">
        <v>0</v>
      </c>
      <c r="U1964">
        <v>1</v>
      </c>
      <c r="V1964">
        <v>5</v>
      </c>
      <c r="W1964" t="s">
        <v>32</v>
      </c>
      <c r="X1964">
        <v>1</v>
      </c>
      <c r="Y1964" t="str">
        <f t="shared" si="30"/>
        <v>Low</v>
      </c>
    </row>
    <row r="1965" spans="1:25">
      <c r="A1965" t="s">
        <v>2078</v>
      </c>
      <c r="B1965" s="1">
        <v>44947</v>
      </c>
      <c r="C1965" s="2">
        <v>0.65625</v>
      </c>
      <c r="D1965" t="s">
        <v>74</v>
      </c>
      <c r="E1965" t="s">
        <v>52</v>
      </c>
      <c r="F1965" t="s">
        <v>91</v>
      </c>
      <c r="G1965" t="s">
        <v>168</v>
      </c>
      <c r="H1965" s="2">
        <v>0.65833333333333333</v>
      </c>
      <c r="I1965" s="2">
        <v>0.6875</v>
      </c>
      <c r="J1965">
        <v>18</v>
      </c>
      <c r="K1965">
        <v>19</v>
      </c>
      <c r="L1965" t="s">
        <v>54</v>
      </c>
      <c r="M1965">
        <v>24.7</v>
      </c>
      <c r="N1965">
        <v>46</v>
      </c>
      <c r="O1965">
        <v>13</v>
      </c>
      <c r="P1965">
        <v>1.8</v>
      </c>
      <c r="Q1965" t="s">
        <v>31</v>
      </c>
      <c r="R1965">
        <v>0</v>
      </c>
      <c r="S1965">
        <v>61</v>
      </c>
      <c r="T1965">
        <v>0</v>
      </c>
      <c r="U1965">
        <v>1</v>
      </c>
      <c r="V1965">
        <v>5</v>
      </c>
      <c r="W1965" t="s">
        <v>55</v>
      </c>
      <c r="X1965">
        <v>1</v>
      </c>
      <c r="Y1965" t="str">
        <f t="shared" si="30"/>
        <v>Medium</v>
      </c>
    </row>
    <row r="1966" spans="1:25">
      <c r="A1966" t="s">
        <v>2079</v>
      </c>
      <c r="B1966" s="1">
        <v>44947</v>
      </c>
      <c r="C1966" s="2">
        <v>0.66666666666666663</v>
      </c>
      <c r="D1966" t="s">
        <v>41</v>
      </c>
      <c r="E1966" t="s">
        <v>111</v>
      </c>
      <c r="F1966" t="s">
        <v>86</v>
      </c>
      <c r="G1966" t="s">
        <v>36</v>
      </c>
      <c r="H1966" s="2">
        <v>0.66805555555555551</v>
      </c>
      <c r="I1966" s="2">
        <v>0.70277777777777772</v>
      </c>
      <c r="J1966">
        <v>1</v>
      </c>
      <c r="K1966">
        <v>29</v>
      </c>
      <c r="L1966" t="s">
        <v>38</v>
      </c>
      <c r="M1966">
        <v>1.9</v>
      </c>
      <c r="N1966">
        <v>60</v>
      </c>
      <c r="O1966">
        <v>7</v>
      </c>
      <c r="P1966">
        <v>10.199999999999999</v>
      </c>
      <c r="Q1966" t="s">
        <v>31</v>
      </c>
      <c r="R1966">
        <v>0</v>
      </c>
      <c r="S1966">
        <v>73</v>
      </c>
      <c r="T1966">
        <v>0</v>
      </c>
      <c r="U1966">
        <v>1</v>
      </c>
      <c r="V1966">
        <v>5</v>
      </c>
      <c r="W1966" t="s">
        <v>39</v>
      </c>
      <c r="X1966">
        <v>1</v>
      </c>
      <c r="Y1966" t="str">
        <f t="shared" si="30"/>
        <v>High</v>
      </c>
    </row>
    <row r="1967" spans="1:25">
      <c r="A1967" t="s">
        <v>2080</v>
      </c>
      <c r="B1967" s="1">
        <v>44947</v>
      </c>
      <c r="C1967" s="2">
        <v>0.67708333333333337</v>
      </c>
      <c r="D1967" t="s">
        <v>41</v>
      </c>
      <c r="E1967" t="s">
        <v>104</v>
      </c>
      <c r="F1967" t="s">
        <v>80</v>
      </c>
      <c r="G1967" t="s">
        <v>116</v>
      </c>
      <c r="H1967" s="2">
        <v>0.67708333333333337</v>
      </c>
      <c r="I1967" s="2">
        <v>0.71180555555555558</v>
      </c>
      <c r="J1967">
        <v>14</v>
      </c>
      <c r="K1967">
        <v>13</v>
      </c>
      <c r="L1967" t="s">
        <v>30</v>
      </c>
      <c r="M1967">
        <v>-3.7</v>
      </c>
      <c r="N1967">
        <v>39</v>
      </c>
      <c r="O1967">
        <v>50</v>
      </c>
      <c r="P1967">
        <v>8.8000000000000007</v>
      </c>
      <c r="Q1967" t="s">
        <v>59</v>
      </c>
      <c r="R1967">
        <v>0</v>
      </c>
      <c r="S1967">
        <v>15</v>
      </c>
      <c r="T1967">
        <v>0</v>
      </c>
      <c r="U1967">
        <v>0</v>
      </c>
      <c r="V1967">
        <v>5</v>
      </c>
      <c r="W1967" t="s">
        <v>39</v>
      </c>
      <c r="X1967">
        <v>1</v>
      </c>
      <c r="Y1967" t="str">
        <f t="shared" si="30"/>
        <v>Low</v>
      </c>
    </row>
    <row r="1968" spans="1:25">
      <c r="A1968" t="s">
        <v>2081</v>
      </c>
      <c r="B1968" s="1">
        <v>44947</v>
      </c>
      <c r="C1968" s="2">
        <v>0.6875</v>
      </c>
      <c r="D1968" t="s">
        <v>41</v>
      </c>
      <c r="E1968" t="s">
        <v>104</v>
      </c>
      <c r="F1968" t="s">
        <v>53</v>
      </c>
      <c r="G1968" t="s">
        <v>185</v>
      </c>
      <c r="H1968" s="2">
        <v>0.69027777777777777</v>
      </c>
      <c r="I1968" s="2">
        <v>0.70486111111111116</v>
      </c>
      <c r="J1968">
        <v>2</v>
      </c>
      <c r="K1968">
        <v>24</v>
      </c>
      <c r="L1968" t="s">
        <v>77</v>
      </c>
      <c r="M1968">
        <v>13</v>
      </c>
      <c r="N1968">
        <v>99</v>
      </c>
      <c r="O1968">
        <v>0</v>
      </c>
      <c r="P1968">
        <v>3.5</v>
      </c>
      <c r="Q1968" t="s">
        <v>31</v>
      </c>
      <c r="R1968">
        <v>0</v>
      </c>
      <c r="S1968">
        <v>78</v>
      </c>
      <c r="T1968">
        <v>0</v>
      </c>
      <c r="U1968">
        <v>0</v>
      </c>
      <c r="V1968">
        <v>5</v>
      </c>
      <c r="W1968" t="s">
        <v>39</v>
      </c>
      <c r="X1968">
        <v>1</v>
      </c>
      <c r="Y1968" t="str">
        <f t="shared" si="30"/>
        <v>High</v>
      </c>
    </row>
    <row r="1969" spans="1:25">
      <c r="A1969" t="s">
        <v>2082</v>
      </c>
      <c r="B1969" s="1">
        <v>44947</v>
      </c>
      <c r="C1969" s="2">
        <v>0.69791666666666663</v>
      </c>
      <c r="D1969" t="s">
        <v>34</v>
      </c>
      <c r="E1969" t="s">
        <v>161</v>
      </c>
      <c r="F1969" t="s">
        <v>100</v>
      </c>
      <c r="G1969" t="s">
        <v>58</v>
      </c>
      <c r="H1969" s="2">
        <v>0.69861111111111107</v>
      </c>
      <c r="I1969" s="2">
        <v>0.71666666666666667</v>
      </c>
      <c r="J1969">
        <v>9</v>
      </c>
      <c r="K1969">
        <v>10</v>
      </c>
      <c r="L1969" t="s">
        <v>77</v>
      </c>
      <c r="M1969">
        <v>29.6</v>
      </c>
      <c r="N1969">
        <v>66</v>
      </c>
      <c r="O1969">
        <v>47</v>
      </c>
      <c r="P1969">
        <v>3.5</v>
      </c>
      <c r="Q1969" t="s">
        <v>59</v>
      </c>
      <c r="R1969">
        <v>0</v>
      </c>
      <c r="S1969">
        <v>12</v>
      </c>
      <c r="T1969">
        <v>0</v>
      </c>
      <c r="U1969">
        <v>0</v>
      </c>
      <c r="V1969">
        <v>5</v>
      </c>
      <c r="W1969" t="s">
        <v>72</v>
      </c>
      <c r="X1969">
        <v>1</v>
      </c>
      <c r="Y1969" t="str">
        <f t="shared" si="30"/>
        <v>Low</v>
      </c>
    </row>
    <row r="1970" spans="1:25">
      <c r="A1970" t="s">
        <v>2083</v>
      </c>
      <c r="B1970" s="1">
        <v>44947</v>
      </c>
      <c r="C1970" s="2">
        <v>0.70833333333333337</v>
      </c>
      <c r="D1970" t="s">
        <v>41</v>
      </c>
      <c r="E1970" t="s">
        <v>57</v>
      </c>
      <c r="F1970" t="s">
        <v>28</v>
      </c>
      <c r="G1970" t="s">
        <v>128</v>
      </c>
      <c r="H1970" s="2">
        <v>0.70833333333333337</v>
      </c>
      <c r="I1970" s="2">
        <v>0.72638888888888886</v>
      </c>
      <c r="J1970">
        <v>6</v>
      </c>
      <c r="K1970">
        <v>7</v>
      </c>
      <c r="L1970" t="s">
        <v>45</v>
      </c>
      <c r="M1970">
        <v>1</v>
      </c>
      <c r="N1970">
        <v>93</v>
      </c>
      <c r="O1970">
        <v>24</v>
      </c>
      <c r="P1970">
        <v>12.5</v>
      </c>
      <c r="Q1970" t="s">
        <v>63</v>
      </c>
      <c r="R1970">
        <v>0</v>
      </c>
      <c r="S1970">
        <v>19</v>
      </c>
      <c r="T1970">
        <v>0</v>
      </c>
      <c r="U1970">
        <v>0</v>
      </c>
      <c r="V1970">
        <v>5</v>
      </c>
      <c r="W1970" t="s">
        <v>72</v>
      </c>
      <c r="X1970">
        <v>1</v>
      </c>
      <c r="Y1970" t="str">
        <f t="shared" si="30"/>
        <v>Low</v>
      </c>
    </row>
    <row r="1971" spans="1:25">
      <c r="A1971" t="s">
        <v>2084</v>
      </c>
      <c r="B1971" s="1">
        <v>44947</v>
      </c>
      <c r="C1971" s="2">
        <v>0.71875</v>
      </c>
      <c r="D1971" t="s">
        <v>41</v>
      </c>
      <c r="E1971" t="s">
        <v>89</v>
      </c>
      <c r="F1971" t="s">
        <v>66</v>
      </c>
      <c r="G1971" t="s">
        <v>75</v>
      </c>
      <c r="H1971" s="2">
        <v>0.71944444444444444</v>
      </c>
      <c r="I1971" s="2">
        <v>0.75555555555555554</v>
      </c>
      <c r="J1971">
        <v>17</v>
      </c>
      <c r="K1971">
        <v>9</v>
      </c>
      <c r="L1971" t="s">
        <v>45</v>
      </c>
      <c r="M1971">
        <v>-4.5</v>
      </c>
      <c r="N1971">
        <v>59</v>
      </c>
      <c r="O1971">
        <v>23</v>
      </c>
      <c r="P1971">
        <v>7.7</v>
      </c>
      <c r="Q1971" t="s">
        <v>101</v>
      </c>
      <c r="R1971">
        <v>0</v>
      </c>
      <c r="S1971">
        <v>23</v>
      </c>
      <c r="T1971">
        <v>0</v>
      </c>
      <c r="U1971">
        <v>0</v>
      </c>
      <c r="V1971">
        <v>5</v>
      </c>
      <c r="W1971" t="s">
        <v>55</v>
      </c>
      <c r="X1971">
        <v>1</v>
      </c>
      <c r="Y1971" t="str">
        <f t="shared" si="30"/>
        <v>Low</v>
      </c>
    </row>
    <row r="1972" spans="1:25">
      <c r="A1972" t="s">
        <v>2085</v>
      </c>
      <c r="B1972" s="1">
        <v>44947</v>
      </c>
      <c r="C1972" s="2">
        <v>0.72916666666666663</v>
      </c>
      <c r="D1972" t="s">
        <v>41</v>
      </c>
      <c r="E1972" t="s">
        <v>93</v>
      </c>
      <c r="F1972" t="s">
        <v>185</v>
      </c>
      <c r="G1972" t="s">
        <v>203</v>
      </c>
      <c r="H1972" s="2">
        <v>0.7319444444444444</v>
      </c>
      <c r="I1972" s="2">
        <v>0.75208333333333333</v>
      </c>
      <c r="J1972">
        <v>10</v>
      </c>
      <c r="K1972">
        <v>29</v>
      </c>
      <c r="L1972" t="s">
        <v>45</v>
      </c>
      <c r="M1972">
        <v>-0.6</v>
      </c>
      <c r="N1972">
        <v>63</v>
      </c>
      <c r="O1972">
        <v>46</v>
      </c>
      <c r="P1972">
        <v>1.1000000000000001</v>
      </c>
      <c r="Q1972" t="s">
        <v>31</v>
      </c>
      <c r="R1972">
        <v>10000</v>
      </c>
      <c r="S1972">
        <v>49</v>
      </c>
      <c r="T1972">
        <v>1</v>
      </c>
      <c r="U1972">
        <v>0</v>
      </c>
      <c r="V1972">
        <v>5</v>
      </c>
      <c r="W1972" t="s">
        <v>32</v>
      </c>
      <c r="X1972">
        <v>1</v>
      </c>
      <c r="Y1972" t="str">
        <f t="shared" si="30"/>
        <v>Medium</v>
      </c>
    </row>
    <row r="1973" spans="1:25">
      <c r="A1973" t="s">
        <v>2086</v>
      </c>
      <c r="B1973" s="1">
        <v>44947</v>
      </c>
      <c r="C1973" s="2">
        <v>0.73958333333333337</v>
      </c>
      <c r="D1973" t="s">
        <v>41</v>
      </c>
      <c r="E1973" t="s">
        <v>48</v>
      </c>
      <c r="F1973" t="s">
        <v>168</v>
      </c>
      <c r="G1973" t="s">
        <v>163</v>
      </c>
      <c r="H1973" s="2">
        <v>0.73958333333333337</v>
      </c>
      <c r="I1973" s="2">
        <v>0.76388888888888884</v>
      </c>
      <c r="J1973">
        <v>15</v>
      </c>
      <c r="K1973">
        <v>-2</v>
      </c>
      <c r="L1973" t="s">
        <v>84</v>
      </c>
      <c r="M1973">
        <v>9.5</v>
      </c>
      <c r="N1973">
        <v>47</v>
      </c>
      <c r="O1973">
        <v>19</v>
      </c>
      <c r="P1973">
        <v>18.399999999999999</v>
      </c>
      <c r="Q1973" t="s">
        <v>101</v>
      </c>
      <c r="R1973">
        <v>0</v>
      </c>
      <c r="S1973">
        <v>6</v>
      </c>
      <c r="T1973">
        <v>0</v>
      </c>
      <c r="U1973">
        <v>0</v>
      </c>
      <c r="V1973">
        <v>5</v>
      </c>
      <c r="W1973" t="s">
        <v>72</v>
      </c>
      <c r="X1973">
        <v>0</v>
      </c>
      <c r="Y1973" t="str">
        <f t="shared" si="30"/>
        <v>Low</v>
      </c>
    </row>
    <row r="1974" spans="1:25">
      <c r="A1974" t="s">
        <v>2087</v>
      </c>
      <c r="B1974" s="1">
        <v>44947</v>
      </c>
      <c r="C1974" s="2">
        <v>0.75</v>
      </c>
      <c r="D1974" t="s">
        <v>26</v>
      </c>
      <c r="E1974" t="s">
        <v>48</v>
      </c>
      <c r="F1974" t="s">
        <v>197</v>
      </c>
      <c r="G1974" t="s">
        <v>107</v>
      </c>
      <c r="H1974" s="2">
        <v>0.75208333333333333</v>
      </c>
      <c r="I1974" s="2">
        <v>0.76944444444444449</v>
      </c>
      <c r="J1974">
        <v>17</v>
      </c>
      <c r="K1974">
        <v>25</v>
      </c>
      <c r="L1974" t="s">
        <v>30</v>
      </c>
      <c r="M1974">
        <v>18.2</v>
      </c>
      <c r="N1974">
        <v>92</v>
      </c>
      <c r="O1974">
        <v>55</v>
      </c>
      <c r="P1974">
        <v>8.1</v>
      </c>
      <c r="Q1974" t="s">
        <v>46</v>
      </c>
      <c r="R1974">
        <v>0</v>
      </c>
      <c r="S1974">
        <v>86</v>
      </c>
      <c r="T1974">
        <v>0</v>
      </c>
      <c r="U1974">
        <v>0</v>
      </c>
      <c r="V1974">
        <v>5</v>
      </c>
      <c r="W1974" t="s">
        <v>32</v>
      </c>
      <c r="X1974">
        <v>1</v>
      </c>
      <c r="Y1974" t="str">
        <f t="shared" si="30"/>
        <v>High</v>
      </c>
    </row>
    <row r="1975" spans="1:25">
      <c r="A1975" t="s">
        <v>2088</v>
      </c>
      <c r="B1975" s="1">
        <v>44947</v>
      </c>
      <c r="C1975" s="2">
        <v>0.76041666666666663</v>
      </c>
      <c r="D1975" t="s">
        <v>34</v>
      </c>
      <c r="E1975" t="s">
        <v>57</v>
      </c>
      <c r="F1975" t="s">
        <v>86</v>
      </c>
      <c r="G1975" t="s">
        <v>58</v>
      </c>
      <c r="H1975" s="2">
        <v>0.76180555555555551</v>
      </c>
      <c r="I1975" s="2">
        <v>0.78055555555555556</v>
      </c>
      <c r="J1975">
        <v>6</v>
      </c>
      <c r="K1975">
        <v>0</v>
      </c>
      <c r="L1975" t="s">
        <v>84</v>
      </c>
      <c r="M1975">
        <v>2.7</v>
      </c>
      <c r="N1975">
        <v>78</v>
      </c>
      <c r="O1975">
        <v>29</v>
      </c>
      <c r="P1975">
        <v>11.8</v>
      </c>
      <c r="Q1975" t="s">
        <v>46</v>
      </c>
      <c r="R1975">
        <v>500</v>
      </c>
      <c r="S1975">
        <v>87</v>
      </c>
      <c r="T1975">
        <v>0</v>
      </c>
      <c r="U1975">
        <v>0</v>
      </c>
      <c r="V1975">
        <v>5</v>
      </c>
      <c r="W1975" t="s">
        <v>39</v>
      </c>
      <c r="X1975">
        <v>0</v>
      </c>
      <c r="Y1975" t="str">
        <f t="shared" si="30"/>
        <v>High</v>
      </c>
    </row>
    <row r="1976" spans="1:25">
      <c r="A1976" t="s">
        <v>2089</v>
      </c>
      <c r="B1976" s="1">
        <v>44947</v>
      </c>
      <c r="C1976" s="2">
        <v>0.77083333333333337</v>
      </c>
      <c r="D1976" t="s">
        <v>74</v>
      </c>
      <c r="E1976" t="s">
        <v>98</v>
      </c>
      <c r="F1976" t="s">
        <v>194</v>
      </c>
      <c r="G1976" t="s">
        <v>203</v>
      </c>
      <c r="H1976" s="2">
        <v>0.77083333333333337</v>
      </c>
      <c r="I1976" s="2">
        <v>0.79583333333333328</v>
      </c>
      <c r="J1976">
        <v>1</v>
      </c>
      <c r="K1976">
        <v>8</v>
      </c>
      <c r="L1976" t="s">
        <v>30</v>
      </c>
      <c r="M1976">
        <v>27.1</v>
      </c>
      <c r="N1976">
        <v>85</v>
      </c>
      <c r="O1976">
        <v>4</v>
      </c>
      <c r="P1976">
        <v>17.7</v>
      </c>
      <c r="Q1976" t="s">
        <v>31</v>
      </c>
      <c r="R1976">
        <v>2000</v>
      </c>
      <c r="S1976">
        <v>28</v>
      </c>
      <c r="T1976">
        <v>0</v>
      </c>
      <c r="U1976">
        <v>0</v>
      </c>
      <c r="V1976">
        <v>5</v>
      </c>
      <c r="W1976" t="s">
        <v>39</v>
      </c>
      <c r="X1976">
        <v>1</v>
      </c>
      <c r="Y1976" t="str">
        <f t="shared" si="30"/>
        <v>Low</v>
      </c>
    </row>
    <row r="1977" spans="1:25">
      <c r="A1977" t="s">
        <v>2090</v>
      </c>
      <c r="B1977" s="1">
        <v>44947</v>
      </c>
      <c r="C1977" s="2">
        <v>0.78125</v>
      </c>
      <c r="D1977" t="s">
        <v>41</v>
      </c>
      <c r="E1977" t="s">
        <v>98</v>
      </c>
      <c r="F1977" t="s">
        <v>99</v>
      </c>
      <c r="G1977" t="s">
        <v>28</v>
      </c>
      <c r="H1977" s="2">
        <v>0.78402777777777777</v>
      </c>
      <c r="I1977" s="2">
        <v>0.80277777777777781</v>
      </c>
      <c r="J1977">
        <v>18</v>
      </c>
      <c r="K1977">
        <v>22</v>
      </c>
      <c r="L1977" t="s">
        <v>77</v>
      </c>
      <c r="M1977">
        <v>25.1</v>
      </c>
      <c r="N1977">
        <v>87</v>
      </c>
      <c r="O1977">
        <v>2</v>
      </c>
      <c r="P1977">
        <v>8</v>
      </c>
      <c r="Q1977" t="s">
        <v>31</v>
      </c>
      <c r="R1977">
        <v>2000</v>
      </c>
      <c r="S1977">
        <v>4</v>
      </c>
      <c r="T1977">
        <v>0</v>
      </c>
      <c r="U1977">
        <v>0</v>
      </c>
      <c r="V1977">
        <v>5</v>
      </c>
      <c r="W1977" t="s">
        <v>32</v>
      </c>
      <c r="X1977">
        <v>1</v>
      </c>
      <c r="Y1977" t="str">
        <f t="shared" si="30"/>
        <v>Low</v>
      </c>
    </row>
    <row r="1978" spans="1:25">
      <c r="A1978" t="s">
        <v>2091</v>
      </c>
      <c r="B1978" s="1">
        <v>44947</v>
      </c>
      <c r="C1978" s="2">
        <v>0.79166666666666663</v>
      </c>
      <c r="D1978" t="s">
        <v>26</v>
      </c>
      <c r="E1978" t="s">
        <v>157</v>
      </c>
      <c r="F1978" t="s">
        <v>185</v>
      </c>
      <c r="G1978" t="s">
        <v>44</v>
      </c>
      <c r="H1978" s="2">
        <v>0.79166666666666663</v>
      </c>
      <c r="I1978" s="2">
        <v>0.80902777777777779</v>
      </c>
      <c r="J1978">
        <v>5</v>
      </c>
      <c r="K1978">
        <v>24</v>
      </c>
      <c r="L1978" t="s">
        <v>84</v>
      </c>
      <c r="M1978">
        <v>22.8</v>
      </c>
      <c r="N1978">
        <v>56</v>
      </c>
      <c r="O1978">
        <v>31</v>
      </c>
      <c r="P1978">
        <v>16.399999999999999</v>
      </c>
      <c r="Q1978" t="s">
        <v>63</v>
      </c>
      <c r="R1978">
        <v>10000</v>
      </c>
      <c r="S1978">
        <v>34</v>
      </c>
      <c r="T1978">
        <v>0</v>
      </c>
      <c r="U1978">
        <v>0</v>
      </c>
      <c r="V1978">
        <v>5</v>
      </c>
      <c r="W1978" t="s">
        <v>55</v>
      </c>
      <c r="X1978">
        <v>1</v>
      </c>
      <c r="Y1978" t="str">
        <f t="shared" si="30"/>
        <v>Medium</v>
      </c>
    </row>
    <row r="1979" spans="1:25">
      <c r="A1979" t="s">
        <v>2092</v>
      </c>
      <c r="B1979" s="1">
        <v>44947</v>
      </c>
      <c r="C1979" s="2">
        <v>0.80208333333333337</v>
      </c>
      <c r="D1979" t="s">
        <v>26</v>
      </c>
      <c r="E1979" t="s">
        <v>52</v>
      </c>
      <c r="F1979" t="s">
        <v>44</v>
      </c>
      <c r="G1979" t="s">
        <v>148</v>
      </c>
      <c r="H1979" s="2">
        <v>0.80277777777777781</v>
      </c>
      <c r="I1979" s="2">
        <v>0.82847222222222228</v>
      </c>
      <c r="J1979">
        <v>-2</v>
      </c>
      <c r="K1979">
        <v>-1</v>
      </c>
      <c r="L1979" t="s">
        <v>84</v>
      </c>
      <c r="M1979">
        <v>14.5</v>
      </c>
      <c r="N1979">
        <v>84</v>
      </c>
      <c r="O1979">
        <v>16</v>
      </c>
      <c r="P1979">
        <v>18.3</v>
      </c>
      <c r="Q1979" t="s">
        <v>31</v>
      </c>
      <c r="R1979">
        <v>0</v>
      </c>
      <c r="S1979">
        <v>64</v>
      </c>
      <c r="T1979">
        <v>0</v>
      </c>
      <c r="U1979">
        <v>0</v>
      </c>
      <c r="V1979">
        <v>5</v>
      </c>
      <c r="W1979" t="s">
        <v>39</v>
      </c>
      <c r="X1979">
        <v>0</v>
      </c>
      <c r="Y1979" t="str">
        <f t="shared" si="30"/>
        <v>Medium</v>
      </c>
    </row>
    <row r="1980" spans="1:25">
      <c r="A1980" t="s">
        <v>2093</v>
      </c>
      <c r="B1980" s="1">
        <v>44947</v>
      </c>
      <c r="C1980" s="2">
        <v>0.8125</v>
      </c>
      <c r="D1980" t="s">
        <v>26</v>
      </c>
      <c r="E1980" t="s">
        <v>126</v>
      </c>
      <c r="F1980" t="s">
        <v>203</v>
      </c>
      <c r="G1980" t="s">
        <v>99</v>
      </c>
      <c r="H1980" s="2">
        <v>0.8125</v>
      </c>
      <c r="I1980" s="2">
        <v>0.84583333333333333</v>
      </c>
      <c r="J1980">
        <v>14</v>
      </c>
      <c r="K1980">
        <v>16</v>
      </c>
      <c r="L1980" t="s">
        <v>84</v>
      </c>
      <c r="M1980">
        <v>9.6</v>
      </c>
      <c r="N1980">
        <v>48</v>
      </c>
      <c r="O1980">
        <v>41</v>
      </c>
      <c r="P1980">
        <v>3.5</v>
      </c>
      <c r="Q1980" t="s">
        <v>31</v>
      </c>
      <c r="R1980">
        <v>0</v>
      </c>
      <c r="S1980">
        <v>99</v>
      </c>
      <c r="T1980">
        <v>0</v>
      </c>
      <c r="U1980">
        <v>1</v>
      </c>
      <c r="V1980">
        <v>5</v>
      </c>
      <c r="W1980" t="s">
        <v>55</v>
      </c>
      <c r="X1980">
        <v>1</v>
      </c>
      <c r="Y1980" t="str">
        <f t="shared" si="30"/>
        <v>High</v>
      </c>
    </row>
    <row r="1981" spans="1:25">
      <c r="A1981" t="s">
        <v>2094</v>
      </c>
      <c r="B1981" s="1">
        <v>44947</v>
      </c>
      <c r="C1981" s="2">
        <v>0.82291666666666663</v>
      </c>
      <c r="D1981" t="s">
        <v>74</v>
      </c>
      <c r="E1981" t="s">
        <v>126</v>
      </c>
      <c r="F1981" t="s">
        <v>123</v>
      </c>
      <c r="G1981" t="s">
        <v>135</v>
      </c>
      <c r="H1981" s="2">
        <v>0.82499999999999996</v>
      </c>
      <c r="I1981" s="2">
        <v>0.84027777777777779</v>
      </c>
      <c r="J1981">
        <v>6</v>
      </c>
      <c r="K1981">
        <v>6</v>
      </c>
      <c r="L1981" t="s">
        <v>38</v>
      </c>
      <c r="M1981">
        <v>10</v>
      </c>
      <c r="N1981">
        <v>52</v>
      </c>
      <c r="O1981">
        <v>4</v>
      </c>
      <c r="P1981">
        <v>17.8</v>
      </c>
      <c r="Q1981" t="s">
        <v>31</v>
      </c>
      <c r="R1981">
        <v>0</v>
      </c>
      <c r="S1981">
        <v>81</v>
      </c>
      <c r="T1981">
        <v>0</v>
      </c>
      <c r="U1981">
        <v>0</v>
      </c>
      <c r="V1981">
        <v>5</v>
      </c>
      <c r="W1981" t="s">
        <v>39</v>
      </c>
      <c r="X1981">
        <v>1</v>
      </c>
      <c r="Y1981" t="str">
        <f t="shared" si="30"/>
        <v>High</v>
      </c>
    </row>
    <row r="1982" spans="1:25">
      <c r="A1982" t="s">
        <v>2095</v>
      </c>
      <c r="B1982" s="1">
        <v>44947</v>
      </c>
      <c r="C1982" s="2">
        <v>0.83333333333333337</v>
      </c>
      <c r="D1982" t="s">
        <v>41</v>
      </c>
      <c r="E1982" t="s">
        <v>79</v>
      </c>
      <c r="F1982" t="s">
        <v>163</v>
      </c>
      <c r="G1982" t="s">
        <v>49</v>
      </c>
      <c r="H1982" s="2">
        <v>0.83333333333333337</v>
      </c>
      <c r="I1982" s="2">
        <v>0.86388888888888893</v>
      </c>
      <c r="J1982">
        <v>17</v>
      </c>
      <c r="K1982">
        <v>14</v>
      </c>
      <c r="L1982" t="s">
        <v>54</v>
      </c>
      <c r="M1982">
        <v>15.1</v>
      </c>
      <c r="N1982">
        <v>76</v>
      </c>
      <c r="O1982">
        <v>10</v>
      </c>
      <c r="P1982">
        <v>2.4</v>
      </c>
      <c r="Q1982" t="s">
        <v>101</v>
      </c>
      <c r="R1982">
        <v>10000</v>
      </c>
      <c r="S1982">
        <v>69</v>
      </c>
      <c r="T1982">
        <v>1</v>
      </c>
      <c r="U1982">
        <v>1</v>
      </c>
      <c r="V1982">
        <v>5</v>
      </c>
      <c r="W1982" t="s">
        <v>72</v>
      </c>
      <c r="X1982">
        <v>1</v>
      </c>
      <c r="Y1982" t="str">
        <f t="shared" si="30"/>
        <v>High</v>
      </c>
    </row>
    <row r="1983" spans="1:25">
      <c r="A1983" t="s">
        <v>2096</v>
      </c>
      <c r="B1983" s="1">
        <v>44947</v>
      </c>
      <c r="C1983" s="2">
        <v>0.84375</v>
      </c>
      <c r="D1983" t="s">
        <v>34</v>
      </c>
      <c r="E1983" t="s">
        <v>111</v>
      </c>
      <c r="F1983" t="s">
        <v>76</v>
      </c>
      <c r="G1983" t="s">
        <v>70</v>
      </c>
      <c r="H1983" s="2">
        <v>0.84513888888888888</v>
      </c>
      <c r="I1983" s="2">
        <v>0.87361111111111112</v>
      </c>
      <c r="J1983">
        <v>10</v>
      </c>
      <c r="K1983">
        <v>23</v>
      </c>
      <c r="L1983" t="s">
        <v>30</v>
      </c>
      <c r="M1983">
        <v>-1.9</v>
      </c>
      <c r="N1983">
        <v>95</v>
      </c>
      <c r="O1983">
        <v>37</v>
      </c>
      <c r="P1983">
        <v>5.5</v>
      </c>
      <c r="Q1983" t="s">
        <v>31</v>
      </c>
      <c r="R1983">
        <v>0</v>
      </c>
      <c r="S1983">
        <v>86</v>
      </c>
      <c r="T1983">
        <v>0</v>
      </c>
      <c r="U1983">
        <v>0</v>
      </c>
      <c r="V1983">
        <v>5</v>
      </c>
      <c r="W1983" t="s">
        <v>39</v>
      </c>
      <c r="X1983">
        <v>1</v>
      </c>
      <c r="Y1983" t="str">
        <f t="shared" si="30"/>
        <v>High</v>
      </c>
    </row>
    <row r="1984" spans="1:25">
      <c r="A1984" t="s">
        <v>2097</v>
      </c>
      <c r="B1984" s="1">
        <v>44947</v>
      </c>
      <c r="C1984" s="2">
        <v>0.85416666666666663</v>
      </c>
      <c r="D1984" t="s">
        <v>34</v>
      </c>
      <c r="E1984" t="s">
        <v>79</v>
      </c>
      <c r="F1984" t="s">
        <v>65</v>
      </c>
      <c r="G1984" t="s">
        <v>87</v>
      </c>
      <c r="H1984" s="2">
        <v>0.85416666666666663</v>
      </c>
      <c r="I1984" s="2">
        <v>0.88472222222222219</v>
      </c>
      <c r="J1984">
        <v>-1</v>
      </c>
      <c r="K1984">
        <v>27</v>
      </c>
      <c r="L1984" t="s">
        <v>30</v>
      </c>
      <c r="M1984">
        <v>22.3</v>
      </c>
      <c r="N1984">
        <v>80</v>
      </c>
      <c r="O1984">
        <v>3</v>
      </c>
      <c r="P1984">
        <v>16.2</v>
      </c>
      <c r="Q1984" t="s">
        <v>101</v>
      </c>
      <c r="R1984">
        <v>0</v>
      </c>
      <c r="S1984">
        <v>73</v>
      </c>
      <c r="T1984">
        <v>0</v>
      </c>
      <c r="U1984">
        <v>0</v>
      </c>
      <c r="V1984">
        <v>5</v>
      </c>
      <c r="W1984" t="s">
        <v>55</v>
      </c>
      <c r="X1984">
        <v>1</v>
      </c>
      <c r="Y1984" t="str">
        <f t="shared" si="30"/>
        <v>High</v>
      </c>
    </row>
    <row r="1985" spans="1:25">
      <c r="A1985" t="s">
        <v>2098</v>
      </c>
      <c r="B1985" s="1">
        <v>44947</v>
      </c>
      <c r="C1985" s="2">
        <v>0.86458333333333337</v>
      </c>
      <c r="D1985" t="s">
        <v>26</v>
      </c>
      <c r="E1985" t="s">
        <v>111</v>
      </c>
      <c r="F1985" t="s">
        <v>50</v>
      </c>
      <c r="G1985" t="s">
        <v>144</v>
      </c>
      <c r="H1985" s="2">
        <v>0.86527777777777781</v>
      </c>
      <c r="I1985" s="2">
        <v>0.88888888888888884</v>
      </c>
      <c r="J1985">
        <v>10</v>
      </c>
      <c r="K1985">
        <v>23</v>
      </c>
      <c r="L1985" t="s">
        <v>84</v>
      </c>
      <c r="M1985">
        <v>9.1</v>
      </c>
      <c r="N1985">
        <v>57</v>
      </c>
      <c r="O1985">
        <v>38</v>
      </c>
      <c r="P1985">
        <v>18</v>
      </c>
      <c r="Q1985" t="s">
        <v>31</v>
      </c>
      <c r="R1985">
        <v>2000</v>
      </c>
      <c r="S1985">
        <v>6</v>
      </c>
      <c r="T1985">
        <v>0</v>
      </c>
      <c r="U1985">
        <v>0</v>
      </c>
      <c r="V1985">
        <v>5</v>
      </c>
      <c r="W1985" t="s">
        <v>72</v>
      </c>
      <c r="X1985">
        <v>1</v>
      </c>
      <c r="Y1985" t="str">
        <f t="shared" si="30"/>
        <v>Low</v>
      </c>
    </row>
    <row r="1986" spans="1:25">
      <c r="A1986" t="s">
        <v>2099</v>
      </c>
      <c r="B1986" s="1">
        <v>44947</v>
      </c>
      <c r="C1986" s="2">
        <v>0.875</v>
      </c>
      <c r="D1986" t="s">
        <v>74</v>
      </c>
      <c r="E1986" t="s">
        <v>126</v>
      </c>
      <c r="F1986" t="s">
        <v>83</v>
      </c>
      <c r="G1986" t="s">
        <v>105</v>
      </c>
      <c r="H1986" s="2">
        <v>0.875</v>
      </c>
      <c r="I1986" s="2">
        <v>0.89930555555555558</v>
      </c>
      <c r="J1986">
        <v>6</v>
      </c>
      <c r="K1986">
        <v>-3</v>
      </c>
      <c r="L1986" t="s">
        <v>38</v>
      </c>
      <c r="M1986">
        <v>4</v>
      </c>
      <c r="N1986">
        <v>86</v>
      </c>
      <c r="O1986">
        <v>18</v>
      </c>
      <c r="P1986">
        <v>13.7</v>
      </c>
      <c r="Q1986" t="s">
        <v>31</v>
      </c>
      <c r="R1986">
        <v>0</v>
      </c>
      <c r="S1986">
        <v>43</v>
      </c>
      <c r="T1986">
        <v>0</v>
      </c>
      <c r="U1986">
        <v>1</v>
      </c>
      <c r="V1986">
        <v>5</v>
      </c>
      <c r="W1986" t="s">
        <v>39</v>
      </c>
      <c r="X1986">
        <v>0</v>
      </c>
      <c r="Y1986" t="str">
        <f t="shared" ref="Y1986:Y2001" si="31">IF(S1986&lt;=33,"Low",IF(S1986&lt;=66,"Medium","High"))</f>
        <v>Medium</v>
      </c>
    </row>
    <row r="1987" spans="1:25">
      <c r="A1987" t="s">
        <v>2100</v>
      </c>
      <c r="B1987" s="1">
        <v>44947</v>
      </c>
      <c r="C1987" s="2">
        <v>0.88541666666666663</v>
      </c>
      <c r="D1987" t="s">
        <v>74</v>
      </c>
      <c r="E1987" t="s">
        <v>27</v>
      </c>
      <c r="F1987" t="s">
        <v>95</v>
      </c>
      <c r="G1987" t="s">
        <v>66</v>
      </c>
      <c r="H1987" s="2">
        <v>0.88749999999999996</v>
      </c>
      <c r="I1987" s="2">
        <v>0.90277777777777779</v>
      </c>
      <c r="J1987">
        <v>17</v>
      </c>
      <c r="K1987">
        <v>2</v>
      </c>
      <c r="L1987" t="s">
        <v>84</v>
      </c>
      <c r="M1987">
        <v>6.1</v>
      </c>
      <c r="N1987">
        <v>87</v>
      </c>
      <c r="O1987">
        <v>38</v>
      </c>
      <c r="P1987">
        <v>2.1</v>
      </c>
      <c r="Q1987" t="s">
        <v>31</v>
      </c>
      <c r="R1987">
        <v>0</v>
      </c>
      <c r="S1987">
        <v>71</v>
      </c>
      <c r="T1987">
        <v>0</v>
      </c>
      <c r="U1987">
        <v>0</v>
      </c>
      <c r="V1987">
        <v>5</v>
      </c>
      <c r="W1987" t="s">
        <v>72</v>
      </c>
      <c r="X1987">
        <v>0</v>
      </c>
      <c r="Y1987" t="str">
        <f t="shared" si="31"/>
        <v>High</v>
      </c>
    </row>
    <row r="1988" spans="1:25">
      <c r="A1988" t="s">
        <v>2101</v>
      </c>
      <c r="B1988" s="1">
        <v>44947</v>
      </c>
      <c r="C1988" s="2">
        <v>0.89583333333333337</v>
      </c>
      <c r="D1988" t="s">
        <v>74</v>
      </c>
      <c r="E1988" t="s">
        <v>157</v>
      </c>
      <c r="F1988" t="s">
        <v>43</v>
      </c>
      <c r="G1988" t="s">
        <v>135</v>
      </c>
      <c r="H1988" s="2">
        <v>0.89861111111111114</v>
      </c>
      <c r="I1988" s="2">
        <v>0.93472222222222223</v>
      </c>
      <c r="J1988">
        <v>3</v>
      </c>
      <c r="K1988">
        <v>7</v>
      </c>
      <c r="L1988" t="s">
        <v>30</v>
      </c>
      <c r="M1988">
        <v>2.2000000000000002</v>
      </c>
      <c r="N1988">
        <v>44</v>
      </c>
      <c r="O1988">
        <v>45</v>
      </c>
      <c r="P1988">
        <v>10.5</v>
      </c>
      <c r="Q1988" t="s">
        <v>71</v>
      </c>
      <c r="R1988">
        <v>0</v>
      </c>
      <c r="S1988">
        <v>12</v>
      </c>
      <c r="T1988">
        <v>0</v>
      </c>
      <c r="U1988">
        <v>0</v>
      </c>
      <c r="V1988">
        <v>5</v>
      </c>
      <c r="W1988" t="s">
        <v>72</v>
      </c>
      <c r="X1988">
        <v>1</v>
      </c>
      <c r="Y1988" t="str">
        <f t="shared" si="31"/>
        <v>Low</v>
      </c>
    </row>
    <row r="1989" spans="1:25">
      <c r="A1989" t="s">
        <v>2102</v>
      </c>
      <c r="B1989" s="1">
        <v>44947</v>
      </c>
      <c r="C1989" s="2">
        <v>0.90625</v>
      </c>
      <c r="D1989" t="s">
        <v>34</v>
      </c>
      <c r="E1989" t="s">
        <v>93</v>
      </c>
      <c r="F1989" t="s">
        <v>185</v>
      </c>
      <c r="G1989" t="s">
        <v>95</v>
      </c>
      <c r="H1989" s="2">
        <v>0.90625</v>
      </c>
      <c r="I1989" s="2">
        <v>0.93402777777777779</v>
      </c>
      <c r="J1989">
        <v>-2</v>
      </c>
      <c r="K1989">
        <v>16</v>
      </c>
      <c r="L1989" t="s">
        <v>54</v>
      </c>
      <c r="M1989">
        <v>31.1</v>
      </c>
      <c r="N1989">
        <v>45</v>
      </c>
      <c r="O1989">
        <v>48</v>
      </c>
      <c r="P1989">
        <v>11.5</v>
      </c>
      <c r="Q1989" t="s">
        <v>31</v>
      </c>
      <c r="R1989">
        <v>0</v>
      </c>
      <c r="S1989">
        <v>93</v>
      </c>
      <c r="T1989">
        <v>1</v>
      </c>
      <c r="U1989">
        <v>0</v>
      </c>
      <c r="V1989">
        <v>5</v>
      </c>
      <c r="W1989" t="s">
        <v>39</v>
      </c>
      <c r="X1989">
        <v>1</v>
      </c>
      <c r="Y1989" t="str">
        <f t="shared" si="31"/>
        <v>High</v>
      </c>
    </row>
    <row r="1990" spans="1:25">
      <c r="A1990" t="s">
        <v>2103</v>
      </c>
      <c r="B1990" s="1">
        <v>44947</v>
      </c>
      <c r="C1990" s="2">
        <v>0.91666666666666663</v>
      </c>
      <c r="D1990" t="s">
        <v>26</v>
      </c>
      <c r="E1990" t="s">
        <v>52</v>
      </c>
      <c r="F1990" t="s">
        <v>118</v>
      </c>
      <c r="G1990" t="s">
        <v>105</v>
      </c>
      <c r="H1990" s="2">
        <v>0.91666666666666663</v>
      </c>
      <c r="I1990" s="2">
        <v>0.93263888888888891</v>
      </c>
      <c r="J1990">
        <v>2</v>
      </c>
      <c r="K1990">
        <v>17</v>
      </c>
      <c r="L1990" t="s">
        <v>54</v>
      </c>
      <c r="M1990">
        <v>1.8</v>
      </c>
      <c r="N1990">
        <v>76</v>
      </c>
      <c r="O1990">
        <v>22</v>
      </c>
      <c r="P1990">
        <v>5.6</v>
      </c>
      <c r="Q1990" t="s">
        <v>31</v>
      </c>
      <c r="R1990">
        <v>0</v>
      </c>
      <c r="S1990">
        <v>81</v>
      </c>
      <c r="T1990">
        <v>0</v>
      </c>
      <c r="U1990">
        <v>0</v>
      </c>
      <c r="V1990">
        <v>5</v>
      </c>
      <c r="W1990" t="s">
        <v>32</v>
      </c>
      <c r="X1990">
        <v>1</v>
      </c>
      <c r="Y1990" t="str">
        <f t="shared" si="31"/>
        <v>High</v>
      </c>
    </row>
    <row r="1991" spans="1:25">
      <c r="A1991" t="s">
        <v>2104</v>
      </c>
      <c r="B1991" s="1">
        <v>44947</v>
      </c>
      <c r="C1991" s="2">
        <v>0.92708333333333337</v>
      </c>
      <c r="D1991" t="s">
        <v>41</v>
      </c>
      <c r="E1991" t="s">
        <v>79</v>
      </c>
      <c r="F1991" t="s">
        <v>100</v>
      </c>
      <c r="G1991" t="s">
        <v>123</v>
      </c>
      <c r="H1991" s="2">
        <v>0.92847222222222225</v>
      </c>
      <c r="I1991" s="2">
        <v>0.96388888888888891</v>
      </c>
      <c r="J1991">
        <v>0</v>
      </c>
      <c r="K1991">
        <v>17</v>
      </c>
      <c r="L1991" t="s">
        <v>77</v>
      </c>
      <c r="M1991">
        <v>30.3</v>
      </c>
      <c r="N1991">
        <v>92</v>
      </c>
      <c r="O1991">
        <v>16</v>
      </c>
      <c r="P1991">
        <v>19.8</v>
      </c>
      <c r="Q1991" t="s">
        <v>31</v>
      </c>
      <c r="R1991">
        <v>0</v>
      </c>
      <c r="S1991">
        <v>77</v>
      </c>
      <c r="T1991">
        <v>0</v>
      </c>
      <c r="U1991">
        <v>0</v>
      </c>
      <c r="V1991">
        <v>5</v>
      </c>
      <c r="W1991" t="s">
        <v>32</v>
      </c>
      <c r="X1991">
        <v>1</v>
      </c>
      <c r="Y1991" t="str">
        <f t="shared" si="31"/>
        <v>High</v>
      </c>
    </row>
    <row r="1992" spans="1:25">
      <c r="A1992" t="s">
        <v>2105</v>
      </c>
      <c r="B1992" s="1">
        <v>44947</v>
      </c>
      <c r="C1992" s="2">
        <v>0.9375</v>
      </c>
      <c r="D1992" t="s">
        <v>34</v>
      </c>
      <c r="E1992" t="s">
        <v>35</v>
      </c>
      <c r="F1992" t="s">
        <v>168</v>
      </c>
      <c r="G1992" t="s">
        <v>95</v>
      </c>
      <c r="H1992" s="2">
        <v>0.93958333333333333</v>
      </c>
      <c r="I1992" s="2">
        <v>0.97013888888888888</v>
      </c>
      <c r="J1992">
        <v>1</v>
      </c>
      <c r="K1992">
        <v>14</v>
      </c>
      <c r="L1992" t="s">
        <v>38</v>
      </c>
      <c r="M1992">
        <v>17.899999999999999</v>
      </c>
      <c r="N1992">
        <v>41</v>
      </c>
      <c r="O1992">
        <v>12</v>
      </c>
      <c r="P1992">
        <v>6.7</v>
      </c>
      <c r="Q1992" t="s">
        <v>31</v>
      </c>
      <c r="R1992">
        <v>2000</v>
      </c>
      <c r="S1992">
        <v>74</v>
      </c>
      <c r="T1992">
        <v>0</v>
      </c>
      <c r="U1992">
        <v>0</v>
      </c>
      <c r="V1992">
        <v>5</v>
      </c>
      <c r="W1992" t="s">
        <v>55</v>
      </c>
      <c r="X1992">
        <v>1</v>
      </c>
      <c r="Y1992" t="str">
        <f t="shared" si="31"/>
        <v>High</v>
      </c>
    </row>
    <row r="1993" spans="1:25">
      <c r="A1993" t="s">
        <v>2106</v>
      </c>
      <c r="B1993" s="1">
        <v>44947</v>
      </c>
      <c r="C1993" s="2">
        <v>0.94791666666666663</v>
      </c>
      <c r="D1993" t="s">
        <v>26</v>
      </c>
      <c r="E1993" t="s">
        <v>111</v>
      </c>
      <c r="F1993" t="s">
        <v>75</v>
      </c>
      <c r="G1993" t="s">
        <v>118</v>
      </c>
      <c r="H1993" s="2">
        <v>0.9506944444444444</v>
      </c>
      <c r="I1993" s="2">
        <v>0.98750000000000004</v>
      </c>
      <c r="J1993">
        <v>-2</v>
      </c>
      <c r="K1993">
        <v>17</v>
      </c>
      <c r="L1993" t="s">
        <v>54</v>
      </c>
      <c r="M1993">
        <v>29.7</v>
      </c>
      <c r="N1993">
        <v>72</v>
      </c>
      <c r="O1993">
        <v>26</v>
      </c>
      <c r="P1993">
        <v>4.2</v>
      </c>
      <c r="Q1993" t="s">
        <v>71</v>
      </c>
      <c r="R1993">
        <v>10000</v>
      </c>
      <c r="S1993">
        <v>37</v>
      </c>
      <c r="T1993">
        <v>0</v>
      </c>
      <c r="U1993">
        <v>0</v>
      </c>
      <c r="V1993">
        <v>5</v>
      </c>
      <c r="W1993" t="s">
        <v>55</v>
      </c>
      <c r="X1993">
        <v>1</v>
      </c>
      <c r="Y1993" t="str">
        <f t="shared" si="31"/>
        <v>Medium</v>
      </c>
    </row>
    <row r="1994" spans="1:25">
      <c r="A1994" t="s">
        <v>2107</v>
      </c>
      <c r="B1994" s="1">
        <v>44947</v>
      </c>
      <c r="C1994" s="2">
        <v>0.95833333333333337</v>
      </c>
      <c r="D1994" t="s">
        <v>26</v>
      </c>
      <c r="E1994" t="s">
        <v>141</v>
      </c>
      <c r="F1994" t="s">
        <v>95</v>
      </c>
      <c r="G1994" t="s">
        <v>176</v>
      </c>
      <c r="H1994" s="2">
        <v>0.95902777777777781</v>
      </c>
      <c r="I1994" s="2">
        <v>0.99097222222222225</v>
      </c>
      <c r="J1994">
        <v>11</v>
      </c>
      <c r="K1994">
        <v>15</v>
      </c>
      <c r="L1994" t="s">
        <v>38</v>
      </c>
      <c r="M1994">
        <v>14</v>
      </c>
      <c r="N1994">
        <v>58</v>
      </c>
      <c r="O1994">
        <v>0</v>
      </c>
      <c r="P1994">
        <v>2.2000000000000002</v>
      </c>
      <c r="Q1994" t="s">
        <v>31</v>
      </c>
      <c r="R1994">
        <v>500</v>
      </c>
      <c r="S1994">
        <v>12</v>
      </c>
      <c r="T1994">
        <v>0</v>
      </c>
      <c r="U1994">
        <v>0</v>
      </c>
      <c r="V1994">
        <v>5</v>
      </c>
      <c r="W1994" t="s">
        <v>39</v>
      </c>
      <c r="X1994">
        <v>1</v>
      </c>
      <c r="Y1994" t="str">
        <f t="shared" si="31"/>
        <v>Low</v>
      </c>
    </row>
    <row r="1995" spans="1:25">
      <c r="A1995" t="s">
        <v>2108</v>
      </c>
      <c r="B1995" s="1">
        <v>44947</v>
      </c>
      <c r="C1995" s="2">
        <v>0.96875</v>
      </c>
      <c r="D1995" t="s">
        <v>41</v>
      </c>
      <c r="E1995" t="s">
        <v>79</v>
      </c>
      <c r="F1995" t="s">
        <v>163</v>
      </c>
      <c r="G1995" t="s">
        <v>118</v>
      </c>
      <c r="H1995" s="2">
        <v>0.96875</v>
      </c>
      <c r="I1995" s="2">
        <v>0.99375000000000002</v>
      </c>
      <c r="J1995">
        <v>6</v>
      </c>
      <c r="K1995">
        <v>0</v>
      </c>
      <c r="L1995" t="s">
        <v>84</v>
      </c>
      <c r="M1995">
        <v>32.1</v>
      </c>
      <c r="N1995">
        <v>78</v>
      </c>
      <c r="O1995">
        <v>1</v>
      </c>
      <c r="P1995">
        <v>7.6</v>
      </c>
      <c r="Q1995" t="s">
        <v>31</v>
      </c>
      <c r="R1995">
        <v>500</v>
      </c>
      <c r="S1995">
        <v>53</v>
      </c>
      <c r="T1995">
        <v>0</v>
      </c>
      <c r="U1995">
        <v>1</v>
      </c>
      <c r="V1995">
        <v>5</v>
      </c>
      <c r="W1995" t="s">
        <v>72</v>
      </c>
      <c r="X1995">
        <v>0</v>
      </c>
      <c r="Y1995" t="str">
        <f t="shared" si="31"/>
        <v>Medium</v>
      </c>
    </row>
    <row r="1996" spans="1:25">
      <c r="A1996" t="s">
        <v>2109</v>
      </c>
      <c r="B1996" s="1">
        <v>44947</v>
      </c>
      <c r="C1996" s="2">
        <v>0.97916666666666663</v>
      </c>
      <c r="D1996" t="s">
        <v>41</v>
      </c>
      <c r="E1996" t="s">
        <v>141</v>
      </c>
      <c r="F1996" t="s">
        <v>29</v>
      </c>
      <c r="G1996" t="s">
        <v>128</v>
      </c>
      <c r="H1996" s="2">
        <v>0.9819444444444444</v>
      </c>
      <c r="I1996" s="2">
        <v>2.0833333333333333E-3</v>
      </c>
      <c r="J1996">
        <v>1</v>
      </c>
      <c r="K1996">
        <v>9</v>
      </c>
      <c r="L1996" t="s">
        <v>77</v>
      </c>
      <c r="M1996">
        <v>3.5</v>
      </c>
      <c r="N1996">
        <v>32</v>
      </c>
      <c r="O1996">
        <v>17</v>
      </c>
      <c r="P1996">
        <v>13.9</v>
      </c>
      <c r="Q1996" t="s">
        <v>31</v>
      </c>
      <c r="R1996">
        <v>0</v>
      </c>
      <c r="S1996">
        <v>43</v>
      </c>
      <c r="T1996">
        <v>1</v>
      </c>
      <c r="U1996">
        <v>0</v>
      </c>
      <c r="V1996">
        <v>5</v>
      </c>
      <c r="W1996" t="s">
        <v>72</v>
      </c>
      <c r="X1996">
        <v>1</v>
      </c>
      <c r="Y1996" t="str">
        <f t="shared" si="31"/>
        <v>Medium</v>
      </c>
    </row>
    <row r="1997" spans="1:25">
      <c r="A1997" t="s">
        <v>2110</v>
      </c>
      <c r="B1997" s="1">
        <v>44947</v>
      </c>
      <c r="C1997" s="2">
        <v>0.98958333333333337</v>
      </c>
      <c r="D1997" t="s">
        <v>41</v>
      </c>
      <c r="E1997" t="s">
        <v>147</v>
      </c>
      <c r="F1997" t="s">
        <v>176</v>
      </c>
      <c r="G1997" t="s">
        <v>185</v>
      </c>
      <c r="H1997" s="2">
        <v>0.99027777777777781</v>
      </c>
      <c r="I1997" s="2">
        <v>7.6388888888888886E-3</v>
      </c>
      <c r="J1997">
        <v>15</v>
      </c>
      <c r="K1997">
        <v>14</v>
      </c>
      <c r="L1997" t="s">
        <v>30</v>
      </c>
      <c r="M1997">
        <v>17.2</v>
      </c>
      <c r="N1997">
        <v>98</v>
      </c>
      <c r="O1997">
        <v>35</v>
      </c>
      <c r="P1997">
        <v>4.5999999999999996</v>
      </c>
      <c r="Q1997" t="s">
        <v>31</v>
      </c>
      <c r="R1997">
        <v>0</v>
      </c>
      <c r="S1997">
        <v>96</v>
      </c>
      <c r="T1997">
        <v>0</v>
      </c>
      <c r="U1997">
        <v>0</v>
      </c>
      <c r="V1997">
        <v>5</v>
      </c>
      <c r="W1997" t="s">
        <v>32</v>
      </c>
      <c r="X1997">
        <v>1</v>
      </c>
      <c r="Y1997" t="str">
        <f t="shared" si="31"/>
        <v>High</v>
      </c>
    </row>
    <row r="1998" spans="1:25">
      <c r="A1998" t="s">
        <v>2111</v>
      </c>
      <c r="B1998" s="1">
        <v>44948</v>
      </c>
      <c r="C1998" s="2">
        <v>0</v>
      </c>
      <c r="D1998" t="s">
        <v>74</v>
      </c>
      <c r="E1998" t="s">
        <v>89</v>
      </c>
      <c r="F1998" t="s">
        <v>99</v>
      </c>
      <c r="G1998" t="s">
        <v>44</v>
      </c>
      <c r="H1998" s="2">
        <v>2.0833333333333333E-3</v>
      </c>
      <c r="I1998" s="2">
        <v>2.8472222222222222E-2</v>
      </c>
      <c r="J1998">
        <v>11</v>
      </c>
      <c r="K1998">
        <v>25</v>
      </c>
      <c r="L1998" t="s">
        <v>54</v>
      </c>
      <c r="M1998">
        <v>0</v>
      </c>
      <c r="N1998">
        <v>89</v>
      </c>
      <c r="O1998">
        <v>44</v>
      </c>
      <c r="P1998">
        <v>15.4</v>
      </c>
      <c r="Q1998" t="s">
        <v>101</v>
      </c>
      <c r="R1998">
        <v>0</v>
      </c>
      <c r="S1998">
        <v>12</v>
      </c>
      <c r="T1998">
        <v>0</v>
      </c>
      <c r="U1998">
        <v>1</v>
      </c>
      <c r="V1998">
        <v>6</v>
      </c>
      <c r="W1998" t="s">
        <v>32</v>
      </c>
      <c r="X1998">
        <v>1</v>
      </c>
      <c r="Y1998" t="str">
        <f t="shared" si="31"/>
        <v>Low</v>
      </c>
    </row>
    <row r="1999" spans="1:25">
      <c r="A1999" t="s">
        <v>2112</v>
      </c>
      <c r="B1999" s="1">
        <v>44948</v>
      </c>
      <c r="C1999" s="2">
        <v>1.0416666666666666E-2</v>
      </c>
      <c r="D1999" t="s">
        <v>41</v>
      </c>
      <c r="E1999" t="s">
        <v>35</v>
      </c>
      <c r="F1999" t="s">
        <v>107</v>
      </c>
      <c r="G1999" t="s">
        <v>168</v>
      </c>
      <c r="H1999" s="2">
        <v>1.2500000000000001E-2</v>
      </c>
      <c r="I1999" s="2">
        <v>2.4305555555555556E-2</v>
      </c>
      <c r="J1999">
        <v>1</v>
      </c>
      <c r="K1999">
        <v>21</v>
      </c>
      <c r="L1999" t="s">
        <v>54</v>
      </c>
      <c r="M1999">
        <v>12.9</v>
      </c>
      <c r="N1999">
        <v>95</v>
      </c>
      <c r="O1999">
        <v>32</v>
      </c>
      <c r="P1999">
        <v>2.7</v>
      </c>
      <c r="Q1999" t="s">
        <v>31</v>
      </c>
      <c r="R1999">
        <v>0</v>
      </c>
      <c r="S1999">
        <v>24</v>
      </c>
      <c r="T1999">
        <v>1</v>
      </c>
      <c r="U1999">
        <v>0</v>
      </c>
      <c r="V1999">
        <v>6</v>
      </c>
      <c r="W1999" t="s">
        <v>72</v>
      </c>
      <c r="X1999">
        <v>1</v>
      </c>
      <c r="Y1999" t="str">
        <f t="shared" si="31"/>
        <v>Low</v>
      </c>
    </row>
    <row r="2000" spans="1:25">
      <c r="A2000" t="s">
        <v>2113</v>
      </c>
      <c r="B2000" s="1">
        <v>44948</v>
      </c>
      <c r="C2000" s="2">
        <v>2.0833333333333332E-2</v>
      </c>
      <c r="D2000" t="s">
        <v>26</v>
      </c>
      <c r="E2000" t="s">
        <v>57</v>
      </c>
      <c r="F2000" t="s">
        <v>43</v>
      </c>
      <c r="G2000" t="s">
        <v>87</v>
      </c>
      <c r="H2000" s="2">
        <v>2.361111111111111E-2</v>
      </c>
      <c r="I2000" s="2">
        <v>5.4166666666666669E-2</v>
      </c>
      <c r="J2000">
        <v>7</v>
      </c>
      <c r="K2000">
        <v>9</v>
      </c>
      <c r="L2000" t="s">
        <v>45</v>
      </c>
      <c r="M2000">
        <v>17.8</v>
      </c>
      <c r="N2000">
        <v>55</v>
      </c>
      <c r="O2000">
        <v>35</v>
      </c>
      <c r="P2000">
        <v>8.8000000000000007</v>
      </c>
      <c r="Q2000" t="s">
        <v>31</v>
      </c>
      <c r="R2000">
        <v>2000</v>
      </c>
      <c r="S2000">
        <v>23</v>
      </c>
      <c r="T2000">
        <v>0</v>
      </c>
      <c r="U2000">
        <v>0</v>
      </c>
      <c r="V2000">
        <v>6</v>
      </c>
      <c r="W2000" t="s">
        <v>72</v>
      </c>
      <c r="X2000">
        <v>1</v>
      </c>
      <c r="Y2000" t="str">
        <f t="shared" si="31"/>
        <v>Low</v>
      </c>
    </row>
    <row r="2001" spans="1:25">
      <c r="A2001" t="s">
        <v>2114</v>
      </c>
      <c r="B2001" s="1">
        <v>44948</v>
      </c>
      <c r="C2001" s="2">
        <v>3.125E-2</v>
      </c>
      <c r="D2001" t="s">
        <v>41</v>
      </c>
      <c r="E2001" t="s">
        <v>27</v>
      </c>
      <c r="F2001" t="s">
        <v>75</v>
      </c>
      <c r="G2001" t="s">
        <v>142</v>
      </c>
      <c r="H2001" s="2">
        <v>3.1944444444444442E-2</v>
      </c>
      <c r="I2001" s="2">
        <v>6.5972222222222224E-2</v>
      </c>
      <c r="J2001">
        <v>0</v>
      </c>
      <c r="K2001">
        <v>23</v>
      </c>
      <c r="L2001" t="s">
        <v>30</v>
      </c>
      <c r="M2001">
        <v>19.2</v>
      </c>
      <c r="N2001">
        <v>98</v>
      </c>
      <c r="O2001">
        <v>1</v>
      </c>
      <c r="P2001">
        <v>14</v>
      </c>
      <c r="Q2001" t="s">
        <v>31</v>
      </c>
      <c r="R2001">
        <v>50000</v>
      </c>
      <c r="S2001">
        <v>28</v>
      </c>
      <c r="T2001">
        <v>0</v>
      </c>
      <c r="U2001">
        <v>0</v>
      </c>
      <c r="V2001">
        <v>6</v>
      </c>
      <c r="W2001" t="s">
        <v>55</v>
      </c>
      <c r="X2001">
        <v>1</v>
      </c>
      <c r="Y2001" t="str">
        <f t="shared" si="31"/>
        <v>Low</v>
      </c>
    </row>
  </sheetData>
  <autoFilter ref="F2013" xr:uid="{D6D9ABA2-39EF-426D-9B7B-B0C080A1F57C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572E-4D4A-4BDB-BAC2-03E20183F0FA}">
  <dimension ref="A3:C11"/>
  <sheetViews>
    <sheetView workbookViewId="0">
      <selection activeCell="O3" sqref="O3"/>
    </sheetView>
  </sheetViews>
  <sheetFormatPr defaultRowHeight="15"/>
  <cols>
    <col min="1" max="1" width="17.85546875" bestFit="1" customWidth="1"/>
    <col min="2" max="2" width="34.7109375" bestFit="1" customWidth="1"/>
  </cols>
  <sheetData>
    <row r="3" spans="1:3">
      <c r="A3" s="3" t="s">
        <v>3</v>
      </c>
      <c r="B3" t="s">
        <v>2115</v>
      </c>
    </row>
    <row r="4" spans="1:3">
      <c r="A4" t="s">
        <v>41</v>
      </c>
      <c r="B4" s="4">
        <v>13.540952380952382</v>
      </c>
    </row>
    <row r="5" spans="1:3">
      <c r="A5" t="s">
        <v>34</v>
      </c>
      <c r="B5" s="4">
        <v>13.213849287169042</v>
      </c>
    </row>
    <row r="6" spans="1:3">
      <c r="A6" t="s">
        <v>74</v>
      </c>
      <c r="B6" s="4">
        <v>13.547667342799189</v>
      </c>
    </row>
    <row r="7" spans="1:3">
      <c r="A7" t="s">
        <v>26</v>
      </c>
      <c r="B7" s="4">
        <v>12.953156822810591</v>
      </c>
    </row>
    <row r="8" spans="1:3">
      <c r="A8" t="s">
        <v>2116</v>
      </c>
      <c r="B8" s="4">
        <v>13.318</v>
      </c>
    </row>
    <row r="11" spans="1:3">
      <c r="C11" t="s">
        <v>2117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13FD-7853-4219-80A4-7CDF61BC9882}">
  <dimension ref="A3:B10"/>
  <sheetViews>
    <sheetView workbookViewId="0">
      <selection activeCell="B7" sqref="B7"/>
    </sheetView>
  </sheetViews>
  <sheetFormatPr defaultRowHeight="15"/>
  <cols>
    <col min="1" max="1" width="21.5703125" bestFit="1" customWidth="1"/>
    <col min="2" max="2" width="34.7109375" bestFit="1" customWidth="1"/>
  </cols>
  <sheetData>
    <row r="3" spans="1:2">
      <c r="A3" s="3" t="s">
        <v>11</v>
      </c>
      <c r="B3" t="s">
        <v>2115</v>
      </c>
    </row>
    <row r="4" spans="1:2">
      <c r="A4" t="s">
        <v>45</v>
      </c>
      <c r="B4" s="4">
        <v>13.501457725947521</v>
      </c>
    </row>
    <row r="5" spans="1:2">
      <c r="A5" t="s">
        <v>84</v>
      </c>
      <c r="B5" s="4">
        <v>13.073846153846153</v>
      </c>
    </row>
    <row r="6" spans="1:2">
      <c r="A6" t="s">
        <v>77</v>
      </c>
      <c r="B6" s="4">
        <v>12.879154078549849</v>
      </c>
    </row>
    <row r="7" spans="1:2">
      <c r="A7" t="s">
        <v>38</v>
      </c>
      <c r="B7" s="4">
        <v>13.623052959501557</v>
      </c>
    </row>
    <row r="8" spans="1:2">
      <c r="A8" t="s">
        <v>54</v>
      </c>
      <c r="B8" s="4">
        <v>13.533527696793003</v>
      </c>
    </row>
    <row r="9" spans="1:2">
      <c r="A9" t="s">
        <v>30</v>
      </c>
      <c r="B9" s="4">
        <v>13.287833827893175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37EC-D63E-46EF-B2DB-5F4FA9BFD2E1}">
  <dimension ref="A3:B6"/>
  <sheetViews>
    <sheetView workbookViewId="0">
      <selection activeCell="N19" sqref="N19"/>
    </sheetView>
  </sheetViews>
  <sheetFormatPr defaultRowHeight="15"/>
  <cols>
    <col min="1" max="1" width="13.85546875" bestFit="1" customWidth="1"/>
    <col min="2" max="2" width="34.7109375" bestFit="1" customWidth="1"/>
  </cols>
  <sheetData>
    <row r="3" spans="1:2">
      <c r="A3" s="3" t="s">
        <v>20</v>
      </c>
      <c r="B3" t="s">
        <v>2115</v>
      </c>
    </row>
    <row r="4" spans="1:2">
      <c r="A4">
        <v>0</v>
      </c>
      <c r="B4" s="4">
        <v>13.302197802197803</v>
      </c>
    </row>
    <row r="5" spans="1:2">
      <c r="A5">
        <v>1</v>
      </c>
      <c r="B5" s="4">
        <v>13.360294117647058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36BE-A448-4EB0-81E6-CA59E9B36ED5}">
  <dimension ref="A3:B7"/>
  <sheetViews>
    <sheetView workbookViewId="0">
      <selection activeCell="B6" sqref="B6"/>
    </sheetView>
  </sheetViews>
  <sheetFormatPr defaultRowHeight="15"/>
  <cols>
    <col min="1" max="1" width="19.42578125" bestFit="1" customWidth="1"/>
    <col min="2" max="2" width="34.7109375" bestFit="1" customWidth="1"/>
  </cols>
  <sheetData>
    <row r="3" spans="1:2">
      <c r="A3" s="3" t="s">
        <v>24</v>
      </c>
      <c r="B3" t="s">
        <v>2115</v>
      </c>
    </row>
    <row r="4" spans="1:2">
      <c r="A4" t="s">
        <v>2118</v>
      </c>
      <c r="B4" s="4">
        <v>13.397301349325337</v>
      </c>
    </row>
    <row r="5" spans="1:2">
      <c r="A5" t="s">
        <v>2119</v>
      </c>
      <c r="B5" s="4">
        <v>13.519936204146731</v>
      </c>
    </row>
    <row r="6" spans="1:2">
      <c r="A6" t="s">
        <v>2120</v>
      </c>
      <c r="B6" s="4">
        <v>13.063739376770538</v>
      </c>
    </row>
    <row r="7" spans="1:2">
      <c r="A7" t="s">
        <v>2116</v>
      </c>
      <c r="B7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03A5-90FA-4A7E-B16C-8A17D14BAA44}">
  <dimension ref="A3:B11"/>
  <sheetViews>
    <sheetView workbookViewId="0">
      <selection activeCell="L15" sqref="L15"/>
    </sheetView>
  </sheetViews>
  <sheetFormatPr defaultRowHeight="15"/>
  <cols>
    <col min="1" max="1" width="12.28515625" bestFit="1" customWidth="1"/>
    <col min="2" max="2" width="34.7109375" bestFit="1" customWidth="1"/>
  </cols>
  <sheetData>
    <row r="3" spans="1:2">
      <c r="A3" s="3" t="s">
        <v>21</v>
      </c>
      <c r="B3" t="s">
        <v>2115</v>
      </c>
    </row>
    <row r="4" spans="1:2">
      <c r="A4">
        <v>0</v>
      </c>
      <c r="B4" s="4">
        <v>14.041666666666666</v>
      </c>
    </row>
    <row r="5" spans="1:2">
      <c r="A5">
        <v>1</v>
      </c>
      <c r="B5" s="4">
        <v>13.118055555555555</v>
      </c>
    </row>
    <row r="6" spans="1:2">
      <c r="A6">
        <v>2</v>
      </c>
      <c r="B6" s="4">
        <v>12.888888888888889</v>
      </c>
    </row>
    <row r="7" spans="1:2">
      <c r="A7">
        <v>3</v>
      </c>
      <c r="B7" s="4">
        <v>12.3125</v>
      </c>
    </row>
    <row r="8" spans="1:2">
      <c r="A8">
        <v>4</v>
      </c>
      <c r="B8" s="4">
        <v>14.305555555555555</v>
      </c>
    </row>
    <row r="9" spans="1:2">
      <c r="A9">
        <v>5</v>
      </c>
      <c r="B9" s="4">
        <v>13.732638888888889</v>
      </c>
    </row>
    <row r="10" spans="1:2">
      <c r="A10">
        <v>6</v>
      </c>
      <c r="B10" s="4">
        <v>12.797794117647058</v>
      </c>
    </row>
    <row r="11" spans="1:2">
      <c r="A11" t="s">
        <v>2116</v>
      </c>
      <c r="B11" s="4">
        <v>13.318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B275-D3B6-45FC-9B6D-B61D2EA25089}">
  <dimension ref="A3:B8"/>
  <sheetViews>
    <sheetView workbookViewId="0">
      <selection activeCell="B6" sqref="B6"/>
    </sheetView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22</v>
      </c>
      <c r="B3" t="s">
        <v>2115</v>
      </c>
    </row>
    <row r="4" spans="1:2">
      <c r="A4" t="s">
        <v>39</v>
      </c>
      <c r="B4" s="4">
        <v>13.887499999999999</v>
      </c>
    </row>
    <row r="5" spans="1:2">
      <c r="A5" t="s">
        <v>55</v>
      </c>
      <c r="B5" s="4">
        <v>13.404382470119522</v>
      </c>
    </row>
    <row r="6" spans="1:2">
      <c r="A6" t="s">
        <v>72</v>
      </c>
      <c r="B6" s="4">
        <v>12.723282442748092</v>
      </c>
    </row>
    <row r="7" spans="1:2">
      <c r="A7" t="s">
        <v>32</v>
      </c>
      <c r="B7" s="4">
        <v>13.307692307692308</v>
      </c>
    </row>
    <row r="8" spans="1:2">
      <c r="A8" t="s">
        <v>2116</v>
      </c>
      <c r="B8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F1E3-E9A0-4117-B336-33D26BABE49B}">
  <dimension ref="A3:B8"/>
  <sheetViews>
    <sheetView tabSelected="1" workbookViewId="0">
      <selection activeCell="B4" sqref="A3:B8"/>
    </sheetView>
  </sheetViews>
  <sheetFormatPr defaultRowHeight="15"/>
  <cols>
    <col min="1" max="1" width="17.85546875" bestFit="1" customWidth="1"/>
    <col min="2" max="2" width="37.85546875" bestFit="1" customWidth="1"/>
  </cols>
  <sheetData>
    <row r="3" spans="1:2">
      <c r="A3" s="3" t="s">
        <v>3</v>
      </c>
      <c r="B3" t="s">
        <v>2121</v>
      </c>
    </row>
    <row r="4" spans="1:2">
      <c r="A4" t="s">
        <v>41</v>
      </c>
      <c r="B4" s="4">
        <v>8.8514285714285723</v>
      </c>
    </row>
    <row r="5" spans="1:2">
      <c r="A5" t="s">
        <v>34</v>
      </c>
      <c r="B5" s="4">
        <v>8.6945010183299392</v>
      </c>
    </row>
    <row r="6" spans="1:2">
      <c r="A6" t="s">
        <v>74</v>
      </c>
      <c r="B6" s="4">
        <v>8.9087221095334694</v>
      </c>
    </row>
    <row r="7" spans="1:2">
      <c r="A7" t="s">
        <v>26</v>
      </c>
      <c r="B7" s="4">
        <v>8.2851323828920567</v>
      </c>
    </row>
    <row r="8" spans="1:2">
      <c r="A8" t="s">
        <v>2116</v>
      </c>
      <c r="B8" s="4">
        <v>8.6880000000000006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34E1-3EB3-4FBC-8D2D-9EFB47B3204C}">
  <dimension ref="A3:B10"/>
  <sheetViews>
    <sheetView workbookViewId="0">
      <selection activeCell="M7" sqref="M7"/>
    </sheetView>
  </sheetViews>
  <sheetFormatPr defaultRowHeight="15"/>
  <cols>
    <col min="1" max="1" width="14.42578125" bestFit="1" customWidth="1"/>
    <col min="2" max="2" width="34.7109375" bestFit="1" customWidth="1"/>
  </cols>
  <sheetData>
    <row r="3" spans="1:2">
      <c r="A3" s="3" t="s">
        <v>16</v>
      </c>
      <c r="B3" t="s">
        <v>2115</v>
      </c>
    </row>
    <row r="4" spans="1:2">
      <c r="A4" t="s">
        <v>71</v>
      </c>
      <c r="B4" s="4">
        <v>12.832512315270936</v>
      </c>
    </row>
    <row r="5" spans="1:2">
      <c r="A5" t="s">
        <v>101</v>
      </c>
      <c r="B5" s="4">
        <v>12.76923076923077</v>
      </c>
    </row>
    <row r="6" spans="1:2">
      <c r="A6" t="s">
        <v>31</v>
      </c>
      <c r="B6" s="4">
        <v>13.526001705029838</v>
      </c>
    </row>
    <row r="7" spans="1:2">
      <c r="A7" t="s">
        <v>63</v>
      </c>
      <c r="B7" s="4">
        <v>13.619047619047619</v>
      </c>
    </row>
    <row r="8" spans="1:2">
      <c r="A8" t="s">
        <v>59</v>
      </c>
      <c r="B8" s="4">
        <v>13.895348837209303</v>
      </c>
    </row>
    <row r="9" spans="1:2">
      <c r="A9" t="s">
        <v>46</v>
      </c>
      <c r="B9" s="4">
        <v>12.820754716981131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1D70-A6CF-4364-B20E-E0B162F150DB}">
  <dimension ref="A3:B8"/>
  <sheetViews>
    <sheetView workbookViewId="0">
      <selection activeCell="B7" sqref="B7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8D5B-3940-41C0-9660-3107695FBF70}">
  <dimension ref="A3:B10"/>
  <sheetViews>
    <sheetView topLeftCell="A2" workbookViewId="0"/>
  </sheetViews>
  <sheetFormatPr defaultRowHeight="15"/>
  <cols>
    <col min="1" max="1" width="21.5703125" bestFit="1" customWidth="1"/>
    <col min="2" max="2" width="37.85546875" bestFit="1" customWidth="1"/>
  </cols>
  <sheetData>
    <row r="3" spans="1:2">
      <c r="A3" s="3" t="s">
        <v>11</v>
      </c>
      <c r="B3" t="s">
        <v>2121</v>
      </c>
    </row>
    <row r="4" spans="1:2">
      <c r="A4" t="s">
        <v>45</v>
      </c>
      <c r="B4" s="4">
        <v>9.0087463556851315</v>
      </c>
    </row>
    <row r="5" spans="1:2">
      <c r="A5" t="s">
        <v>84</v>
      </c>
      <c r="B5" s="4">
        <v>8.7784615384615385</v>
      </c>
    </row>
    <row r="6" spans="1:2">
      <c r="A6" t="s">
        <v>77</v>
      </c>
      <c r="B6" s="4">
        <v>8.2326283987915403</v>
      </c>
    </row>
    <row r="7" spans="1:2">
      <c r="A7" t="s">
        <v>38</v>
      </c>
      <c r="B7" s="4">
        <v>8.5046728971962615</v>
      </c>
    </row>
    <row r="8" spans="1:2">
      <c r="A8" t="s">
        <v>54</v>
      </c>
      <c r="B8" s="4">
        <v>9.2332361516034993</v>
      </c>
    </row>
    <row r="9" spans="1:2">
      <c r="A9" t="s">
        <v>30</v>
      </c>
      <c r="B9" s="4">
        <v>8.3412462908011875</v>
      </c>
    </row>
    <row r="10" spans="1:2">
      <c r="A10" t="s">
        <v>2116</v>
      </c>
      <c r="B10" s="4">
        <v>8.6880000000000006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0DFE-9D0D-4FAE-8685-14C4DE31C6BD}">
  <dimension ref="A3:B6"/>
  <sheetViews>
    <sheetView workbookViewId="0"/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19</v>
      </c>
      <c r="B3" t="s">
        <v>2115</v>
      </c>
    </row>
    <row r="4" spans="1:2">
      <c r="A4">
        <v>0</v>
      </c>
      <c r="B4" s="4">
        <v>13.220208676551346</v>
      </c>
    </row>
    <row r="5" spans="1:2">
      <c r="A5">
        <v>1</v>
      </c>
      <c r="B5" s="4">
        <v>14.312849162011172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7704-14BA-486E-B6E5-0C8CB98214FD}">
  <dimension ref="A3:B6"/>
  <sheetViews>
    <sheetView workbookViewId="0">
      <selection activeCell="A3" sqref="A3"/>
    </sheetView>
  </sheetViews>
  <sheetFormatPr defaultRowHeight="15"/>
  <cols>
    <col min="1" max="1" width="13.85546875" bestFit="1" customWidth="1"/>
    <col min="2" max="2" width="37.85546875" bestFit="1" customWidth="1"/>
  </cols>
  <sheetData>
    <row r="3" spans="1:2">
      <c r="A3" s="3" t="s">
        <v>20</v>
      </c>
      <c r="B3" t="s">
        <v>2121</v>
      </c>
    </row>
    <row r="4" spans="1:2">
      <c r="A4">
        <v>0</v>
      </c>
      <c r="B4" s="4">
        <v>8.6339285714285712</v>
      </c>
    </row>
    <row r="5" spans="1:2">
      <c r="A5">
        <v>1</v>
      </c>
      <c r="B5" s="4">
        <v>8.8327205882352935</v>
      </c>
    </row>
    <row r="6" spans="1:2">
      <c r="A6" t="s">
        <v>2116</v>
      </c>
      <c r="B6" s="4">
        <v>8.6880000000000006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DAB1-36B0-42D6-BD01-77C4760C4B68}">
  <dimension ref="A3:B23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  <row r="9" spans="1:2">
      <c r="A9" t="s">
        <v>104</v>
      </c>
      <c r="B9" s="4">
        <v>13.584269662921349</v>
      </c>
    </row>
    <row r="10" spans="1:2">
      <c r="A10" t="s">
        <v>111</v>
      </c>
      <c r="B10" s="4">
        <v>13.504761904761905</v>
      </c>
    </row>
    <row r="11" spans="1:2">
      <c r="A11" t="s">
        <v>57</v>
      </c>
      <c r="B11" s="4">
        <v>13.472727272727273</v>
      </c>
    </row>
    <row r="12" spans="1:2">
      <c r="A12" t="s">
        <v>126</v>
      </c>
      <c r="B12" s="4">
        <v>13.463917525773196</v>
      </c>
    </row>
    <row r="13" spans="1:2">
      <c r="A13" t="s">
        <v>161</v>
      </c>
      <c r="B13" s="4">
        <v>13.425287356321839</v>
      </c>
    </row>
    <row r="14" spans="1:2">
      <c r="A14" t="s">
        <v>48</v>
      </c>
      <c r="B14" s="4">
        <v>13.357894736842105</v>
      </c>
    </row>
    <row r="15" spans="1:2">
      <c r="A15" t="s">
        <v>147</v>
      </c>
      <c r="B15" s="4">
        <v>13.340909090909092</v>
      </c>
    </row>
    <row r="16" spans="1:2">
      <c r="A16" t="s">
        <v>52</v>
      </c>
      <c r="B16" s="4">
        <v>13.311926605504587</v>
      </c>
    </row>
    <row r="17" spans="1:2">
      <c r="A17" t="s">
        <v>141</v>
      </c>
      <c r="B17" s="4">
        <v>13.218181818181819</v>
      </c>
    </row>
    <row r="18" spans="1:2">
      <c r="A18" t="s">
        <v>42</v>
      </c>
      <c r="B18" s="4">
        <v>13.1625</v>
      </c>
    </row>
    <row r="19" spans="1:2">
      <c r="A19" t="s">
        <v>130</v>
      </c>
      <c r="B19" s="4">
        <v>13.070175438596491</v>
      </c>
    </row>
    <row r="20" spans="1:2">
      <c r="A20" t="s">
        <v>89</v>
      </c>
      <c r="B20" s="4">
        <v>12.831683168316832</v>
      </c>
    </row>
    <row r="21" spans="1:2">
      <c r="A21" t="s">
        <v>157</v>
      </c>
      <c r="B21" s="4">
        <v>12.682692307692308</v>
      </c>
    </row>
    <row r="22" spans="1:2">
      <c r="A22" t="s">
        <v>93</v>
      </c>
      <c r="B22" s="4">
        <v>11.928571428571429</v>
      </c>
    </row>
    <row r="23" spans="1:2">
      <c r="A23" t="s">
        <v>98</v>
      </c>
      <c r="B23" s="4">
        <v>11.813953488372093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3F4E-DD52-4A34-ADF8-4CC8270AB7AE}">
  <dimension ref="A1:R36"/>
  <sheetViews>
    <sheetView workbookViewId="0">
      <selection activeCell="O23" sqref="O23"/>
    </sheetView>
  </sheetViews>
  <sheetFormatPr defaultRowHeight="15"/>
  <cols>
    <col min="1" max="1" width="17.85546875" customWidth="1"/>
    <col min="2" max="2" width="11" customWidth="1"/>
    <col min="3" max="3" width="10.140625" customWidth="1"/>
    <col min="6" max="6" width="20.28515625" customWidth="1"/>
    <col min="9" max="9" width="23.7109375" customWidth="1"/>
    <col min="12" max="12" width="16.7109375" customWidth="1"/>
    <col min="15" max="15" width="20.7109375" customWidth="1"/>
  </cols>
  <sheetData>
    <row r="1" spans="1:18">
      <c r="A1" s="5"/>
      <c r="B1" s="5"/>
      <c r="O1" s="8"/>
    </row>
    <row r="2" spans="1:18" ht="31.5">
      <c r="C2" s="11"/>
      <c r="D2" s="11"/>
      <c r="E2" s="10"/>
      <c r="F2" s="9" t="s">
        <v>2122</v>
      </c>
      <c r="G2" s="10"/>
      <c r="H2" s="10"/>
      <c r="I2" s="10"/>
      <c r="J2" s="10"/>
      <c r="K2" s="10"/>
      <c r="L2" s="10"/>
      <c r="M2" s="10"/>
      <c r="N2" s="11"/>
      <c r="R2" s="7"/>
    </row>
    <row r="4" spans="1:18" ht="36">
      <c r="A4" s="21" t="s">
        <v>2123</v>
      </c>
      <c r="B4" s="22"/>
      <c r="C4" s="23"/>
      <c r="D4" s="24" t="s">
        <v>2124</v>
      </c>
      <c r="E4" s="25"/>
      <c r="F4" s="26"/>
      <c r="G4" s="24" t="s">
        <v>2125</v>
      </c>
      <c r="H4" s="25"/>
      <c r="I4" s="26"/>
      <c r="J4" s="13" t="s">
        <v>2126</v>
      </c>
      <c r="K4" s="14"/>
      <c r="L4" s="15"/>
      <c r="M4" s="17" t="s">
        <v>2127</v>
      </c>
      <c r="N4" s="18"/>
      <c r="O4" s="19"/>
    </row>
    <row r="5" spans="1:18" ht="36">
      <c r="A5" s="16">
        <v>2000</v>
      </c>
      <c r="B5" s="16"/>
      <c r="C5" s="16"/>
      <c r="D5" s="27">
        <v>8.6880000000000006</v>
      </c>
      <c r="E5" s="28"/>
      <c r="F5" s="29"/>
      <c r="G5" s="16">
        <v>13.318</v>
      </c>
      <c r="H5" s="16"/>
      <c r="I5" s="16"/>
      <c r="J5" s="16">
        <v>29</v>
      </c>
      <c r="K5" s="16"/>
      <c r="L5" s="16"/>
      <c r="M5" s="20">
        <v>0.74950000000000006</v>
      </c>
      <c r="N5" s="16"/>
      <c r="O5" s="16"/>
    </row>
    <row r="14" spans="1:18">
      <c r="B14" s="6"/>
    </row>
    <row r="36" spans="6:6">
      <c r="F36" s="12" t="b">
        <v>0</v>
      </c>
    </row>
  </sheetData>
  <mergeCells count="10">
    <mergeCell ref="J4:L4"/>
    <mergeCell ref="J5:L5"/>
    <mergeCell ref="M4:O4"/>
    <mergeCell ref="M5:O5"/>
    <mergeCell ref="A4:C4"/>
    <mergeCell ref="A5:C5"/>
    <mergeCell ref="D4:F4"/>
    <mergeCell ref="D5:F5"/>
    <mergeCell ref="G4:I4"/>
    <mergeCell ref="G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2026-08-16T11:00:55Z</dcterms:created>
  <dcterms:modified xsi:type="dcterms:W3CDTF">2026-08-19T12:52:24Z</dcterms:modified>
  <cp:category/>
  <cp:contentStatus/>
</cp:coreProperties>
</file>